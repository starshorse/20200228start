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-120" yWindow="-120" windowWidth="38640" windowHeight="15840" activeTab="1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8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7" l="1"/>
  <c r="K21" i="7" s="1"/>
  <c r="C21" i="7"/>
  <c r="D21" i="7"/>
  <c r="E21" i="7"/>
  <c r="F21" i="7"/>
  <c r="G21" i="7"/>
  <c r="H21" i="7"/>
  <c r="I21" i="7"/>
  <c r="J21" i="7"/>
  <c r="B12" i="7"/>
  <c r="C12" i="7"/>
  <c r="D12" i="7"/>
  <c r="E12" i="7"/>
  <c r="F12" i="7"/>
  <c r="G12" i="7"/>
  <c r="H12" i="7"/>
  <c r="I12" i="7"/>
  <c r="J12" i="7"/>
  <c r="L21" i="7" l="1"/>
  <c r="K12" i="7"/>
  <c r="L12" i="7"/>
  <c r="B32" i="7"/>
  <c r="B22" i="7"/>
  <c r="B34" i="7"/>
  <c r="B35" i="7"/>
  <c r="B39" i="7"/>
  <c r="B36" i="7"/>
  <c r="C32" i="7"/>
  <c r="C22" i="7"/>
  <c r="C34" i="7"/>
  <c r="C35" i="7"/>
  <c r="C39" i="7"/>
  <c r="C36" i="7"/>
  <c r="D32" i="7"/>
  <c r="D22" i="7"/>
  <c r="D34" i="7"/>
  <c r="D35" i="7"/>
  <c r="D39" i="7"/>
  <c r="D36" i="7"/>
  <c r="E32" i="7"/>
  <c r="E22" i="7"/>
  <c r="E34" i="7"/>
  <c r="E35" i="7"/>
  <c r="E39" i="7"/>
  <c r="E36" i="7"/>
  <c r="F32" i="7"/>
  <c r="F22" i="7"/>
  <c r="F34" i="7"/>
  <c r="F35" i="7"/>
  <c r="F39" i="7"/>
  <c r="F36" i="7"/>
  <c r="G32" i="7"/>
  <c r="G22" i="7"/>
  <c r="G34" i="7"/>
  <c r="G35" i="7"/>
  <c r="G39" i="7"/>
  <c r="G36" i="7"/>
  <c r="H32" i="7"/>
  <c r="H22" i="7"/>
  <c r="H34" i="7"/>
  <c r="H35" i="7"/>
  <c r="H39" i="7"/>
  <c r="H36" i="7"/>
  <c r="I32" i="7"/>
  <c r="I22" i="7"/>
  <c r="I34" i="7"/>
  <c r="I35" i="7"/>
  <c r="I39" i="7"/>
  <c r="I36" i="7"/>
  <c r="J32" i="7"/>
  <c r="J22" i="7"/>
  <c r="J34" i="7"/>
  <c r="J35" i="7"/>
  <c r="J39" i="7"/>
  <c r="J36" i="7"/>
  <c r="B6" i="7"/>
  <c r="B5" i="7"/>
  <c r="B10" i="7"/>
  <c r="B19" i="7"/>
  <c r="B13" i="7"/>
  <c r="B16" i="7"/>
  <c r="B18" i="7"/>
  <c r="B15" i="7"/>
  <c r="B14" i="7"/>
  <c r="B9" i="7"/>
  <c r="B17" i="7"/>
  <c r="B26" i="7"/>
  <c r="B29" i="7"/>
  <c r="B37" i="7"/>
  <c r="B8" i="7"/>
  <c r="B25" i="7"/>
  <c r="B24" i="7"/>
  <c r="B31" i="7"/>
  <c r="B27" i="7"/>
  <c r="B23" i="7"/>
  <c r="B40" i="7"/>
  <c r="B30" i="7"/>
  <c r="B11" i="7"/>
  <c r="B38" i="7"/>
  <c r="B28" i="7"/>
  <c r="C6" i="7"/>
  <c r="C5" i="7"/>
  <c r="C10" i="7"/>
  <c r="C19" i="7"/>
  <c r="C13" i="7"/>
  <c r="C16" i="7"/>
  <c r="C18" i="7"/>
  <c r="C15" i="7"/>
  <c r="C14" i="7"/>
  <c r="C9" i="7"/>
  <c r="C17" i="7"/>
  <c r="C26" i="7"/>
  <c r="C29" i="7"/>
  <c r="C37" i="7"/>
  <c r="C8" i="7"/>
  <c r="C25" i="7"/>
  <c r="C24" i="7"/>
  <c r="C31" i="7"/>
  <c r="C27" i="7"/>
  <c r="C23" i="7"/>
  <c r="C40" i="7"/>
  <c r="C30" i="7"/>
  <c r="C11" i="7"/>
  <c r="C38" i="7"/>
  <c r="C28" i="7"/>
  <c r="D6" i="7"/>
  <c r="D5" i="7"/>
  <c r="D10" i="7"/>
  <c r="D19" i="7"/>
  <c r="D13" i="7"/>
  <c r="D16" i="7"/>
  <c r="D18" i="7"/>
  <c r="D15" i="7"/>
  <c r="D14" i="7"/>
  <c r="D9" i="7"/>
  <c r="D17" i="7"/>
  <c r="D26" i="7"/>
  <c r="D29" i="7"/>
  <c r="D37" i="7"/>
  <c r="D8" i="7"/>
  <c r="D25" i="7"/>
  <c r="D24" i="7"/>
  <c r="D31" i="7"/>
  <c r="D27" i="7"/>
  <c r="D23" i="7"/>
  <c r="D40" i="7"/>
  <c r="D30" i="7"/>
  <c r="D11" i="7"/>
  <c r="D38" i="7"/>
  <c r="D28" i="7"/>
  <c r="E6" i="7"/>
  <c r="E5" i="7"/>
  <c r="E10" i="7"/>
  <c r="E19" i="7"/>
  <c r="E13" i="7"/>
  <c r="E16" i="7"/>
  <c r="E18" i="7"/>
  <c r="E15" i="7"/>
  <c r="E14" i="7"/>
  <c r="E9" i="7"/>
  <c r="E17" i="7"/>
  <c r="E26" i="7"/>
  <c r="E29" i="7"/>
  <c r="E37" i="7"/>
  <c r="E8" i="7"/>
  <c r="E25" i="7"/>
  <c r="E24" i="7"/>
  <c r="E31" i="7"/>
  <c r="E27" i="7"/>
  <c r="E23" i="7"/>
  <c r="E40" i="7"/>
  <c r="E30" i="7"/>
  <c r="E11" i="7"/>
  <c r="E38" i="7"/>
  <c r="E28" i="7"/>
  <c r="F6" i="7"/>
  <c r="F5" i="7"/>
  <c r="F10" i="7"/>
  <c r="F19" i="7"/>
  <c r="F13" i="7"/>
  <c r="F16" i="7"/>
  <c r="F18" i="7"/>
  <c r="F15" i="7"/>
  <c r="F14" i="7"/>
  <c r="F9" i="7"/>
  <c r="F17" i="7"/>
  <c r="F26" i="7"/>
  <c r="F29" i="7"/>
  <c r="F37" i="7"/>
  <c r="F8" i="7"/>
  <c r="F25" i="7"/>
  <c r="F24" i="7"/>
  <c r="F31" i="7"/>
  <c r="F27" i="7"/>
  <c r="F23" i="7"/>
  <c r="F40" i="7"/>
  <c r="F30" i="7"/>
  <c r="F11" i="7"/>
  <c r="F38" i="7"/>
  <c r="F28" i="7"/>
  <c r="G6" i="7"/>
  <c r="G5" i="7"/>
  <c r="G10" i="7"/>
  <c r="G19" i="7"/>
  <c r="G13" i="7"/>
  <c r="G16" i="7"/>
  <c r="G18" i="7"/>
  <c r="G15" i="7"/>
  <c r="G14" i="7"/>
  <c r="G9" i="7"/>
  <c r="G17" i="7"/>
  <c r="G26" i="7"/>
  <c r="G29" i="7"/>
  <c r="G37" i="7"/>
  <c r="G8" i="7"/>
  <c r="G25" i="7"/>
  <c r="G24" i="7"/>
  <c r="G31" i="7"/>
  <c r="G27" i="7"/>
  <c r="G23" i="7"/>
  <c r="G40" i="7"/>
  <c r="G30" i="7"/>
  <c r="G11" i="7"/>
  <c r="G38" i="7"/>
  <c r="G28" i="7"/>
  <c r="H6" i="7"/>
  <c r="H5" i="7"/>
  <c r="H10" i="7"/>
  <c r="H19" i="7"/>
  <c r="H13" i="7"/>
  <c r="H16" i="7"/>
  <c r="H18" i="7"/>
  <c r="H15" i="7"/>
  <c r="H14" i="7"/>
  <c r="H9" i="7"/>
  <c r="H17" i="7"/>
  <c r="H26" i="7"/>
  <c r="H29" i="7"/>
  <c r="H37" i="7"/>
  <c r="H8" i="7"/>
  <c r="H25" i="7"/>
  <c r="H24" i="7"/>
  <c r="H31" i="7"/>
  <c r="H27" i="7"/>
  <c r="H23" i="7"/>
  <c r="H40" i="7"/>
  <c r="H30" i="7"/>
  <c r="H11" i="7"/>
  <c r="H38" i="7"/>
  <c r="H28" i="7"/>
  <c r="I6" i="7"/>
  <c r="I5" i="7"/>
  <c r="I10" i="7"/>
  <c r="I19" i="7"/>
  <c r="I13" i="7"/>
  <c r="I16" i="7"/>
  <c r="I18" i="7"/>
  <c r="I15" i="7"/>
  <c r="I14" i="7"/>
  <c r="I9" i="7"/>
  <c r="I17" i="7"/>
  <c r="I26" i="7"/>
  <c r="I29" i="7"/>
  <c r="I37" i="7"/>
  <c r="I8" i="7"/>
  <c r="I25" i="7"/>
  <c r="I24" i="7"/>
  <c r="I31" i="7"/>
  <c r="I27" i="7"/>
  <c r="I23" i="7"/>
  <c r="I40" i="7"/>
  <c r="I30" i="7"/>
  <c r="I11" i="7"/>
  <c r="I38" i="7"/>
  <c r="I28" i="7"/>
  <c r="J6" i="7"/>
  <c r="J5" i="7"/>
  <c r="J10" i="7"/>
  <c r="J19" i="7"/>
  <c r="J13" i="7"/>
  <c r="J16" i="7"/>
  <c r="J18" i="7"/>
  <c r="J15" i="7"/>
  <c r="J14" i="7"/>
  <c r="J9" i="7"/>
  <c r="J17" i="7"/>
  <c r="J26" i="7"/>
  <c r="J29" i="7"/>
  <c r="J37" i="7"/>
  <c r="J8" i="7"/>
  <c r="J25" i="7"/>
  <c r="J24" i="7"/>
  <c r="J31" i="7"/>
  <c r="J27" i="7"/>
  <c r="J23" i="7"/>
  <c r="J40" i="7"/>
  <c r="J30" i="7"/>
  <c r="J11" i="7"/>
  <c r="J38" i="7"/>
  <c r="J28" i="7"/>
  <c r="B33" i="7"/>
  <c r="B7" i="7"/>
  <c r="B20" i="7"/>
  <c r="J33" i="7"/>
  <c r="J7" i="7"/>
  <c r="J20" i="7"/>
  <c r="I33" i="7"/>
  <c r="I7" i="7"/>
  <c r="I20" i="7"/>
  <c r="G33" i="7"/>
  <c r="G7" i="7"/>
  <c r="G20" i="7"/>
  <c r="H33" i="7"/>
  <c r="H7" i="7"/>
  <c r="H20" i="7"/>
  <c r="F33" i="7"/>
  <c r="F7" i="7"/>
  <c r="F20" i="7"/>
  <c r="K20" i="7" l="1"/>
  <c r="L20" i="7"/>
  <c r="K7" i="7"/>
  <c r="L7" i="7"/>
  <c r="K33" i="7"/>
  <c r="L33" i="7"/>
  <c r="K28" i="7"/>
  <c r="L28" i="7"/>
  <c r="K38" i="7"/>
  <c r="L38" i="7"/>
  <c r="K11" i="7"/>
  <c r="L11" i="7"/>
  <c r="K30" i="7"/>
  <c r="L30" i="7"/>
  <c r="K40" i="7"/>
  <c r="L40" i="7"/>
  <c r="K23" i="7"/>
  <c r="L23" i="7"/>
  <c r="K27" i="7"/>
  <c r="L27" i="7"/>
  <c r="K31" i="7"/>
  <c r="L31" i="7"/>
  <c r="K24" i="7"/>
  <c r="L24" i="7"/>
  <c r="K25" i="7"/>
  <c r="L25" i="7"/>
  <c r="K8" i="7"/>
  <c r="L8" i="7"/>
  <c r="K37" i="7"/>
  <c r="L37" i="7"/>
  <c r="K29" i="7"/>
  <c r="L29" i="7"/>
  <c r="K26" i="7"/>
  <c r="L26" i="7"/>
  <c r="K17" i="7"/>
  <c r="L17" i="7"/>
  <c r="K9" i="7"/>
  <c r="L9" i="7"/>
  <c r="K14" i="7"/>
  <c r="L14" i="7"/>
  <c r="K15" i="7"/>
  <c r="L15" i="7"/>
  <c r="K18" i="7"/>
  <c r="L18" i="7"/>
  <c r="K16" i="7"/>
  <c r="L16" i="7"/>
  <c r="K13" i="7"/>
  <c r="L13" i="7"/>
  <c r="K19" i="7"/>
  <c r="L19" i="7"/>
  <c r="K10" i="7"/>
  <c r="L10" i="7"/>
  <c r="K5" i="7"/>
  <c r="L5" i="7"/>
  <c r="K6" i="7"/>
  <c r="L6" i="7"/>
  <c r="K36" i="7"/>
  <c r="L36" i="7"/>
  <c r="K39" i="7"/>
  <c r="L39" i="7"/>
  <c r="K35" i="7"/>
  <c r="L35" i="7"/>
  <c r="K34" i="7"/>
  <c r="L34" i="7"/>
  <c r="K22" i="7"/>
  <c r="L22" i="7"/>
  <c r="K32" i="7"/>
  <c r="L32" i="7"/>
  <c r="C20" i="7"/>
  <c r="D20" i="7"/>
  <c r="E20" i="7"/>
  <c r="E33" i="7" l="1"/>
  <c r="E7" i="7"/>
  <c r="D33" i="7"/>
  <c r="D7" i="7"/>
  <c r="C33" i="7"/>
  <c r="C7" i="7"/>
  <c r="E3" i="7"/>
</calcChain>
</file>

<file path=xl/sharedStrings.xml><?xml version="1.0" encoding="utf-8"?>
<sst xmlns="http://schemas.openxmlformats.org/spreadsheetml/2006/main" count="12945" uniqueCount="2869">
  <si>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</si>
  <si>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</si>
  <si>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</si>
  <si>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</si>
  <si>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</si>
  <si>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</si>
  <si>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</si>
  <si>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</si>
  <si>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</si>
  <si>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</si>
  <si>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</si>
  <si>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</si>
  <si>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</si>
  <si>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</si>
  <si>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</si>
  <si>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</si>
  <si>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</si>
  <si>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</si>
  <si>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</si>
  <si>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</si>
  <si>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</si>
  <si>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</si>
  <si>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</si>
  <si>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</si>
  <si>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</si>
  <si>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</si>
  <si>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</si>
  <si>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</si>
  <si>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</si>
  <si>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</si>
  <si>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</si>
  <si>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</si>
  <si>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</si>
  <si>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</si>
  <si>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</si>
  <si>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</si>
  <si>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</si>
  <si>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</si>
  <si>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</si>
  <si>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</si>
  <si>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</si>
  <si>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</si>
  <si>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</si>
  <si>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</si>
  <si>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</si>
  <si>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</si>
  <si>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</si>
  <si>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</si>
  <si>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</si>
  <si>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</si>
  <si>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</si>
  <si>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</si>
  <si>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</si>
  <si>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</si>
  <si>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</si>
  <si>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</si>
  <si>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</si>
  <si>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</si>
  <si>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</si>
  <si>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</si>
  <si>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</si>
  <si>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</si>
  <si>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</si>
  <si>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</si>
  <si>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</si>
  <si>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</si>
  <si>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</si>
  <si>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</si>
  <si>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</si>
  <si>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</si>
  <si>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</si>
  <si>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</si>
  <si>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</si>
  <si>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</si>
  <si>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</si>
  <si>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</si>
  <si>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</si>
  <si>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</si>
  <si>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</si>
  <si>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</si>
  <si>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</si>
  <si>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</si>
  <si>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</si>
  <si>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</si>
  <si>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</si>
  <si>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</si>
  <si>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</si>
  <si>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</si>
  <si>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</si>
  <si>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</si>
  <si>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</si>
  <si>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</si>
  <si>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</si>
  <si>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</si>
  <si>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</si>
  <si>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</si>
  <si>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</si>
  <si>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</si>
  <si>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</si>
  <si>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</si>
  <si>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</si>
  <si>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</si>
  <si>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</si>
  <si>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</si>
  <si>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</si>
  <si>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</si>
  <si>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</si>
  <si>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</si>
  <si>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</si>
  <si>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</si>
  <si>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</si>
  <si>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</si>
  <si>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</si>
  <si>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</si>
  <si>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</si>
  <si>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</si>
  <si>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</si>
  <si>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</si>
  <si>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</si>
  <si>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</si>
  <si>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</si>
  <si>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</si>
  <si>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</si>
  <si>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</si>
  <si>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</si>
  <si>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</si>
  <si>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</si>
  <si>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</si>
  <si>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</si>
  <si>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</si>
  <si>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</si>
  <si>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</si>
  <si>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</si>
  <si>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</si>
  <si>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</si>
  <si>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</si>
  <si>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</si>
  <si>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</si>
  <si>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</si>
  <si>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</si>
  <si>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</si>
  <si>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</si>
  <si>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</si>
  <si>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</si>
  <si>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</si>
  <si>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</si>
  <si>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</si>
  <si>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</si>
  <si>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</si>
  <si>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</si>
  <si>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</si>
  <si>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</si>
  <si>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</si>
  <si>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</si>
  <si>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</si>
  <si>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</si>
  <si>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</si>
  <si>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</si>
  <si>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</si>
  <si>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</si>
  <si>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</si>
  <si>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</si>
  <si>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</si>
  <si>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</si>
  <si>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</si>
  <si>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</si>
  <si>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</si>
  <si>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</si>
  <si>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</si>
  <si>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</si>
  <si>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</si>
  <si>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</si>
  <si>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</si>
  <si>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</si>
  <si>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</si>
  <si>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</si>
  <si>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</si>
  <si>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</si>
  <si>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</si>
  <si>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</si>
  <si>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</si>
  <si>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</si>
  <si>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</si>
  <si>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</si>
  <si>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</si>
  <si>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</si>
  <si>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</si>
  <si>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</si>
  <si>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</si>
  <si>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</si>
  <si>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</si>
  <si>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</si>
  <si>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</si>
  <si>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</si>
  <si>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</si>
  <si>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</si>
  <si>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</si>
  <si>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</si>
  <si>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</si>
  <si>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</si>
  <si>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</si>
  <si>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</si>
  <si>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</si>
  <si>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</si>
  <si>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</si>
  <si>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</si>
  <si>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</si>
  <si>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</si>
  <si>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</si>
  <si>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</si>
  <si>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</si>
  <si>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</si>
  <si>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</si>
  <si>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</si>
  <si>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</si>
  <si>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</si>
  <si>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</si>
  <si>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</si>
  <si>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</si>
  <si>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</si>
  <si>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</si>
  <si>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</si>
  <si>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</si>
  <si>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</si>
  <si>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</si>
  <si>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</si>
  <si>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</si>
  <si>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</si>
  <si>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</si>
  <si>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</si>
  <si>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</si>
  <si>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</si>
  <si>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</si>
  <si>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</si>
  <si>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</si>
  <si>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</si>
  <si>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</si>
  <si>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</si>
  <si>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</si>
  <si>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</si>
  <si>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</si>
  <si>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</si>
  <si>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</si>
  <si>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</si>
  <si>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</si>
  <si>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</si>
  <si>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</si>
  <si>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</si>
  <si>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</si>
  <si>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</si>
  <si>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</si>
  <si>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</si>
  <si>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</si>
  <si>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</si>
  <si>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</si>
  <si>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</si>
  <si>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</si>
  <si>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</si>
  <si>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</si>
  <si>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</si>
  <si>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</si>
  <si>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</si>
  <si>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</si>
  <si>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</si>
  <si>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</si>
  <si>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</si>
  <si>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</si>
  <si>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</si>
  <si>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</si>
  <si>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</si>
  <si>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</si>
  <si>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</si>
  <si>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</si>
  <si>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</si>
  <si>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</si>
  <si>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</si>
  <si>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</si>
  <si>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</si>
  <si>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</si>
  <si>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</si>
  <si>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</si>
  <si>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</si>
  <si>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</si>
  <si>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</si>
  <si>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</si>
  <si>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</si>
  <si>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</si>
  <si>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</si>
  <si>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</si>
  <si>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</si>
  <si>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</si>
  <si>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</si>
  <si>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</si>
  <si>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</si>
  <si>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</si>
  <si>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</si>
  <si>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</si>
  <si>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</si>
  <si>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</si>
  <si>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</si>
  <si>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</si>
  <si>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</si>
  <si>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</si>
  <si>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</si>
  <si>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</si>
  <si>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</si>
  <si>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</si>
  <si>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</si>
  <si>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</si>
  <si>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</si>
  <si>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</si>
  <si>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</si>
  <si>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</si>
  <si>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</si>
  <si>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</si>
  <si>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</si>
  <si>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</si>
  <si>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</si>
  <si>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</si>
  <si>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</si>
  <si>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</si>
  <si>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</si>
  <si>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</si>
  <si>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</si>
  <si>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</si>
  <si>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</si>
  <si>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</si>
  <si>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</si>
  <si>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</si>
  <si>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</si>
  <si>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</si>
  <si>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</si>
  <si>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</si>
  <si>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</si>
  <si>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</si>
  <si>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</si>
  <si>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</si>
  <si>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</si>
  <si>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</si>
  <si>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</si>
  <si>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</si>
  <si>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</si>
  <si>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</si>
  <si>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</si>
  <si>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</si>
  <si>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</si>
  <si>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</si>
  <si>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</si>
  <si>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</si>
  <si>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</si>
  <si>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</si>
  <si>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</si>
  <si>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</si>
  <si>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</si>
  <si>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</si>
  <si>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</si>
  <si>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</si>
  <si>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</si>
  <si>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</si>
  <si>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</si>
  <si>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</si>
  <si>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</si>
  <si>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</si>
  <si>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</si>
  <si>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</si>
  <si>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</si>
  <si>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</si>
  <si>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</si>
  <si>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</si>
  <si>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</si>
  <si>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</si>
  <si>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</si>
  <si>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</si>
  <si>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</si>
  <si>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</si>
  <si>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</si>
  <si>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</si>
  <si>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</si>
  <si>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</si>
  <si>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</si>
  <si>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</si>
  <si>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</si>
  <si>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</si>
  <si>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</si>
  <si>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</si>
  <si>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</si>
  <si>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</si>
  <si>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</si>
  <si>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</si>
  <si>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</si>
  <si>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</si>
  <si>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</si>
  <si>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</si>
  <si>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</si>
  <si>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</si>
  <si>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</si>
  <si>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</si>
  <si>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</si>
  <si>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</si>
  <si>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</si>
  <si>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</si>
  <si>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</si>
  <si>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</si>
  <si>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</si>
  <si>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</si>
  <si>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</si>
  <si>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</si>
  <si>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</si>
  <si>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</si>
  <si>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</si>
  <si>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</si>
  <si>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</si>
  <si>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</si>
  <si>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</si>
  <si>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</si>
  <si>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</si>
  <si>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</si>
  <si>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</si>
  <si>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</si>
  <si>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</si>
  <si>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</si>
  <si>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</si>
  <si>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</si>
  <si>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</si>
  <si>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</si>
  <si>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</si>
  <si>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</si>
  <si>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</si>
  <si>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</si>
  <si>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</si>
  <si>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</si>
  <si>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</si>
  <si>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</si>
  <si>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</si>
  <si>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</si>
  <si>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</si>
  <si>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</si>
  <si>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</si>
  <si>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</si>
  <si>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</si>
  <si>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</si>
  <si>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</si>
  <si>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</si>
  <si>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</si>
  <si>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</si>
  <si>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</si>
  <si>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</si>
  <si>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</si>
  <si>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</si>
  <si>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</si>
  <si>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</si>
  <si>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</si>
  <si>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</si>
  <si>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</si>
  <si>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</si>
  <si>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</si>
  <si>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</si>
  <si>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</si>
  <si>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</si>
  <si>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</si>
  <si>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</si>
  <si>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</si>
  <si>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</si>
  <si>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</si>
  <si>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</si>
  <si>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</si>
  <si>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</si>
  <si>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</si>
  <si>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</si>
  <si>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</si>
  <si>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</si>
  <si>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</si>
  <si>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</si>
  <si>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</si>
  <si>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</si>
  <si>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</si>
  <si>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</si>
  <si>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</si>
  <si>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</si>
  <si>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</si>
  <si>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</si>
  <si>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</si>
  <si>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</si>
  <si>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</si>
  <si>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</si>
  <si>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</si>
  <si>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</si>
  <si>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</si>
  <si>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</si>
  <si>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</si>
  <si>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</si>
  <si>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</si>
  <si>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</si>
  <si>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</si>
  <si>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</si>
  <si>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</si>
  <si>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</si>
  <si>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</si>
  <si>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</si>
  <si>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</si>
  <si>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</si>
  <si>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</si>
  <si>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</si>
  <si>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</si>
  <si>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</si>
  <si>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</si>
  <si>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</si>
  <si>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</si>
  <si>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</si>
  <si>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</si>
  <si>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</si>
  <si>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</si>
  <si>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</si>
  <si>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</si>
  <si>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</si>
  <si>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</si>
  <si>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</si>
  <si>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</si>
  <si>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</si>
  <si>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</si>
  <si>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</si>
  <si>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</si>
  <si>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</si>
  <si>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</si>
  <si>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</si>
  <si>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</si>
  <si>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</si>
  <si>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</si>
  <si>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</si>
  <si>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</si>
  <si>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</si>
  <si>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</si>
  <si>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</si>
  <si>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</si>
  <si>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</si>
  <si>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</si>
  <si>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</si>
  <si>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</si>
  <si>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</si>
  <si>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</si>
  <si>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</si>
  <si>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</si>
  <si>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</si>
  <si>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</si>
  <si>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</si>
  <si>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</si>
  <si>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</si>
  <si>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</si>
  <si>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</si>
  <si>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</si>
  <si>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</si>
  <si>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</si>
  <si>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</si>
  <si>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</si>
  <si>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</si>
  <si>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</si>
  <si>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</si>
  <si>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</si>
  <si>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</si>
  <si>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</si>
  <si>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</si>
  <si>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</si>
  <si>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</si>
  <si>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</si>
  <si>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</si>
  <si>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</si>
  <si>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</si>
  <si>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</si>
  <si>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</si>
  <si>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</si>
  <si>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</si>
  <si>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</si>
  <si>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</si>
  <si>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</si>
  <si>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</si>
  <si>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</si>
  <si>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</si>
  <si>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</si>
  <si>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</si>
  <si>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</si>
  <si>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</si>
  <si>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</si>
  <si>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</si>
  <si>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</si>
  <si>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</si>
  <si>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</si>
  <si>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</si>
  <si>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</si>
  <si>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</si>
  <si>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</si>
  <si>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</si>
  <si>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</si>
  <si>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</si>
  <si>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</si>
  <si>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</si>
  <si>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</si>
  <si>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</si>
  <si>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</si>
  <si>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</si>
  <si>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</si>
  <si>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</si>
  <si>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</si>
  <si>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</si>
  <si>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</si>
  <si>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</si>
  <si>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</si>
  <si>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</si>
  <si>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</si>
  <si>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</si>
  <si>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</si>
  <si>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</si>
  <si>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</si>
  <si>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</si>
  <si>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</si>
  <si>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</si>
  <si>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</si>
  <si>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</si>
  <si>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</si>
  <si>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</si>
  <si>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</si>
  <si>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</si>
  <si>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</si>
  <si>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</si>
  <si>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</si>
  <si>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</si>
  <si>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</si>
  <si>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</si>
  <si>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</si>
  <si>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</si>
  <si>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</si>
  <si>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</si>
  <si>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</si>
  <si>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</si>
  <si>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</si>
  <si>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</si>
  <si>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</si>
  <si>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</si>
  <si>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</si>
  <si>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</si>
  <si>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</si>
  <si>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</si>
  <si>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</si>
  <si>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</si>
  <si>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</si>
  <si>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</si>
  <si>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</si>
  <si>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</si>
  <si>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</si>
  <si>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</si>
  <si>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</si>
  <si>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</si>
  <si>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</si>
  <si>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</si>
  <si>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</si>
  <si>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</si>
  <si>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</si>
  <si>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</si>
  <si>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</si>
  <si>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</si>
  <si>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</si>
  <si>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</si>
  <si>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</si>
  <si>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</si>
  <si>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</si>
  <si>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</si>
  <si>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</si>
  <si>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</si>
  <si>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</si>
  <si>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</si>
  <si>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</si>
  <si>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</si>
  <si>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</si>
  <si>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</si>
  <si>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</si>
  <si>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</si>
  <si>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</si>
  <si>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</si>
  <si>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</si>
  <si>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</si>
  <si>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</si>
  <si>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</si>
  <si>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</si>
  <si>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</si>
  <si>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</si>
  <si>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</si>
  <si>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</si>
  <si>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</si>
  <si>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</si>
  <si>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</si>
  <si>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</si>
  <si>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</si>
  <si>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</si>
  <si>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</si>
  <si>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</si>
  <si>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</si>
  <si>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</si>
  <si>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</si>
  <si>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</si>
  <si>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</si>
  <si>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</si>
  <si>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</si>
  <si>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</si>
  <si>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</si>
  <si>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</si>
  <si>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</si>
  <si>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</si>
  <si>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</si>
  <si>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</si>
  <si>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</si>
  <si>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</si>
  <si>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</si>
  <si>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</si>
  <si>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</si>
  <si>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</si>
  <si>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</si>
  <si>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</si>
  <si>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</si>
  <si>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</si>
  <si>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</si>
  <si>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</si>
  <si>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</si>
  <si>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</si>
  <si>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</si>
  <si>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</si>
  <si>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</si>
  <si>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</si>
  <si>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</si>
  <si>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</si>
  <si>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</si>
  <si>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</si>
  <si>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</si>
  <si>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</si>
  <si>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</si>
  <si>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</si>
  <si>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</si>
  <si>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</si>
  <si>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</si>
  <si>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</si>
  <si>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</si>
  <si>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</si>
  <si>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</si>
  <si>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</si>
  <si>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</si>
  <si>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</si>
  <si>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</si>
  <si>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</si>
  <si>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</si>
  <si>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</si>
  <si>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</si>
  <si>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</si>
  <si>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</si>
  <si>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</si>
  <si>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</si>
  <si>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</si>
  <si>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</si>
  <si>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</si>
  <si>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</si>
  <si>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</si>
  <si>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</si>
  <si>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</si>
  <si>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</si>
  <si>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</si>
  <si>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</si>
  <si>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</si>
  <si>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</si>
  <si>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</si>
  <si>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</si>
  <si>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</si>
  <si>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</si>
  <si>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</si>
  <si>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</si>
  <si>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</si>
  <si>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</si>
  <si>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</si>
  <si>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</si>
  <si>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</si>
  <si>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</si>
  <si>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</si>
  <si>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</si>
  <si>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</si>
  <si>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</si>
  <si>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</si>
  <si>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</si>
  <si>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</si>
  <si>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</si>
  <si>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</si>
  <si>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</si>
  <si>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</si>
  <si>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</si>
  <si>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</si>
  <si>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</si>
  <si>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</si>
  <si>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</si>
  <si>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</si>
  <si>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</si>
  <si>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</si>
  <si>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</si>
  <si>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</si>
  <si>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</si>
  <si>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</si>
  <si>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</si>
  <si>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</si>
  <si>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</si>
  <si>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</si>
  <si>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</si>
  <si>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</si>
  <si>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</si>
  <si>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</si>
  <si>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</si>
  <si>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</si>
  <si>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</si>
  <si>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</si>
  <si>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</si>
  <si>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</si>
  <si>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</si>
  <si>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</si>
  <si>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</si>
  <si>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</si>
  <si>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</si>
  <si>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</si>
  <si>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</si>
  <si>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</si>
  <si>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</si>
  <si>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</si>
  <si>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</si>
  <si>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</si>
  <si>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</si>
  <si>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</si>
  <si>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</si>
  <si>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</si>
  <si>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</si>
  <si>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</si>
  <si>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</si>
  <si>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</si>
  <si>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</si>
  <si>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</si>
  <si>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</si>
  <si>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</si>
  <si>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</si>
  <si>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</si>
  <si>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</si>
  <si>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</si>
  <si>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</si>
  <si>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</si>
  <si>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</si>
  <si>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</si>
  <si>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</si>
  <si>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</si>
  <si>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</si>
  <si>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</si>
  <si>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</si>
  <si>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</si>
  <si>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</si>
  <si>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</si>
  <si>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</si>
  <si>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</si>
  <si>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</si>
  <si>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</si>
  <si>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</si>
  <si>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</si>
  <si>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</si>
  <si>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</si>
  <si>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</si>
  <si>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</si>
  <si>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</si>
  <si>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</si>
  <si>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</si>
  <si>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</si>
  <si>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</si>
  <si>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</si>
  <si>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</si>
  <si>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</si>
  <si>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</si>
  <si>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</si>
  <si>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</si>
  <si>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</si>
  <si>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</si>
  <si>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</si>
  <si>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</si>
  <si>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</si>
  <si>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</si>
  <si>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</si>
  <si>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</si>
  <si>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</si>
  <si>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</si>
  <si>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</si>
  <si>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</si>
  <si>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</si>
  <si>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</si>
  <si>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</si>
  <si>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</si>
  <si>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</si>
  <si>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</si>
  <si>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</si>
  <si>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</si>
  <si>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</si>
  <si>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</si>
  <si>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</si>
  <si>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</si>
  <si>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</si>
  <si>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</si>
  <si>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</si>
  <si>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</si>
  <si>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</si>
  <si>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</si>
  <si>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</si>
  <si>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</si>
  <si>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</si>
  <si>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</si>
  <si>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</si>
  <si>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</si>
  <si>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</si>
  <si>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</si>
  <si>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</si>
  <si>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</si>
  <si>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</si>
  <si>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</si>
  <si>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</si>
  <si>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</si>
  <si>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</si>
  <si>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</si>
  <si>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</si>
  <si>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</si>
  <si>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</si>
  <si>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</si>
  <si>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</si>
  <si>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</si>
  <si>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</si>
  <si>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</si>
  <si>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</si>
  <si>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</si>
  <si>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</si>
  <si>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</si>
  <si>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</si>
  <si>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</si>
  <si>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</si>
  <si>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</si>
  <si>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</si>
  <si>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</si>
  <si>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</si>
  <si>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</si>
  <si>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</si>
  <si>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</si>
  <si>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</si>
  <si>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</si>
  <si>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</si>
  <si>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</si>
  <si>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</si>
  <si>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</si>
  <si>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</si>
  <si>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</si>
  <si>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</si>
  <si>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</si>
  <si>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</si>
  <si>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</si>
  <si>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</si>
  <si>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</si>
  <si>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</si>
  <si>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</si>
  <si>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</si>
  <si>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</si>
  <si>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</si>
  <si>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</si>
  <si>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</si>
  <si>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</si>
  <si>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</si>
  <si>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</si>
  <si>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</si>
  <si>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</si>
  <si>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</si>
  <si>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</si>
  <si>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</si>
  <si>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</si>
  <si>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</si>
  <si>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</si>
  <si>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</si>
  <si>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</si>
  <si>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</si>
  <si>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</si>
  <si>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</si>
  <si>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</si>
  <si>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</si>
  <si>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</si>
  <si>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</si>
  <si>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</si>
  <si>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</si>
  <si>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</si>
  <si>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</si>
  <si>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</si>
  <si>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</si>
  <si>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</si>
  <si>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</si>
  <si>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</si>
  <si>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</si>
  <si>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</si>
  <si>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</si>
  <si>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</si>
  <si>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</si>
  <si>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</si>
  <si>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</si>
  <si>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</si>
  <si>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</si>
  <si>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</si>
  <si>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</si>
  <si>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</si>
  <si>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</si>
  <si>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</si>
  <si>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</si>
  <si>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</si>
  <si>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</si>
  <si>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</si>
  <si>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</si>
  <si>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</si>
  <si>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</si>
  <si>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</si>
  <si>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</si>
  <si>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</si>
  <si>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</si>
  <si>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</si>
  <si>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</si>
  <si>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</si>
  <si>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</si>
  <si>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</si>
  <si>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</si>
  <si>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</si>
  <si>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</si>
  <si>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</si>
  <si>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</si>
  <si>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</si>
  <si>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</si>
  <si>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</si>
  <si>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</si>
  <si>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</si>
  <si>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</si>
  <si>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</si>
  <si>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</si>
  <si>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</si>
  <si>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</si>
  <si>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</si>
  <si>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</si>
  <si>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</si>
  <si>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</si>
  <si>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</si>
  <si>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</si>
  <si>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</si>
  <si>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</si>
  <si>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</si>
  <si>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</si>
  <si>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</si>
  <si>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</si>
  <si>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</si>
  <si>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</si>
  <si>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</si>
  <si>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</si>
  <si>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</si>
  <si>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</si>
  <si>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</si>
  <si>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</si>
  <si>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</si>
  <si>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</si>
  <si>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</si>
  <si>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</si>
  <si>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</si>
  <si>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</si>
  <si>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</si>
  <si>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</si>
  <si>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</si>
  <si>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</si>
  <si>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</si>
  <si>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</si>
  <si>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</si>
  <si>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</si>
  <si>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</si>
  <si>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</si>
  <si>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</si>
  <si>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</si>
  <si>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</si>
  <si>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</si>
  <si>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</si>
  <si>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</si>
  <si>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</si>
  <si>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</si>
  <si>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</si>
  <si>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</si>
  <si>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</si>
  <si>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</si>
  <si>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</si>
  <si>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</si>
  <si>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</si>
  <si>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</si>
  <si>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</si>
  <si>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</si>
  <si>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</si>
  <si>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</si>
  <si>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</si>
  <si>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</si>
  <si>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</si>
  <si>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</si>
  <si>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</si>
  <si>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</si>
  <si>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</si>
  <si>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</si>
  <si>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</si>
  <si>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</si>
  <si>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</si>
  <si>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</si>
  <si>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</si>
  <si>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</si>
  <si>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</si>
  <si>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</si>
  <si>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</si>
  <si>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</si>
  <si>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</si>
  <si>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</si>
  <si>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</si>
  <si>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</si>
  <si>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</si>
  <si>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</si>
  <si>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</si>
  <si>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</si>
  <si>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</si>
  <si>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</si>
  <si>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</si>
  <si>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</si>
  <si>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</si>
  <si>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</si>
  <si>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</si>
  <si>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</si>
  <si>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</si>
  <si>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</si>
  <si>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</si>
  <si>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</si>
  <si>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</si>
  <si>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</si>
  <si>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</si>
  <si>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</si>
  <si>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</si>
  <si>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</si>
  <si>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</si>
  <si>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</si>
  <si>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</si>
  <si>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</si>
  <si>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</si>
  <si>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</si>
  <si>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</si>
  <si>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</si>
  <si>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</si>
  <si>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</si>
  <si>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</si>
  <si>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</si>
  <si>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</si>
  <si>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</si>
  <si>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</si>
  <si>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</si>
  <si>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</si>
  <si>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</si>
  <si>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</si>
  <si>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</si>
  <si>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</si>
  <si>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</si>
  <si>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</si>
  <si>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</si>
  <si>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</si>
  <si>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</si>
  <si>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</si>
  <si>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</si>
  <si>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</si>
  <si>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</si>
  <si>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</si>
  <si>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</si>
  <si>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</si>
  <si>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</si>
  <si>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</si>
  <si>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</si>
  <si>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</si>
  <si>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</si>
  <si>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</si>
  <si>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</si>
  <si>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</si>
  <si>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</si>
  <si>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</si>
  <si>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</si>
  <si>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</si>
  <si>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</si>
  <si>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</si>
  <si>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</si>
  <si>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</si>
  <si>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</si>
  <si>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</si>
  <si>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</si>
  <si>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</si>
  <si>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</si>
  <si>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</si>
  <si>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</si>
  <si>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</si>
  <si>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</si>
  <si>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</si>
  <si>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</si>
  <si>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</si>
  <si>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</si>
  <si>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</si>
  <si>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</si>
  <si>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</si>
  <si>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</si>
  <si>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</si>
  <si>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</si>
  <si>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</si>
  <si>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</si>
  <si>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</si>
  <si>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</si>
  <si>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</si>
  <si>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</si>
  <si>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</si>
  <si>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</si>
  <si>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</si>
  <si>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</si>
  <si>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</si>
  <si>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</si>
  <si>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</si>
  <si>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</si>
  <si>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</si>
  <si>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</si>
  <si>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</si>
  <si>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</si>
  <si>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</si>
  <si>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</si>
  <si>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</si>
  <si>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</si>
  <si>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</si>
  <si>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</si>
  <si>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</si>
  <si>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</si>
  <si>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</si>
  <si>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</si>
  <si>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</si>
  <si>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</si>
  <si>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</si>
  <si>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</si>
  <si>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</si>
  <si>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</si>
  <si>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</si>
  <si>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</si>
  <si>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</si>
  <si>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</si>
  <si>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</si>
  <si>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</si>
  <si>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</si>
  <si>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</si>
  <si>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</si>
  <si>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</si>
  <si>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</si>
  <si>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</si>
  <si>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</si>
  <si>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</si>
  <si>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</si>
  <si>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</si>
  <si>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</si>
  <si>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</si>
  <si>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</si>
  <si>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</si>
  <si>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</si>
  <si>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</si>
  <si>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</si>
  <si>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</si>
  <si>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</si>
  <si>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</si>
  <si>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</si>
  <si>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</si>
  <si>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</si>
  <si>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</si>
  <si>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</si>
  <si>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</si>
  <si>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</si>
  <si>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</si>
  <si>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</si>
  <si>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</si>
  <si>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</si>
  <si>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</si>
  <si>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</si>
  <si>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</si>
  <si>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</si>
  <si>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</si>
  <si>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</si>
  <si>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</si>
  <si>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</si>
  <si>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</si>
  <si>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</si>
  <si>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</si>
  <si>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</si>
  <si>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</si>
  <si>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</si>
  <si>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</si>
  <si>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</si>
  <si>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</si>
  <si>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</si>
  <si>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</si>
  <si>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</si>
  <si>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</si>
  <si>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</si>
  <si>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</si>
  <si>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</si>
  <si>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</si>
  <si>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</si>
  <si>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</si>
  <si>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</si>
  <si>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</si>
  <si>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</si>
  <si>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</si>
  <si>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</si>
  <si>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</si>
  <si>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</si>
  <si>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</si>
  <si>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</si>
  <si>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</si>
  <si>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</si>
  <si>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</si>
  <si>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</si>
  <si>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</si>
  <si>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</si>
  <si>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</si>
  <si>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</si>
  <si>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</si>
  <si>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</si>
  <si>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</si>
  <si>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</si>
  <si>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</si>
  <si>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</si>
  <si>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</si>
  <si>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</si>
  <si>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</si>
  <si>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</si>
  <si>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</si>
  <si>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</si>
  <si>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</si>
  <si>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</si>
  <si>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</si>
  <si>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</si>
  <si>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</si>
  <si>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</si>
  <si>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</si>
  <si>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</si>
  <si>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</si>
  <si>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</si>
  <si>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</si>
  <si>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</si>
  <si>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</si>
  <si>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</si>
  <si>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</si>
  <si>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</si>
  <si>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</si>
  <si>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</si>
  <si>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</si>
  <si>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</si>
  <si>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</si>
  <si>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</si>
  <si>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</si>
  <si>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</si>
  <si>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</si>
  <si>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</si>
  <si>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</si>
  <si>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</si>
  <si>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</si>
  <si>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</si>
  <si>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</si>
  <si>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</si>
  <si>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</si>
  <si>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</si>
  <si>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</si>
  <si>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</si>
  <si>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</si>
  <si>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</si>
  <si>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</si>
  <si>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</si>
  <si>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</si>
  <si>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</si>
  <si>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</si>
  <si>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</si>
  <si>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</si>
  <si>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</si>
  <si>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</si>
  <si>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</si>
  <si>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</si>
  <si>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</si>
  <si>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</si>
  <si>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</si>
  <si>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</si>
  <si>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</si>
  <si>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</si>
  <si>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</si>
  <si>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</si>
  <si>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</si>
  <si>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</si>
  <si>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</si>
  <si>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</si>
  <si>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</si>
  <si>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</si>
  <si>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</si>
  <si>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</si>
  <si>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</si>
  <si>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</si>
  <si>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</si>
  <si>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</si>
  <si>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</si>
  <si>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</si>
  <si>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</si>
  <si>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</si>
  <si>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</si>
  <si>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</si>
  <si>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</si>
  <si>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</si>
  <si>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</si>
  <si>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</si>
  <si>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</si>
  <si>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</si>
  <si>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</si>
  <si>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</si>
  <si>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</si>
  <si>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</si>
  <si>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</si>
  <si>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</si>
  <si>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</si>
  <si>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</si>
  <si>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</si>
  <si>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</si>
  <si>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</si>
  <si>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</si>
  <si>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</si>
  <si>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</si>
  <si>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</si>
  <si>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</si>
  <si>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</si>
  <si>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</si>
  <si>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</si>
  <si>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</si>
  <si>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</si>
  <si>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</si>
  <si>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</si>
  <si>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</si>
  <si>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</si>
  <si>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</si>
  <si>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</si>
  <si>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</si>
  <si>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</si>
  <si>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</si>
  <si>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</si>
  <si>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</si>
  <si>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</si>
  <si>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</si>
  <si>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</si>
  <si>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</si>
  <si>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</si>
  <si>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</si>
  <si>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</si>
  <si>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</si>
  <si>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</si>
  <si>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</si>
  <si>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</si>
  <si>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</si>
  <si>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</si>
  <si>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</si>
  <si>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</si>
  <si>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</si>
  <si>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</si>
  <si>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</si>
  <si>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</si>
  <si>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</si>
  <si>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</si>
  <si>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</si>
  <si>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</si>
  <si>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</si>
  <si>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</si>
  <si>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</si>
  <si>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</si>
  <si>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</si>
  <si>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</si>
  <si>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</si>
  <si>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</si>
  <si>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</si>
  <si>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</si>
  <si>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</si>
  <si>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</si>
  <si>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</si>
  <si>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</si>
  <si>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</si>
  <si>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</si>
  <si>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</si>
  <si>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</si>
  <si>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</si>
  <si>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</si>
  <si>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</si>
  <si>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</si>
  <si>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</si>
  <si>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</si>
  <si>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</si>
  <si>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</si>
  <si>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</si>
  <si>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</si>
  <si>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</si>
  <si>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</si>
  <si>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</si>
  <si>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</si>
  <si>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</si>
  <si>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</si>
  <si>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</si>
  <si>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</si>
  <si>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</si>
  <si>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</si>
  <si>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</si>
  <si>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</si>
  <si>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</si>
  <si>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</si>
  <si>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</si>
  <si>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</si>
  <si>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</si>
  <si>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</si>
  <si>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</si>
  <si>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</si>
  <si>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</si>
  <si>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</si>
  <si>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</si>
  <si>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</si>
  <si>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</si>
  <si>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</si>
  <si>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</si>
  <si>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</si>
  <si>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</si>
  <si>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</si>
  <si>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</si>
  <si>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</si>
  <si>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</si>
  <si>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</si>
  <si>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</si>
  <si>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</si>
  <si>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</si>
  <si>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</si>
  <si>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</si>
  <si>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</si>
  <si>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</si>
  <si>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</si>
  <si>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</si>
  <si>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</si>
  <si>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</si>
  <si>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</si>
  <si>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</si>
  <si>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</si>
  <si>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</si>
  <si>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</si>
  <si>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</si>
  <si>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</si>
  <si>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</si>
  <si>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</si>
  <si>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</si>
  <si>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</si>
  <si>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</si>
  <si>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</si>
  <si>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</si>
  <si>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</si>
  <si>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</si>
  <si>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</si>
  <si>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</si>
  <si>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</si>
  <si>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</si>
  <si>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</si>
  <si>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</si>
  <si>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</si>
  <si>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</si>
  <si>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</si>
  <si>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</si>
  <si>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</si>
  <si>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</si>
  <si>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</si>
  <si>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</si>
  <si>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</si>
  <si>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</si>
  <si>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</si>
  <si>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</si>
  <si>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</si>
  <si>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</si>
  <si>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</si>
  <si>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</si>
  <si>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</si>
  <si>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</si>
  <si>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</si>
  <si>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</si>
  <si>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</si>
  <si>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</si>
  <si>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</si>
  <si>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</si>
  <si>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</si>
  <si>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</si>
  <si>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</si>
  <si>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</si>
  <si>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</si>
  <si>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</si>
  <si>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</si>
  <si>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</si>
  <si>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</si>
  <si>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</si>
  <si>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</si>
  <si>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</si>
  <si>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</si>
  <si>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</si>
  <si>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</si>
  <si>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</si>
  <si>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</si>
  <si>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</si>
  <si>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</si>
  <si>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</si>
  <si>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</si>
  <si>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</si>
  <si>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</si>
  <si>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</si>
  <si>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</si>
  <si>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</si>
  <si>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</si>
  <si>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</si>
  <si>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</si>
  <si>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</si>
  <si>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</si>
  <si>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</si>
  <si>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</si>
  <si>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</si>
  <si>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</si>
  <si>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</si>
  <si>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</si>
  <si>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</si>
  <si>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</si>
  <si>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</si>
  <si>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</si>
  <si>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</si>
  <si>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</si>
  <si>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</si>
  <si>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</si>
  <si>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</si>
  <si>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</si>
  <si>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</si>
  <si>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</si>
  <si>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</si>
  <si>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</si>
  <si>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</si>
  <si>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</si>
  <si>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</si>
  <si>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</si>
  <si>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</si>
  <si>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</si>
  <si>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</si>
  <si>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</si>
  <si>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</si>
  <si>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</si>
  <si>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</si>
  <si>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</si>
  <si>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</si>
  <si>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</si>
  <si>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</si>
  <si>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</si>
  <si>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</si>
  <si>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</si>
  <si>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</si>
  <si>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</si>
  <si>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</si>
  <si>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</si>
  <si>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</si>
  <si>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</si>
  <si>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</si>
  <si>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</si>
  <si>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</si>
  <si>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</si>
  <si>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</si>
  <si>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</si>
  <si>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</si>
  <si>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</si>
  <si>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</si>
  <si>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</si>
  <si>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</si>
  <si>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</si>
  <si>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</si>
  <si>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</si>
  <si>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</si>
  <si>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</si>
  <si>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</si>
  <si>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</si>
  <si>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</si>
  <si>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</si>
  <si>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</si>
  <si>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</si>
  <si>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</si>
  <si>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</si>
  <si>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</si>
  <si>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</si>
  <si>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</si>
  <si>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</si>
  <si>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</si>
  <si>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</si>
  <si>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</si>
  <si>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</si>
  <si>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</si>
  <si>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</si>
  <si>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</si>
  <si>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</si>
  <si>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</si>
  <si>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</si>
  <si>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</si>
  <si>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</si>
  <si>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</si>
  <si>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</si>
  <si>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</si>
  <si>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</si>
  <si>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</si>
  <si>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</si>
  <si>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</si>
  <si>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</si>
  <si>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</si>
  <si>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</si>
  <si>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</si>
  <si>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</si>
  <si>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</si>
  <si>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</si>
  <si>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</si>
  <si>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</si>
  <si>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</si>
  <si>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</si>
  <si>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</si>
  <si>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</si>
  <si>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</si>
  <si>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</si>
  <si>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</si>
  <si>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</si>
  <si>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</si>
  <si>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</si>
  <si>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</si>
  <si>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</si>
  <si>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</si>
  <si>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</si>
  <si>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</si>
  <si>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</si>
  <si>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</si>
  <si>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</si>
  <si>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</si>
  <si>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</si>
  <si>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</si>
  <si>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</si>
  <si>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</si>
  <si>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</si>
  <si>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</si>
  <si>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</si>
  <si>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</si>
  <si>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</si>
  <si>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</si>
  <si>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</si>
  <si>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</si>
  <si>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</si>
  <si>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</si>
  <si>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</si>
  <si>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</si>
  <si>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</si>
  <si>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</si>
  <si>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</si>
  <si>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</si>
  <si>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</si>
  <si>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</si>
  <si>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</si>
  <si>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</si>
  <si>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</si>
  <si>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</si>
  <si>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</si>
  <si>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</si>
  <si>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</si>
  <si>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</si>
  <si>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</si>
  <si>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</si>
  <si>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</si>
  <si>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</si>
  <si>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</si>
  <si>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</si>
  <si>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</si>
  <si>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</si>
  <si>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</si>
  <si>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</si>
  <si>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</si>
  <si>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</si>
  <si>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</si>
  <si>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</si>
  <si>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</si>
  <si>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</si>
  <si>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</si>
  <si>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</si>
  <si>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</si>
  <si>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</si>
  <si>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</si>
  <si>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</si>
  <si>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</si>
  <si>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</si>
  <si>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</si>
  <si>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</si>
  <si>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</si>
  <si>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</si>
  <si>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</si>
  <si>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</si>
  <si>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</si>
  <si>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</si>
  <si>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</si>
  <si>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</si>
  <si>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</si>
  <si>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</si>
  <si>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</si>
  <si>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</si>
  <si>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</si>
  <si>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</si>
  <si>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</si>
  <si>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</si>
  <si>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</si>
  <si>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</si>
  <si>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</si>
  <si>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</si>
  <si>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</si>
  <si>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</si>
  <si>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</si>
  <si>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</si>
  <si>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</si>
  <si>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</si>
  <si>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</si>
  <si>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</si>
  <si>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</si>
  <si>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</si>
  <si>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</si>
  <si>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</si>
  <si>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</si>
  <si>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</si>
  <si>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</si>
  <si>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</si>
  <si>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</si>
  <si>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</si>
  <si>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</si>
  <si>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</si>
  <si>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</si>
  <si>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</si>
  <si>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</si>
  <si>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</si>
  <si>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</si>
  <si>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</si>
  <si>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</si>
  <si>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</si>
  <si>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</si>
  <si>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</si>
  <si>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</si>
  <si>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</si>
  <si>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</si>
  <si>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</si>
  <si>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</si>
  <si>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</si>
  <si>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</si>
  <si>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</si>
  <si>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</si>
  <si>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</si>
  <si>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</si>
  <si>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</si>
  <si>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</si>
  <si>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</si>
  <si>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</si>
  <si>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</si>
  <si>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</si>
  <si>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</si>
  <si>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</si>
  <si>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</si>
  <si>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</si>
  <si>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</si>
  <si>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</si>
  <si>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</si>
  <si>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</si>
  <si>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</si>
  <si>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</si>
  <si>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</si>
  <si>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</si>
  <si>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</si>
  <si>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</si>
  <si>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</si>
  <si>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</si>
  <si>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</si>
  <si>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</si>
  <si>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</si>
  <si>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</si>
  <si>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</si>
  <si>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</si>
  <si>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</si>
  <si>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</si>
  <si>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</si>
  <si>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</si>
  <si>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</si>
  <si>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</si>
  <si>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</si>
  <si>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</si>
  <si>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</si>
  <si>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</si>
  <si>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</si>
  <si>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</si>
  <si>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</si>
  <si>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</si>
  <si>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</si>
  <si>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</si>
  <si>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</si>
  <si>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</si>
  <si>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</si>
  <si>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</si>
  <si>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</si>
  <si>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</si>
  <si>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</si>
  <si>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</si>
  <si>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</si>
  <si>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</si>
  <si>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</si>
  <si>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</si>
  <si>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</si>
  <si>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</si>
  <si>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</si>
  <si>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</si>
  <si>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</si>
  <si>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</si>
  <si>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</si>
  <si>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</si>
  <si>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</si>
  <si>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</si>
  <si>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</si>
  <si>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</si>
  <si>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</si>
  <si>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</si>
  <si>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</si>
  <si>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</si>
  <si>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</si>
  <si>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</si>
  <si>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</si>
  <si>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</si>
  <si>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</si>
  <si>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</si>
  <si>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</si>
  <si>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</si>
  <si>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</si>
  <si>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</si>
  <si>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</si>
  <si>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</si>
  <si>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</si>
  <si>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</si>
  <si>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</si>
  <si>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</si>
  <si>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</si>
  <si>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</si>
  <si>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</si>
  <si>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</si>
  <si>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</si>
  <si>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</si>
  <si>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</si>
  <si>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</si>
  <si>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</si>
  <si>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</si>
  <si>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</si>
  <si>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</si>
  <si>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</si>
  <si>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</si>
  <si>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</si>
  <si>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</si>
  <si>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</si>
  <si>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</si>
  <si>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</si>
  <si>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</si>
  <si>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</si>
  <si>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</si>
  <si>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</si>
  <si>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</si>
  <si>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</si>
  <si>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</si>
  <si>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</si>
  <si>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</si>
  <si>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</si>
  <si>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</si>
  <si>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</si>
  <si>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</si>
  <si>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</si>
  <si>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</si>
  <si>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</si>
  <si>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</si>
  <si>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</si>
  <si>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</si>
  <si>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</si>
  <si>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</si>
  <si>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</si>
  <si>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</si>
  <si>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</si>
  <si>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</si>
  <si>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</si>
  <si>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</si>
  <si>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</si>
  <si>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</si>
  <si>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</si>
  <si>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</si>
  <si>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</si>
  <si>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</si>
  <si>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</si>
  <si>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</si>
  <si>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</si>
  <si>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</si>
  <si>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</si>
  <si>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</si>
  <si>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</si>
  <si>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</si>
  <si>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</si>
  <si>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</si>
  <si>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</si>
  <si>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</si>
  <si>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</si>
  <si>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</si>
  <si>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</si>
  <si>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</si>
  <si>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</si>
  <si>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</si>
  <si>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</si>
  <si>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</si>
  <si>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</si>
  <si>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</si>
  <si>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</si>
  <si>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</si>
  <si>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</si>
  <si>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</si>
  <si>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</si>
  <si>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</si>
  <si>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</si>
  <si>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</si>
  <si>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</si>
  <si>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</si>
  <si>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</si>
  <si>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</si>
  <si>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</si>
  <si>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</si>
  <si>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</si>
  <si>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</si>
  <si>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</si>
  <si>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</si>
  <si>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</si>
  <si>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</si>
  <si>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</si>
  <si>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</si>
  <si>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</si>
  <si>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</si>
  <si>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</si>
  <si>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</si>
  <si>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</si>
  <si>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</si>
  <si>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</si>
  <si>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</si>
  <si>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</si>
  <si>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</si>
  <si>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</si>
  <si>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</si>
  <si>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</si>
  <si>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</si>
  <si>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</si>
  <si>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</si>
  <si>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</si>
  <si>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</si>
  <si>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</si>
  <si>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</si>
  <si>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</si>
  <si>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</si>
  <si>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</si>
  <si>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</si>
  <si>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</si>
  <si>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</si>
  <si>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</si>
  <si>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</si>
  <si>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</si>
  <si>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</si>
  <si>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</si>
  <si>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</si>
  <si>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</si>
  <si>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</si>
  <si>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</si>
  <si>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</si>
  <si>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</si>
  <si>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</si>
  <si>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</si>
  <si>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</si>
  <si>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</si>
  <si>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</si>
  <si>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</si>
  <si>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</si>
  <si>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</si>
  <si>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</si>
  <si>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</si>
  <si>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</si>
  <si>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</si>
  <si>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</si>
  <si>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</si>
  <si>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</si>
  <si>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</si>
  <si>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</si>
  <si>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</si>
  <si>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</si>
  <si>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</si>
  <si>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</si>
  <si>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</si>
  <si>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</si>
  <si>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</si>
  <si>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</si>
  <si>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</si>
  <si>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</si>
  <si>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</si>
  <si>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</si>
  <si>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</si>
  <si>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</si>
  <si>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</si>
  <si>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</si>
  <si>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</si>
  <si>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</si>
  <si>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</si>
  <si>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</si>
  <si>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</si>
  <si>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</si>
  <si>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</si>
  <si>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</si>
  <si>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</si>
  <si>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</si>
  <si>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</si>
  <si>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</si>
  <si>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</si>
  <si>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</si>
  <si>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</si>
  <si>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</si>
  <si>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</si>
  <si>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</si>
  <si>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</si>
  <si>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</si>
  <si>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</si>
  <si>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</si>
  <si>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</si>
  <si>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</si>
  <si>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</si>
  <si>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</si>
  <si>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</si>
  <si>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</si>
  <si>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</si>
  <si>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</si>
  <si>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</si>
  <si>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</si>
  <si>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</si>
  <si>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</si>
  <si>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</si>
  <si>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</si>
  <si>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</si>
  <si>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</si>
  <si>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</si>
  <si>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</si>
  <si>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</si>
  <si>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</si>
  <si>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</si>
  <si>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</si>
  <si>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</si>
  <si>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</si>
  <si>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</si>
  <si>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</si>
  <si>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</si>
  <si>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</si>
  <si>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</si>
  <si>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</si>
  <si>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</si>
  <si>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</si>
  <si>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</si>
  <si>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</si>
  <si>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</si>
  <si>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</si>
  <si>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</si>
  <si>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</si>
  <si>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</si>
  <si>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</si>
  <si>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</si>
  <si>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</si>
  <si>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</si>
  <si>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</si>
  <si>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</si>
  <si>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</si>
  <si>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</si>
  <si>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</si>
  <si>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</si>
  <si>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</si>
  <si>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</si>
  <si>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</si>
  <si>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</si>
  <si>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</si>
  <si>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</si>
  <si>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</si>
  <si>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</si>
  <si>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</si>
  <si>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</si>
  <si>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</si>
  <si>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</si>
  <si>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</si>
  <si>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</si>
  <si>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</si>
  <si>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</si>
  <si>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</si>
  <si>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</si>
  <si>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</si>
  <si>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</si>
  <si>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</si>
  <si>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</si>
  <si>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</si>
  <si>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</si>
  <si>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</si>
  <si>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</si>
  <si>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</si>
  <si>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</si>
  <si>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</si>
  <si>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</si>
  <si>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</si>
  <si>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</si>
  <si>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</si>
  <si>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</si>
  <si>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</si>
  <si>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</si>
  <si>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</si>
  <si>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</si>
  <si>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</si>
  <si>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</si>
  <si>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</si>
  <si>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</si>
  <si>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</si>
  <si>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</si>
  <si>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</si>
  <si>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</si>
  <si>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</si>
  <si>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</si>
  <si>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</si>
  <si>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</si>
  <si>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</si>
  <si>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</si>
  <si>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</si>
  <si>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</si>
  <si>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</si>
  <si>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</si>
  <si>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</si>
  <si>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</si>
  <si>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</si>
  <si>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</si>
  <si>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</si>
  <si>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</si>
  <si>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</si>
  <si>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</si>
  <si>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</si>
  <si>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</si>
  <si>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</si>
  <si>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</si>
  <si>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</si>
  <si>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</si>
  <si>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</si>
  <si>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</si>
  <si>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</si>
  <si>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</si>
  <si>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</si>
  <si>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</si>
  <si>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</si>
  <si>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</si>
  <si>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</si>
  <si>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</si>
  <si>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</si>
  <si>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</si>
  <si>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</si>
  <si>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</si>
  <si>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</si>
  <si>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</si>
  <si>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</si>
  <si>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</si>
  <si>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</si>
  <si>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</si>
  <si>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</si>
  <si>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</si>
  <si>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</si>
  <si>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</si>
  <si>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</si>
  <si>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</si>
  <si>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</si>
  <si>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</si>
  <si>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</si>
  <si>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</si>
  <si>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</si>
  <si>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</si>
  <si>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</si>
  <si>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</si>
  <si>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</si>
  <si>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</si>
  <si>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</si>
  <si>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</si>
  <si>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</si>
  <si>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</si>
  <si>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</si>
  <si>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</si>
  <si>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</si>
  <si>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</si>
  <si>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</si>
  <si>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</si>
  <si>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</si>
  <si>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</si>
  <si>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</si>
  <si>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</si>
  <si>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</si>
  <si>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</si>
  <si>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</si>
  <si>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</si>
  <si>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</si>
  <si>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</si>
  <si>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</si>
  <si>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</si>
  <si>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</si>
  <si>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</si>
  <si>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</si>
  <si>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</si>
  <si>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</si>
  <si>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</si>
  <si>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</si>
  <si>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</si>
  <si>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</si>
  <si>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</si>
  <si>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</si>
  <si>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</si>
  <si>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</si>
  <si>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</si>
  <si>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</si>
  <si>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</si>
  <si>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</si>
  <si>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</si>
  <si>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</si>
  <si>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</si>
  <si>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</si>
  <si>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</si>
  <si>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</si>
  <si>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</si>
  <si>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</si>
  <si>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</si>
  <si>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</si>
  <si>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</si>
  <si>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</si>
  <si>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</si>
  <si>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</si>
  <si>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</si>
  <si>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</si>
  <si>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</si>
  <si>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</si>
  <si>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</si>
  <si>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</si>
  <si>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</si>
  <si>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</si>
  <si>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</si>
  <si>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</si>
  <si>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</si>
  <si>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</si>
  <si>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</si>
  <si>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</si>
  <si>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</si>
  <si>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</si>
  <si>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</si>
  <si>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</si>
  <si>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</si>
  <si>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</si>
  <si>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</si>
  <si>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</si>
  <si>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</si>
  <si>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</si>
  <si>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</si>
  <si>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</si>
  <si>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</si>
  <si>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</si>
  <si>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</si>
  <si>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</si>
  <si>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</si>
  <si>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</si>
  <si>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</si>
  <si>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</si>
  <si>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</si>
  <si>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</si>
  <si>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</si>
  <si>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</si>
  <si>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</si>
  <si>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</si>
  <si>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</si>
  <si>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</si>
  <si>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</si>
  <si>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</si>
  <si>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</si>
  <si>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</si>
  <si>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</si>
  <si>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</si>
  <si>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</si>
  <si>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</si>
  <si>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</si>
  <si>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</si>
  <si>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</si>
  <si>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</si>
  <si>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</si>
  <si>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</si>
  <si>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</si>
  <si>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</si>
  <si>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</si>
  <si>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</si>
  <si>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</si>
  <si>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</si>
  <si>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</si>
  <si>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</si>
  <si>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</si>
  <si>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</si>
  <si>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</si>
  <si>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</si>
  <si>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</si>
  <si>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</si>
  <si>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</si>
  <si>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</si>
  <si>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</si>
  <si>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</si>
  <si>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</si>
  <si>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</si>
  <si>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</si>
  <si>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</si>
  <si>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</si>
  <si>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</si>
  <si>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</si>
  <si>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</si>
  <si>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</si>
  <si>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</si>
  <si>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</si>
  <si>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</si>
  <si>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</si>
  <si>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</si>
  <si>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</si>
  <si>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</si>
  <si>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</si>
  <si>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</si>
  <si>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</si>
  <si>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</si>
  <si>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</si>
  <si>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</si>
  <si>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</si>
  <si>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</si>
  <si>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</si>
  <si>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</si>
  <si>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</si>
  <si>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</si>
  <si>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</si>
  <si>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</si>
  <si>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</si>
  <si>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</si>
  <si>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</si>
  <si>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</si>
  <si>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</si>
  <si>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</si>
  <si>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</si>
  <si>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</si>
  <si>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</si>
  <si>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</si>
  <si>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</si>
  <si>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</si>
  <si>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</si>
  <si>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</si>
  <si>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</si>
  <si>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</si>
  <si>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</si>
  <si>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</si>
  <si>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</si>
  <si>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</si>
  <si>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</si>
  <si>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</si>
  <si>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</si>
  <si>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</si>
  <si>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</si>
  <si>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</si>
  <si>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</si>
  <si>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</si>
  <si>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</si>
  <si>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</si>
  <si>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</si>
  <si>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</si>
  <si>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</si>
  <si>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</si>
  <si>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</si>
  <si>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</si>
  <si>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</si>
  <si>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</si>
  <si>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</si>
  <si>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</si>
  <si>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</si>
  <si>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</si>
  <si>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</si>
  <si>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</si>
  <si>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</si>
  <si>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</si>
  <si>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</si>
  <si>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</si>
  <si>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</si>
  <si>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</si>
  <si>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</si>
  <si>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</si>
  <si>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</si>
  <si>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</si>
  <si>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</si>
  <si>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</si>
  <si>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</si>
  <si>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</si>
  <si>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</si>
  <si>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</si>
  <si>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</si>
  <si>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</si>
  <si>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</si>
  <si>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</si>
  <si>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</si>
  <si>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</si>
  <si>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</si>
  <si>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</si>
  <si>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</si>
  <si>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</si>
  <si>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</si>
  <si>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</si>
  <si>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</si>
  <si>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</si>
  <si>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</si>
  <si>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</si>
  <si>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</si>
  <si>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</si>
  <si>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</si>
  <si>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</si>
  <si>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</si>
  <si>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</si>
  <si>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</si>
  <si>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</si>
  <si>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</si>
  <si>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</si>
  <si>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</si>
  <si>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</si>
  <si>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</si>
  <si>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</si>
  <si>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</si>
  <si>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</si>
  <si>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</si>
  <si>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</si>
  <si>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</si>
  <si>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</si>
  <si>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</si>
  <si>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</si>
  <si>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</si>
  <si>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</si>
  <si>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</si>
  <si>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</si>
  <si>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</si>
  <si>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</si>
  <si>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</si>
  <si>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</si>
  <si>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</si>
  <si>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</si>
  <si>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</si>
  <si>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</si>
  <si>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</si>
  <si>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</si>
  <si>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</si>
  <si>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</si>
  <si>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</si>
  <si>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</si>
  <si>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</si>
  <si>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</si>
  <si>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</si>
  <si>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</si>
  <si>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</si>
  <si>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</si>
  <si>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</si>
  <si>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</si>
  <si>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</si>
  <si>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</si>
  <si>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</si>
  <si>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</si>
  <si>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</si>
  <si>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</si>
  <si>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</si>
  <si>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</si>
  <si>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</si>
  <si>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</si>
  <si>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</si>
  <si>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</si>
  <si>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</si>
  <si>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</si>
  <si>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</si>
  <si>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</si>
  <si>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</si>
  <si>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</si>
  <si>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</si>
  <si>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</si>
  <si>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</si>
  <si>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</si>
  <si>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</si>
  <si>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</si>
  <si>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</si>
  <si>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</si>
  <si>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</si>
  <si>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</si>
  <si>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</si>
  <si>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</si>
  <si>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</si>
  <si>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</si>
  <si>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</si>
  <si>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</si>
  <si>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</si>
  <si>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</si>
  <si>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</si>
  <si>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</si>
  <si>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</si>
  <si>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</si>
  <si>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</si>
  <si>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</si>
  <si>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</si>
  <si>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</si>
  <si>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</si>
  <si>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</si>
  <si>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</si>
  <si>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</si>
  <si>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</si>
  <si>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</si>
  <si>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</si>
  <si>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</si>
  <si>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</si>
  <si>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</si>
  <si>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</si>
  <si>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</si>
  <si>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</si>
  <si>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</si>
  <si>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</si>
  <si>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</si>
  <si>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</si>
  <si>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</si>
  <si>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</si>
  <si>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</si>
  <si>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</si>
  <si>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</si>
  <si>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</si>
  <si>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</si>
  <si>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</si>
  <si>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</si>
  <si>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</si>
  <si>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</si>
  <si>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</si>
  <si>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</si>
  <si>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</si>
  <si>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</si>
  <si>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</si>
  <si>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</si>
  <si>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</si>
  <si>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</si>
  <si>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</si>
  <si>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</si>
  <si>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</si>
  <si>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</si>
  <si>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</si>
  <si>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</si>
  <si>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</si>
  <si>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</si>
  <si>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</si>
  <si>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</si>
  <si>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</si>
  <si>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</si>
  <si>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</si>
  <si>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</si>
  <si>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</si>
  <si>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</si>
  <si>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</si>
  <si>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</si>
  <si>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</si>
  <si>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</si>
  <si>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</si>
  <si>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</si>
  <si>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</si>
  <si>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</si>
  <si>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</si>
  <si>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</si>
  <si>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</si>
  <si>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</si>
  <si>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</si>
  <si>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</si>
  <si>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</si>
  <si>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</si>
  <si>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</si>
  <si>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</si>
  <si>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</si>
  <si>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</si>
  <si>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</si>
  <si>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</si>
  <si>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</si>
  <si>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</si>
  <si>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</si>
  <si>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</si>
  <si>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</si>
  <si>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</si>
  <si>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</si>
  <si>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</si>
  <si>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</si>
  <si>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</si>
  <si>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</si>
  <si>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</si>
  <si>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</si>
  <si>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</si>
  <si>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</si>
  <si>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</si>
  <si>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</si>
  <si>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</si>
  <si>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</si>
  <si>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</si>
  <si>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</si>
  <si>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</si>
  <si>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</si>
  <si>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</si>
  <si>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</si>
  <si>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</si>
  <si>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</si>
  <si>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</si>
  <si>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</si>
  <si>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</si>
  <si>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</si>
  <si>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</si>
  <si>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</si>
  <si>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</si>
  <si>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</si>
  <si>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</si>
  <si>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</si>
  <si>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</si>
  <si>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</si>
  <si>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</si>
  <si>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</si>
  <si>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</si>
  <si>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</si>
  <si>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</si>
  <si>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</si>
  <si>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</si>
  <si>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</si>
  <si>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</si>
  <si>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</si>
  <si>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</si>
  <si>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</si>
  <si>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</si>
  <si>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</si>
  <si>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</si>
  <si>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</si>
  <si>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</si>
  <si>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</si>
  <si>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</si>
  <si>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</si>
  <si>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</si>
  <si>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</si>
  <si>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</si>
  <si>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</si>
  <si>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</si>
  <si>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</si>
  <si>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</si>
  <si>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</si>
  <si>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</si>
  <si>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</si>
  <si>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</si>
  <si>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</si>
  <si>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</si>
  <si>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</si>
  <si>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</si>
  <si>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</si>
  <si>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</si>
  <si>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</si>
  <si>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</si>
  <si>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</si>
  <si>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</si>
  <si>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</si>
  <si>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</si>
  <si>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</si>
  <si>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</si>
  <si>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</si>
  <si>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</si>
  <si>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</si>
  <si>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</si>
  <si>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</si>
  <si>
    <t>전체종목</t>
    <phoneticPr fontId="1" type="noConversion"/>
  </si>
  <si>
    <t>종목코드</t>
    <phoneticPr fontId="1" type="noConversion"/>
  </si>
  <si>
    <t>종목명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</si>
  <si>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</si>
  <si>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</si>
  <si>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</si>
  <si>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</si>
  <si>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</si>
  <si>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</si>
  <si>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EPS</t>
    <phoneticPr fontId="1" type="noConversion"/>
  </si>
  <si>
    <t>BPS</t>
    <phoneticPr fontId="1" type="noConversion"/>
  </si>
  <si>
    <t>PER</t>
    <phoneticPr fontId="1" type="noConversion"/>
  </si>
  <si>
    <t>PBR</t>
    <phoneticPr fontId="1" type="noConversion"/>
  </si>
  <si>
    <t xml:space="preserve">EV/ EVITA </t>
    <phoneticPr fontId="1" type="noConversion"/>
  </si>
  <si>
    <t>적지</t>
  </si>
  <si>
    <t>삼현</t>
  </si>
  <si>
    <t>탈로스</t>
  </si>
  <si>
    <t>바이오프로테크</t>
  </si>
  <si>
    <t>완전잠식</t>
  </si>
  <si>
    <t>가이아코퍼레이션</t>
  </si>
  <si>
    <t>지슨</t>
  </si>
  <si>
    <t>아하</t>
  </si>
  <si>
    <t>N/A(IFRS)</t>
  </si>
  <si>
    <t>한국피아이엠</t>
  </si>
  <si>
    <t>이비테크</t>
  </si>
  <si>
    <t>애머릿지</t>
  </si>
  <si>
    <t>라피치</t>
  </si>
  <si>
    <t>마이크로엔엑스</t>
  </si>
  <si>
    <t>미래엔에듀파트너</t>
  </si>
  <si>
    <t>나눔테크</t>
  </si>
  <si>
    <t>노브랜드</t>
  </si>
  <si>
    <t>카이바이오텍</t>
  </si>
  <si>
    <t>안지오랩</t>
  </si>
  <si>
    <t>대주이엔티</t>
  </si>
  <si>
    <t>바스칸바이오제약</t>
  </si>
  <si>
    <t>SK시그넷</t>
  </si>
  <si>
    <t>엘에이티</t>
  </si>
  <si>
    <t>태양기계</t>
  </si>
  <si>
    <t>삐아</t>
  </si>
  <si>
    <t>듀켐바이오</t>
  </si>
  <si>
    <t>바이오텐</t>
  </si>
  <si>
    <t>삼미금속</t>
  </si>
  <si>
    <t>코오롱티슈진</t>
  </si>
  <si>
    <t>코나솔</t>
  </si>
  <si>
    <t>썬테크</t>
  </si>
  <si>
    <t>비엘헬스케어</t>
  </si>
  <si>
    <t>블루탑</t>
  </si>
  <si>
    <t>아이케이세미콘</t>
  </si>
  <si>
    <t>큐엠씨</t>
  </si>
  <si>
    <t>JTC</t>
  </si>
  <si>
    <t>에스알바이오텍</t>
  </si>
  <si>
    <t>로지스몬</t>
  </si>
  <si>
    <t>KC산업</t>
  </si>
  <si>
    <t>타임기술</t>
  </si>
  <si>
    <t>크로넥스</t>
  </si>
  <si>
    <t>이노벡스</t>
  </si>
  <si>
    <t>길교이앤씨</t>
  </si>
  <si>
    <t>미쥬</t>
  </si>
  <si>
    <t>소마젠</t>
  </si>
  <si>
    <t>이브이파킹서비스</t>
  </si>
  <si>
    <t>유엑스엔</t>
  </si>
  <si>
    <t>이성씨엔아이</t>
  </si>
  <si>
    <t>진코스텍</t>
  </si>
  <si>
    <t>에피바이오텍</t>
  </si>
  <si>
    <t>엔에스컴퍼니</t>
  </si>
  <si>
    <t>코셋</t>
  </si>
  <si>
    <t>데이터스트림즈</t>
  </si>
  <si>
    <t>티엘엔지니어링</t>
  </si>
  <si>
    <t>무진메디</t>
  </si>
  <si>
    <t>오건에코텍</t>
  </si>
  <si>
    <t>큐라켐</t>
  </si>
  <si>
    <t>렌딩머신</t>
  </si>
  <si>
    <t>카티스</t>
  </si>
  <si>
    <t>씨알푸드</t>
  </si>
  <si>
    <t>한국미라클피플사</t>
  </si>
  <si>
    <t>엔젤로보틱스</t>
  </si>
  <si>
    <t>메디젠휴먼케어</t>
  </si>
  <si>
    <t>엔솔바이오사이언스</t>
  </si>
  <si>
    <t>뿌리깊은나무들</t>
  </si>
  <si>
    <t>씨앗</t>
  </si>
  <si>
    <t>아이엠비디엑스</t>
  </si>
  <si>
    <t>민테크</t>
  </si>
  <si>
    <t>나라소프트</t>
  </si>
  <si>
    <t>부채비율</t>
    <phoneticPr fontId="1" type="noConversion"/>
  </si>
  <si>
    <t>나우코스</t>
  </si>
  <si>
    <t>셀젠텍</t>
  </si>
  <si>
    <t>루켄테크놀러지스</t>
  </si>
  <si>
    <t>메디쎄이</t>
  </si>
  <si>
    <t>에스제이켐</t>
  </si>
  <si>
    <t>타이드</t>
  </si>
  <si>
    <t>제이투케이바이오</t>
  </si>
  <si>
    <t>파마리서치바이오</t>
  </si>
  <si>
    <t>지에프씨생명과학</t>
  </si>
  <si>
    <t>아이오바이오</t>
  </si>
  <si>
    <t>naver get CodeFiance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</si>
</sst>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2" fillId="11" borderId="17" xfId="4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176" fontId="3" fillId="6" borderId="0" xfId="1" applyNumberFormat="1" applyAlignment="1">
      <alignment horizontal="center" vertical="center"/>
    </xf>
    <xf numFmtId="176" fontId="4" fillId="7" borderId="10" xfId="0" applyNumberFormat="1" applyFont="1" applyFill="1" applyBorder="1">
      <alignment vertical="center"/>
    </xf>
    <xf numFmtId="0" fontId="13" fillId="7" borderId="11" xfId="0" applyFont="1" applyFill="1" applyBorder="1">
      <alignment vertical="center"/>
    </xf>
    <xf numFmtId="0" fontId="13" fillId="7" borderId="12" xfId="0" applyFont="1" applyFill="1" applyBorder="1">
      <alignment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Bad" xfId="3" builtinId="27"/>
    <cellStyle name="Good" xfId="2" builtinId="26"/>
    <cellStyle name="Neutral" xfId="1" builtinId="28"/>
    <cellStyle name="Normal" xfId="0" builtinId="0"/>
    <cellStyle name="Normal 2" xfId="4"/>
  </cellStyles>
  <dxfs count="7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75" dataDxfId="73" headerRowBorderDxfId="74" tableBorderDxfId="72" totalsRowBorderDxfId="71">
  <autoFilter ref="C10:Q37"/>
  <tableColumns count="15">
    <tableColumn id="1" name="요청ID" dataDxfId="70"/>
    <tableColumn id="2" name="결재요청자" dataDxfId="69"/>
    <tableColumn id="3" name="긴급여부" dataDxfId="68"/>
    <tableColumn id="4" name="결재요청구분" dataDxfId="67"/>
    <tableColumn id="5" name="결재요청제목" dataDxfId="66"/>
    <tableColumn id="6" name="결재요청세부내용" dataDxfId="65"/>
    <tableColumn id="7" name="결재라인" dataDxfId="64"/>
    <tableColumn id="8" name="결재 1차" dataDxfId="63"/>
    <tableColumn id="9" name="결재 2차" dataDxfId="62"/>
    <tableColumn id="10" name="결재 3차" dataDxfId="61"/>
    <tableColumn id="11" name="제출상태" dataDxfId="60"/>
    <tableColumn id="12" name="결재요청일" dataDxfId="59"/>
    <tableColumn id="13" name="진행상황" dataDxfId="58"/>
    <tableColumn id="14" name="결재결과" dataDxfId="57"/>
    <tableColumn id="15" name="결재의견" dataDxfId="5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55" headerRowBorderDxfId="54" tableBorderDxfId="53">
  <autoFilter ref="O4:AA14"/>
  <tableColumns count="13">
    <tableColumn id="1" name="년도"/>
    <tableColumn id="2" name="1월" dataDxfId="52"/>
    <tableColumn id="3" name="2월" dataDxfId="51"/>
    <tableColumn id="4" name="3월" dataDxfId="50"/>
    <tableColumn id="5" name="4월" dataDxfId="49"/>
    <tableColumn id="6" name="5월" dataDxfId="48"/>
    <tableColumn id="7" name="6월" dataDxfId="47"/>
    <tableColumn id="8" name="7월" dataDxfId="46"/>
    <tableColumn id="9" name="8월" dataDxfId="45"/>
    <tableColumn id="10" name="9월" dataDxfId="44"/>
    <tableColumn id="11" name="10월" dataDxfId="43"/>
    <tableColumn id="12" name="11월" dataDxfId="42"/>
    <tableColumn id="13" name="12월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40" dataDxfId="38" headerRowBorderDxfId="39" tableBorderDxfId="37" totalsRowBorderDxfId="36">
  <autoFilter ref="O23:AA29"/>
  <tableColumns count="13">
    <tableColumn id="1" name="년도" dataDxfId="35"/>
    <tableColumn id="2" name="1월" dataDxfId="34"/>
    <tableColumn id="3" name="2월" dataDxfId="33"/>
    <tableColumn id="4" name="3월" dataDxfId="32"/>
    <tableColumn id="5" name="4월" dataDxfId="31"/>
    <tableColumn id="6" name="5월" dataDxfId="30"/>
    <tableColumn id="7" name="6월" dataDxfId="29"/>
    <tableColumn id="8" name="7월" dataDxfId="28"/>
    <tableColumn id="9" name="8월" dataDxfId="27"/>
    <tableColumn id="10" name="9월" dataDxfId="26"/>
    <tableColumn id="11" name="10월" dataDxfId="25"/>
    <tableColumn id="12" name="11월" dataDxfId="24"/>
    <tableColumn id="13" name="12월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22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21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255">
    <sortCondition ref="C5:C959"/>
  </sortState>
  <tableColumns count="5">
    <tableColumn id="1" name="종목코드" dataDxfId="20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sortState ref="A6:O79">
    <sortCondition ref="E5:E79"/>
  </sortState>
  <tableColumns count="15">
    <tableColumn id="1" name="종목코드" dataDxfId="19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01:N1222" totalsRowShown="0" headerRowDxfId="18" headerRowBorderDxfId="17">
  <autoFilter ref="A101:N1222"/>
  <sortState ref="A102:N1220">
    <sortCondition descending="1" ref="B101:B1220"/>
  </sortState>
  <tableColumns count="14">
    <tableColumn id="1" name="종목코드" dataDxfId="16"/>
    <tableColumn id="2" name="종목명"/>
    <tableColumn id="3" name="시장"/>
    <tableColumn id="4" name="부채비율"/>
    <tableColumn id="5" name="유보율"/>
    <tableColumn id="6" name="매출액 증가율"/>
    <tableColumn id="7" name="EPS 증가율"/>
    <tableColumn id="8" name="ROA"/>
    <tableColumn id="9" name="ROE"/>
    <tableColumn id="10" name="EPS"/>
    <tableColumn id="11" name="BPS"/>
    <tableColumn id="12" name="PER"/>
    <tableColumn id="13" name="PBR"/>
    <tableColumn id="14" name="EV/ EVITA 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5:M2627" totalsRowShown="0" headerRowDxfId="15" headerRowBorderDxfId="14" tableBorderDxfId="13" headerRowCellStyle="Normal 2">
  <autoFilter ref="A5:M2627"/>
  <tableColumns count="13">
    <tableColumn id="1" name="종목코드" dataDxfId="12"/>
    <tableColumn id="2" name="종목명"/>
    <tableColumn id="3" name="종가"/>
    <tableColumn id="4" name="대비"/>
    <tableColumn id="5" name="등락률"/>
    <tableColumn id="6" name="EPS"/>
    <tableColumn id="7" name="PER"/>
    <tableColumn id="8" name="선행 EPS"/>
    <tableColumn id="9" name="선행 PER"/>
    <tableColumn id="10" name="BPS"/>
    <tableColumn id="11" name="PBR"/>
    <tableColumn id="12" name="주당배당금"/>
    <tableColumn id="13" name="배당수익률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표7" displayName="표7" ref="A4:L40" totalsRowShown="0">
  <autoFilter ref="A4:L40"/>
  <sortState ref="A5:L42">
    <sortCondition descending="1" ref="J4:J42"/>
  </sortState>
  <tableColumns count="12">
    <tableColumn id="1" name="종목코드" dataDxfId="11"/>
    <tableColumn id="2" name="종목명" dataDxfId="10">
      <calculatedColumnFormula>IFERROR(VLOOKUP(표7[[#This Row],[종목코드]],krxData_재무!$A$6:$E$2805,2,0),"-")</calculatedColumnFormula>
    </tableColumn>
    <tableColumn id="3" name="PER" dataDxfId="9">
      <calculatedColumnFormula>IFERROR(VLOOKUP(표7[[#This Row],[종목코드]],pyKrx_Stock!$A$6:$E$262,3,0),"-")</calculatedColumnFormula>
    </tableColumn>
    <tableColumn id="4" name="PBR" dataDxfId="8">
      <calculatedColumnFormula>IFERROR(VLOOKUP(표7[[#This Row],[종목코드]],pyKrx_Stock!$A$6:$E$262,4,0),"-")</calculatedColumnFormula>
    </tableColumn>
    <tableColumn id="5" name="DIV" dataDxfId="7">
      <calculatedColumnFormula>IFERROR(VLOOKUP(표7[[#This Row],[종목코드]],pyKrx_Stock!$A$6:$E$262,5,0),"-")</calculatedColumnFormula>
    </tableColumn>
    <tableColumn id="6" name="EPS" dataDxfId="6">
      <calculatedColumnFormula>IFERROR(VLOOKUP(표7[[#This Row],[종목코드]],krxData_재무!$A$6:$M$2805,6,0),"-")</calculatedColumnFormula>
    </tableColumn>
    <tableColumn id="7" name="BPS" dataDxfId="5">
      <calculatedColumnFormula>IFERROR(VLOOKUP(표7[[#This Row],[종목코드]],krxData_재무!$A$6:$M$2805,10,0),"-")</calculatedColumnFormula>
    </tableColumn>
    <tableColumn id="8" name="PER(KrxData)" dataDxfId="4">
      <calculatedColumnFormula>IFERROR(VLOOKUP(표7[[#This Row],[종목코드]],krxData_재무!$A$6:$M$2805,7,0),"-")</calculatedColumnFormula>
    </tableColumn>
    <tableColumn id="9" name="PBR(KrxData)" dataDxfId="3">
      <calculatedColumnFormula>IFERROR(VLOOKUP(표7[[#This Row],[종목코드]],krxData_재무!$A$6:$M$2805,11,0),"-")</calculatedColumnFormula>
    </tableColumn>
    <tableColumn id="10" name=" 배당수익율(KrxData )" dataDxfId="2">
      <calculatedColumnFormula>IFERROR(VLOOKUP(표7[[#This Row],[종목코드]],krxData_재무!$A$6:$M$2805,13,0),"-")</calculatedColumnFormula>
    </tableColumn>
    <tableColumn id="11" name="부채비율" dataDxfId="1">
      <calculatedColumnFormula>IFERROR(VLOOKUP(표7[[#This Row],[종목명]],fnguide!$B$101:$N$1300,3,0),"-")</calculatedColumnFormula>
    </tableColumn>
    <tableColumn id="12" name="EPS 증가율" dataDxfId="0">
      <calculatedColumnFormula>IFERROR(VLOOKUP(표7[[#This Row],[종목명]],fnguide!$B$101:$N$1300,6,0),"-")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>
      <c r="C11" s="42">
        <v>1</v>
      </c>
      <c r="D11" s="43" t="s">
        <v>15</v>
      </c>
      <c r="E11" s="43" t="s">
        <v>16</v>
      </c>
      <c r="F11" s="43" t="s">
        <v>17</v>
      </c>
      <c r="G11" s="43" t="s">
        <v>17</v>
      </c>
      <c r="H11" s="43" t="s">
        <v>18</v>
      </c>
      <c r="I11" s="44" t="s">
        <v>19</v>
      </c>
      <c r="J11" s="43"/>
      <c r="K11" s="43"/>
      <c r="L11" s="43"/>
      <c r="M11" s="43" t="s">
        <v>20</v>
      </c>
      <c r="N11" s="45">
        <v>44812.465541006946</v>
      </c>
      <c r="O11" s="44" t="s">
        <v>21</v>
      </c>
      <c r="P11" s="44" t="s">
        <v>22</v>
      </c>
      <c r="Q11" s="46"/>
    </row>
    <row r="12" spans="3:17">
      <c r="C12" s="42">
        <v>2</v>
      </c>
      <c r="D12" s="43" t="s">
        <v>19</v>
      </c>
      <c r="E12" s="43" t="s">
        <v>16</v>
      </c>
      <c r="F12" s="43" t="s">
        <v>23</v>
      </c>
      <c r="G12" s="43" t="s">
        <v>24</v>
      </c>
      <c r="H12" s="43" t="s">
        <v>25</v>
      </c>
      <c r="I12" s="44" t="s">
        <v>26</v>
      </c>
      <c r="J12" s="43"/>
      <c r="K12" s="43"/>
      <c r="L12" s="43"/>
      <c r="M12" s="43" t="s">
        <v>20</v>
      </c>
      <c r="N12" s="45">
        <v>44812.466991122688</v>
      </c>
      <c r="O12" s="44" t="s">
        <v>21</v>
      </c>
      <c r="P12" s="44" t="s">
        <v>22</v>
      </c>
      <c r="Q12" s="46"/>
    </row>
    <row r="13" spans="3:17" ht="33">
      <c r="C13" s="42">
        <v>3</v>
      </c>
      <c r="D13" s="43" t="s">
        <v>27</v>
      </c>
      <c r="E13" s="43" t="s">
        <v>16</v>
      </c>
      <c r="F13" s="43" t="s">
        <v>28</v>
      </c>
      <c r="G13" s="43" t="s">
        <v>29</v>
      </c>
      <c r="H13" s="43" t="s">
        <v>30</v>
      </c>
      <c r="I13" s="44" t="s">
        <v>31</v>
      </c>
      <c r="J13" s="43"/>
      <c r="K13" s="43"/>
      <c r="L13" s="43"/>
      <c r="M13" s="43" t="s">
        <v>20</v>
      </c>
      <c r="N13" s="45">
        <v>44819.476358020831</v>
      </c>
      <c r="O13" s="44" t="s">
        <v>21</v>
      </c>
      <c r="P13" s="44" t="s">
        <v>22</v>
      </c>
      <c r="Q13" s="47" t="s">
        <v>32</v>
      </c>
    </row>
    <row r="14" spans="3:17" ht="24.75" customHeight="1">
      <c r="C14" s="42">
        <v>4</v>
      </c>
      <c r="D14" s="43" t="s">
        <v>19</v>
      </c>
      <c r="E14" s="43" t="s">
        <v>16</v>
      </c>
      <c r="F14" s="43" t="s">
        <v>28</v>
      </c>
      <c r="G14" s="43" t="s">
        <v>33</v>
      </c>
      <c r="H14" s="43" t="s">
        <v>34</v>
      </c>
      <c r="I14" s="44" t="s">
        <v>26</v>
      </c>
      <c r="J14" s="43"/>
      <c r="K14" s="43"/>
      <c r="L14" s="43"/>
      <c r="M14" s="43" t="s">
        <v>20</v>
      </c>
      <c r="N14" s="45">
        <v>44823.477082638892</v>
      </c>
      <c r="O14" s="44" t="s">
        <v>21</v>
      </c>
      <c r="P14" s="44" t="s">
        <v>22</v>
      </c>
      <c r="Q14" s="48" t="s">
        <v>35</v>
      </c>
    </row>
    <row r="15" spans="3:17">
      <c r="C15" s="42">
        <v>5</v>
      </c>
      <c r="D15" s="43" t="s">
        <v>19</v>
      </c>
      <c r="E15" s="43" t="s">
        <v>16</v>
      </c>
      <c r="F15" s="43" t="s">
        <v>28</v>
      </c>
      <c r="G15" s="43" t="s">
        <v>36</v>
      </c>
      <c r="H15" s="43" t="s">
        <v>37</v>
      </c>
      <c r="I15" s="44" t="s">
        <v>26</v>
      </c>
      <c r="J15" s="43"/>
      <c r="K15" s="43"/>
      <c r="L15" s="43"/>
      <c r="M15" s="43" t="s">
        <v>20</v>
      </c>
      <c r="N15" s="45">
        <v>44826.423970104166</v>
      </c>
      <c r="O15" s="44" t="s">
        <v>21</v>
      </c>
      <c r="P15" s="44" t="s">
        <v>22</v>
      </c>
      <c r="Q15" s="46" t="s">
        <v>38</v>
      </c>
    </row>
    <row r="16" spans="3:17">
      <c r="C16" s="42">
        <v>6</v>
      </c>
      <c r="D16" s="43" t="s">
        <v>39</v>
      </c>
      <c r="E16" s="43" t="s">
        <v>16</v>
      </c>
      <c r="F16" s="43" t="s">
        <v>28</v>
      </c>
      <c r="G16" s="43" t="s">
        <v>29</v>
      </c>
      <c r="H16" s="43" t="s">
        <v>40</v>
      </c>
      <c r="I16" s="44" t="s">
        <v>31</v>
      </c>
      <c r="J16" s="43"/>
      <c r="K16" s="43"/>
      <c r="L16" s="43"/>
      <c r="M16" s="43" t="s">
        <v>41</v>
      </c>
      <c r="N16" s="45">
        <v>44841.694317013891</v>
      </c>
      <c r="O16" s="44" t="s">
        <v>42</v>
      </c>
      <c r="P16" s="44" t="s">
        <v>43</v>
      </c>
      <c r="Q16" s="46" t="s">
        <v>44</v>
      </c>
    </row>
    <row r="17" spans="3:17">
      <c r="C17" s="42">
        <v>7</v>
      </c>
      <c r="D17" s="43" t="s">
        <v>27</v>
      </c>
      <c r="E17" s="43" t="s">
        <v>16</v>
      </c>
      <c r="F17" s="43" t="s">
        <v>28</v>
      </c>
      <c r="G17" s="43" t="s">
        <v>29</v>
      </c>
      <c r="H17" s="43" t="s">
        <v>45</v>
      </c>
      <c r="I17" s="44" t="s">
        <v>31</v>
      </c>
      <c r="J17" s="43"/>
      <c r="K17" s="43"/>
      <c r="L17" s="43"/>
      <c r="M17" s="43" t="s">
        <v>41</v>
      </c>
      <c r="N17" s="45">
        <v>44845.662641817129</v>
      </c>
      <c r="O17" s="44" t="s">
        <v>42</v>
      </c>
      <c r="P17" s="44" t="s">
        <v>43</v>
      </c>
      <c r="Q17" s="46" t="s">
        <v>44</v>
      </c>
    </row>
    <row r="18" spans="3:17" ht="33">
      <c r="C18" s="42">
        <v>8</v>
      </c>
      <c r="D18" s="43" t="s">
        <v>27</v>
      </c>
      <c r="E18" s="43" t="s">
        <v>16</v>
      </c>
      <c r="F18" s="43" t="s">
        <v>28</v>
      </c>
      <c r="G18" s="43" t="s">
        <v>29</v>
      </c>
      <c r="H18" s="49" t="s">
        <v>46</v>
      </c>
      <c r="I18" s="44" t="s">
        <v>31</v>
      </c>
      <c r="J18" s="43"/>
      <c r="K18" s="43"/>
      <c r="L18" s="43"/>
      <c r="M18" s="43" t="s">
        <v>20</v>
      </c>
      <c r="N18" s="45">
        <v>44848.662412847225</v>
      </c>
      <c r="O18" s="44" t="s">
        <v>21</v>
      </c>
      <c r="P18" s="44" t="s">
        <v>22</v>
      </c>
      <c r="Q18" s="46"/>
    </row>
    <row r="19" spans="3:17">
      <c r="C19" s="42">
        <v>9</v>
      </c>
      <c r="D19" s="43" t="s">
        <v>39</v>
      </c>
      <c r="E19" s="43" t="s">
        <v>16</v>
      </c>
      <c r="F19" s="43" t="s">
        <v>28</v>
      </c>
      <c r="G19" s="43" t="s">
        <v>29</v>
      </c>
      <c r="H19" s="43" t="s">
        <v>47</v>
      </c>
      <c r="I19" s="44" t="s">
        <v>48</v>
      </c>
      <c r="J19" s="43"/>
      <c r="K19" s="43"/>
      <c r="L19" s="43"/>
      <c r="M19" s="43" t="s">
        <v>41</v>
      </c>
      <c r="N19" s="45">
        <v>44848.664164548609</v>
      </c>
      <c r="O19" s="44" t="s">
        <v>42</v>
      </c>
      <c r="P19" s="44" t="s">
        <v>43</v>
      </c>
      <c r="Q19" s="46" t="s">
        <v>49</v>
      </c>
    </row>
    <row r="20" spans="3:17">
      <c r="C20" s="42">
        <v>10</v>
      </c>
      <c r="D20" s="43" t="s">
        <v>39</v>
      </c>
      <c r="E20" s="43" t="s">
        <v>16</v>
      </c>
      <c r="F20" s="43" t="s">
        <v>28</v>
      </c>
      <c r="G20" s="43" t="s">
        <v>29</v>
      </c>
      <c r="H20" s="43" t="s">
        <v>50</v>
      </c>
      <c r="I20" s="44" t="s">
        <v>31</v>
      </c>
      <c r="J20" s="43"/>
      <c r="K20" s="43"/>
      <c r="L20" s="43"/>
      <c r="M20" s="43" t="s">
        <v>20</v>
      </c>
      <c r="N20" s="45">
        <v>44851.473677199072</v>
      </c>
      <c r="O20" s="44" t="s">
        <v>21</v>
      </c>
      <c r="P20" s="44" t="s">
        <v>22</v>
      </c>
      <c r="Q20" s="46"/>
    </row>
    <row r="21" spans="3:17">
      <c r="C21" s="42">
        <v>14</v>
      </c>
      <c r="D21" s="43" t="s">
        <v>19</v>
      </c>
      <c r="E21" s="43" t="s">
        <v>16</v>
      </c>
      <c r="F21" s="43" t="s">
        <v>28</v>
      </c>
      <c r="G21" s="43" t="s">
        <v>29</v>
      </c>
      <c r="H21" s="43" t="s">
        <v>51</v>
      </c>
      <c r="I21" s="44" t="s">
        <v>26</v>
      </c>
      <c r="J21" s="43"/>
      <c r="K21" s="43"/>
      <c r="L21" s="43"/>
      <c r="M21" s="43" t="s">
        <v>20</v>
      </c>
      <c r="N21" s="45">
        <v>44858.57252577546</v>
      </c>
      <c r="O21" s="44" t="s">
        <v>21</v>
      </c>
      <c r="P21" s="44" t="s">
        <v>22</v>
      </c>
      <c r="Q21" s="46" t="s">
        <v>52</v>
      </c>
    </row>
    <row r="22" spans="3:17">
      <c r="C22" s="42">
        <v>15</v>
      </c>
      <c r="D22" s="43" t="s">
        <v>19</v>
      </c>
      <c r="E22" s="43" t="s">
        <v>16</v>
      </c>
      <c r="F22" s="43" t="s">
        <v>28</v>
      </c>
      <c r="G22" s="43" t="s">
        <v>29</v>
      </c>
      <c r="H22" s="43" t="s">
        <v>53</v>
      </c>
      <c r="I22" s="44" t="s">
        <v>26</v>
      </c>
      <c r="J22" s="43"/>
      <c r="K22" s="43"/>
      <c r="L22" s="43"/>
      <c r="M22" s="43" t="s">
        <v>20</v>
      </c>
      <c r="N22" s="45">
        <v>44858.574889849537</v>
      </c>
      <c r="O22" s="44" t="s">
        <v>21</v>
      </c>
      <c r="P22" s="44" t="s">
        <v>22</v>
      </c>
      <c r="Q22" s="46"/>
    </row>
    <row r="23" spans="3:17">
      <c r="C23" s="42">
        <v>17</v>
      </c>
      <c r="D23" s="43" t="s">
        <v>19</v>
      </c>
      <c r="E23" s="43" t="s">
        <v>16</v>
      </c>
      <c r="F23" s="43" t="s">
        <v>28</v>
      </c>
      <c r="G23" s="43" t="s">
        <v>29</v>
      </c>
      <c r="H23" s="43" t="s">
        <v>54</v>
      </c>
      <c r="I23" s="44" t="s">
        <v>26</v>
      </c>
      <c r="J23" s="43"/>
      <c r="K23" s="43"/>
      <c r="L23" s="43"/>
      <c r="M23" s="43" t="s">
        <v>20</v>
      </c>
      <c r="N23" s="45">
        <v>44860.386775312501</v>
      </c>
      <c r="O23" s="44" t="s">
        <v>21</v>
      </c>
      <c r="P23" s="44" t="s">
        <v>22</v>
      </c>
      <c r="Q23" s="46"/>
    </row>
    <row r="24" spans="3:17">
      <c r="C24" s="42">
        <v>18</v>
      </c>
      <c r="D24" s="43" t="s">
        <v>19</v>
      </c>
      <c r="E24" s="43" t="s">
        <v>16</v>
      </c>
      <c r="F24" s="43" t="s">
        <v>28</v>
      </c>
      <c r="G24" s="43" t="s">
        <v>29</v>
      </c>
      <c r="H24" s="43" t="s">
        <v>55</v>
      </c>
      <c r="I24" s="44" t="s">
        <v>26</v>
      </c>
      <c r="J24" s="43"/>
      <c r="K24" s="43"/>
      <c r="L24" s="43"/>
      <c r="M24" s="43" t="s">
        <v>20</v>
      </c>
      <c r="N24" s="45">
        <v>44865.589230902777</v>
      </c>
      <c r="O24" s="44" t="s">
        <v>21</v>
      </c>
      <c r="P24" s="44" t="s">
        <v>22</v>
      </c>
      <c r="Q24" s="46"/>
    </row>
    <row r="25" spans="3:17">
      <c r="C25" s="42">
        <v>19</v>
      </c>
      <c r="D25" s="43" t="s">
        <v>39</v>
      </c>
      <c r="E25" s="43" t="s">
        <v>16</v>
      </c>
      <c r="F25" s="43" t="s">
        <v>28</v>
      </c>
      <c r="G25" s="43" t="s">
        <v>29</v>
      </c>
      <c r="H25" s="43" t="s">
        <v>56</v>
      </c>
      <c r="I25" s="44" t="s">
        <v>31</v>
      </c>
      <c r="J25" s="43"/>
      <c r="K25" s="43"/>
      <c r="L25" s="43"/>
      <c r="M25" s="43" t="s">
        <v>20</v>
      </c>
      <c r="N25" s="45">
        <v>44880.446590821761</v>
      </c>
      <c r="O25" s="44" t="s">
        <v>21</v>
      </c>
      <c r="P25" s="44" t="s">
        <v>22</v>
      </c>
      <c r="Q25" s="46"/>
    </row>
    <row r="26" spans="3:17">
      <c r="C26" s="42">
        <v>20</v>
      </c>
      <c r="D26" s="43" t="s">
        <v>39</v>
      </c>
      <c r="E26" s="43" t="s">
        <v>16</v>
      </c>
      <c r="F26" s="43" t="s">
        <v>28</v>
      </c>
      <c r="G26" s="43" t="s">
        <v>29</v>
      </c>
      <c r="H26" s="43" t="s">
        <v>57</v>
      </c>
      <c r="I26" s="44" t="s">
        <v>31</v>
      </c>
      <c r="J26" s="43"/>
      <c r="K26" s="43"/>
      <c r="L26" s="43"/>
      <c r="M26" s="43" t="s">
        <v>20</v>
      </c>
      <c r="N26" s="45">
        <v>44964.481629895832</v>
      </c>
      <c r="O26" s="44" t="s">
        <v>21</v>
      </c>
      <c r="P26" s="44" t="s">
        <v>22</v>
      </c>
      <c r="Q26" s="46"/>
    </row>
    <row r="27" spans="3:17">
      <c r="C27" s="42">
        <v>21</v>
      </c>
      <c r="D27" s="43" t="s">
        <v>27</v>
      </c>
      <c r="E27" s="43" t="s">
        <v>16</v>
      </c>
      <c r="F27" s="43" t="s">
        <v>28</v>
      </c>
      <c r="G27" s="43" t="s">
        <v>29</v>
      </c>
      <c r="H27" s="43" t="s">
        <v>58</v>
      </c>
      <c r="I27" s="44" t="s">
        <v>31</v>
      </c>
      <c r="J27" s="43"/>
      <c r="K27" s="43"/>
      <c r="L27" s="43"/>
      <c r="M27" s="43" t="s">
        <v>20</v>
      </c>
      <c r="N27" s="45">
        <v>44970.603333252315</v>
      </c>
      <c r="O27" s="44" t="s">
        <v>21</v>
      </c>
      <c r="P27" s="44" t="s">
        <v>22</v>
      </c>
      <c r="Q27" s="46"/>
    </row>
    <row r="28" spans="3:17">
      <c r="C28" s="42"/>
      <c r="D28" s="43"/>
      <c r="E28" s="43"/>
      <c r="F28" s="43"/>
      <c r="G28" s="43"/>
      <c r="H28" s="43"/>
      <c r="I28" s="44"/>
      <c r="J28" s="43"/>
      <c r="K28" s="43"/>
      <c r="L28" s="43"/>
      <c r="M28" s="43"/>
      <c r="N28" s="44"/>
      <c r="O28" s="44"/>
      <c r="P28" s="44"/>
      <c r="Q28" s="46"/>
    </row>
    <row r="29" spans="3:17">
      <c r="C29" s="42"/>
      <c r="D29" s="43"/>
      <c r="E29" s="43"/>
      <c r="F29" s="43"/>
      <c r="G29" s="43"/>
      <c r="H29" s="43"/>
      <c r="I29" s="44"/>
      <c r="J29" s="43"/>
      <c r="K29" s="43"/>
      <c r="L29" s="43"/>
      <c r="M29" s="43"/>
      <c r="N29" s="44"/>
      <c r="O29" s="44"/>
      <c r="P29" s="44"/>
      <c r="Q29" s="46"/>
    </row>
    <row r="30" spans="3:17">
      <c r="C30" s="42"/>
      <c r="D30" s="43"/>
      <c r="E30" s="43"/>
      <c r="F30" s="43"/>
      <c r="G30" s="43"/>
      <c r="H30" s="43"/>
      <c r="I30" s="44"/>
      <c r="J30" s="43"/>
      <c r="K30" s="43"/>
      <c r="L30" s="43"/>
      <c r="M30" s="43"/>
      <c r="N30" s="44"/>
      <c r="O30" s="44"/>
      <c r="P30" s="44"/>
      <c r="Q30" s="46"/>
    </row>
    <row r="31" spans="3:17">
      <c r="C31" s="42"/>
      <c r="D31" s="43"/>
      <c r="E31" s="43"/>
      <c r="F31" s="43"/>
      <c r="G31" s="43"/>
      <c r="H31" s="43"/>
      <c r="I31" s="44"/>
      <c r="J31" s="43"/>
      <c r="K31" s="43"/>
      <c r="L31" s="43"/>
      <c r="M31" s="43"/>
      <c r="N31" s="44"/>
      <c r="O31" s="44"/>
      <c r="P31" s="44"/>
      <c r="Q31" s="46"/>
    </row>
    <row r="32" spans="3:17">
      <c r="C32" s="42"/>
      <c r="D32" s="43"/>
      <c r="E32" s="43"/>
      <c r="F32" s="43"/>
      <c r="G32" s="43"/>
      <c r="H32" s="43"/>
      <c r="I32" s="44"/>
      <c r="J32" s="43"/>
      <c r="K32" s="43"/>
      <c r="L32" s="43"/>
      <c r="M32" s="43"/>
      <c r="N32" s="44"/>
      <c r="O32" s="44"/>
      <c r="P32" s="44"/>
      <c r="Q32" s="46"/>
    </row>
    <row r="33" spans="3:17">
      <c r="C33" s="42"/>
      <c r="D33" s="43"/>
      <c r="E33" s="43"/>
      <c r="F33" s="43"/>
      <c r="G33" s="43"/>
      <c r="H33" s="43"/>
      <c r="I33" s="44"/>
      <c r="J33" s="43"/>
      <c r="K33" s="43"/>
      <c r="L33" s="43"/>
      <c r="M33" s="43"/>
      <c r="N33" s="44"/>
      <c r="O33" s="44"/>
      <c r="P33" s="44"/>
      <c r="Q33" s="46"/>
    </row>
    <row r="34" spans="3:17">
      <c r="C34" s="42"/>
      <c r="D34" s="43"/>
      <c r="E34" s="43"/>
      <c r="F34" s="43"/>
      <c r="G34" s="43"/>
      <c r="H34" s="43"/>
      <c r="I34" s="44"/>
      <c r="J34" s="43"/>
      <c r="K34" s="43"/>
      <c r="L34" s="43"/>
      <c r="M34" s="43"/>
      <c r="N34" s="44"/>
      <c r="O34" s="44"/>
      <c r="P34" s="44"/>
      <c r="Q34" s="46"/>
    </row>
    <row r="35" spans="3:17">
      <c r="C35" s="42"/>
      <c r="D35" s="43"/>
      <c r="E35" s="43"/>
      <c r="F35" s="43"/>
      <c r="G35" s="43"/>
      <c r="H35" s="43"/>
      <c r="I35" s="44"/>
      <c r="J35" s="43"/>
      <c r="K35" s="43"/>
      <c r="L35" s="43"/>
      <c r="M35" s="43"/>
      <c r="N35" s="44"/>
      <c r="O35" s="44"/>
      <c r="P35" s="44"/>
      <c r="Q35" s="46"/>
    </row>
    <row r="36" spans="3:17">
      <c r="C36" s="42"/>
      <c r="D36" s="43"/>
      <c r="E36" s="43"/>
      <c r="F36" s="43"/>
      <c r="G36" s="43"/>
      <c r="H36" s="43"/>
      <c r="I36" s="44"/>
      <c r="J36" s="43"/>
      <c r="K36" s="43"/>
      <c r="L36" s="43"/>
      <c r="M36" s="43"/>
      <c r="N36" s="44"/>
      <c r="O36" s="44"/>
      <c r="P36" s="44"/>
      <c r="Q36" s="46"/>
    </row>
    <row r="37" spans="3:17">
      <c r="C37" s="50"/>
      <c r="D37" s="51"/>
      <c r="E37" s="51"/>
      <c r="F37" s="51"/>
      <c r="G37" s="51"/>
      <c r="H37" s="51"/>
      <c r="I37" s="52"/>
      <c r="J37" s="51"/>
      <c r="K37" s="51"/>
      <c r="L37" s="51"/>
      <c r="M37" s="51"/>
      <c r="N37" s="52"/>
      <c r="O37" s="52"/>
      <c r="P37" s="52"/>
      <c r="Q37" s="53"/>
    </row>
    <row r="38" spans="3:1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abSelected="1" topLeftCell="B4" workbookViewId="0">
      <selection activeCell="AF23" sqref="AF23"/>
    </sheetView>
  </sheetViews>
  <sheetFormatPr defaultRowHeight="16.5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>
      <c r="A2" s="54" t="s">
        <v>59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</row>
    <row r="3" spans="1:27">
      <c r="A3" s="12" t="s">
        <v>60</v>
      </c>
      <c r="O3" s="11" t="s">
        <v>74</v>
      </c>
    </row>
    <row r="4" spans="1:2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467621269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>
      <c r="A16">
        <v>2024</v>
      </c>
      <c r="B16">
        <v>924</v>
      </c>
      <c r="C16">
        <v>845</v>
      </c>
      <c r="D16">
        <v>807</v>
      </c>
    </row>
    <row r="22" spans="15:27">
      <c r="O22" s="11" t="s">
        <v>75</v>
      </c>
    </row>
    <row r="23" spans="15:2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>
      <c r="O29" s="19">
        <v>2024</v>
      </c>
      <c r="P29" s="20">
        <v>214525376</v>
      </c>
      <c r="Q29" s="20">
        <v>243924902</v>
      </c>
      <c r="R29" s="20">
        <v>178503936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R18" sqref="R18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>
      <c r="B3" s="25" t="s">
        <v>252</v>
      </c>
      <c r="G3" t="s">
        <v>2868</v>
      </c>
    </row>
    <row r="4" spans="1:12">
      <c r="A4" s="29" t="s">
        <v>246</v>
      </c>
      <c r="B4">
        <v>20240311</v>
      </c>
      <c r="H4" s="29" t="s">
        <v>334</v>
      </c>
      <c r="I4">
        <v>20240311</v>
      </c>
    </row>
    <row r="5" spans="1:12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>
      <c r="A19" s="28">
        <v>456040</v>
      </c>
      <c r="B19" t="s">
        <v>362</v>
      </c>
      <c r="C19">
        <v>0.64</v>
      </c>
      <c r="E19">
        <v>2.38</v>
      </c>
    </row>
    <row r="20" spans="1:5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>
      <c r="A24" s="28">
        <v>3610</v>
      </c>
      <c r="B24" t="s">
        <v>366</v>
      </c>
      <c r="C24">
        <v>0.42</v>
      </c>
      <c r="E24">
        <v>1.72</v>
      </c>
    </row>
    <row r="25" spans="1:5">
      <c r="A25" s="28">
        <v>1560</v>
      </c>
      <c r="B25" t="s">
        <v>368</v>
      </c>
      <c r="C25">
        <v>0.6</v>
      </c>
      <c r="D25">
        <v>7.99</v>
      </c>
    </row>
    <row r="26" spans="1:5">
      <c r="A26" s="28">
        <v>1780</v>
      </c>
      <c r="B26" t="s">
        <v>369</v>
      </c>
      <c r="C26">
        <v>1.18</v>
      </c>
      <c r="D26">
        <v>18.829999999999998</v>
      </c>
    </row>
    <row r="27" spans="1:5">
      <c r="A27" s="28">
        <v>5820</v>
      </c>
      <c r="B27" t="s">
        <v>370</v>
      </c>
      <c r="C27">
        <v>0.33</v>
      </c>
      <c r="D27">
        <v>5.99</v>
      </c>
    </row>
    <row r="28" spans="1:5">
      <c r="A28" s="28">
        <v>5940</v>
      </c>
      <c r="B28" t="s">
        <v>103</v>
      </c>
      <c r="C28">
        <v>0.56000000000000005</v>
      </c>
      <c r="D28">
        <v>7.84</v>
      </c>
    </row>
    <row r="29" spans="1:5">
      <c r="A29" s="28">
        <v>34220</v>
      </c>
      <c r="B29" t="s">
        <v>371</v>
      </c>
      <c r="C29">
        <v>0.6</v>
      </c>
    </row>
    <row r="30" spans="1:5">
      <c r="A30" s="28">
        <v>35250</v>
      </c>
      <c r="B30" t="s">
        <v>372</v>
      </c>
      <c r="C30">
        <v>0.97</v>
      </c>
      <c r="D30">
        <v>13.46</v>
      </c>
    </row>
    <row r="88" spans="2:2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3"/>
  <sheetViews>
    <sheetView workbookViewId="0">
      <selection activeCell="G16" sqref="G16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>
      <c r="B3" s="25" t="s">
        <v>253</v>
      </c>
      <c r="G3" t="s">
        <v>351</v>
      </c>
    </row>
    <row r="4" spans="1:9">
      <c r="A4" s="29" t="s">
        <v>254</v>
      </c>
      <c r="B4">
        <v>20240317</v>
      </c>
      <c r="I4">
        <v>20240317</v>
      </c>
    </row>
    <row r="5" spans="1:9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>
      <c r="A21" s="28">
        <v>330730</v>
      </c>
      <c r="B21" t="s">
        <v>379</v>
      </c>
      <c r="C21">
        <v>11.84</v>
      </c>
      <c r="D21">
        <v>0.99</v>
      </c>
      <c r="E21">
        <v>8.1999999999999993</v>
      </c>
    </row>
    <row r="22" spans="1:5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>
      <c r="A184" s="28">
        <v>32540</v>
      </c>
      <c r="B184" t="s">
        <v>380</v>
      </c>
      <c r="C184">
        <v>18.850000000000001</v>
      </c>
      <c r="D184">
        <v>0.99</v>
      </c>
      <c r="E184">
        <v>3.79</v>
      </c>
    </row>
    <row r="185" spans="1:5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>
      <c r="A242" s="28">
        <v>10470</v>
      </c>
      <c r="B242" t="s">
        <v>381</v>
      </c>
      <c r="C242">
        <v>8.01</v>
      </c>
      <c r="D242">
        <v>0.92</v>
      </c>
      <c r="E242">
        <v>3.18</v>
      </c>
    </row>
    <row r="243" spans="1:5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>
      <c r="A251" s="28">
        <v>4690</v>
      </c>
      <c r="B251" t="s">
        <v>382</v>
      </c>
      <c r="C251">
        <v>6.75</v>
      </c>
      <c r="D251">
        <v>0.24</v>
      </c>
      <c r="E251">
        <v>3.09</v>
      </c>
    </row>
    <row r="252" spans="1:5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>
      <c r="A253" s="28">
        <v>17390</v>
      </c>
      <c r="B253" t="s">
        <v>383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AE1222"/>
  <sheetViews>
    <sheetView workbookViewId="0">
      <selection activeCell="G121" sqref="G121"/>
    </sheetView>
  </sheetViews>
  <sheetFormatPr defaultRowHeight="16.5"/>
  <cols>
    <col min="1" max="1" width="14.34765625" style="28" customWidth="1"/>
    <col min="2" max="2" width="22" customWidth="1"/>
    <col min="4" max="4" width="9.75" customWidth="1"/>
    <col min="5" max="5" width="15.25" customWidth="1"/>
    <col min="6" max="6" width="14.09765625" customWidth="1"/>
    <col min="7" max="7" width="19" customWidth="1"/>
    <col min="8" max="8" width="16.59765625" customWidth="1"/>
    <col min="14" max="14" width="12" customWidth="1"/>
    <col min="15" max="15" width="14" customWidth="1"/>
    <col min="17" max="17" width="12" customWidth="1"/>
    <col min="18" max="18" width="16.34765625" customWidth="1"/>
    <col min="21" max="21" width="10.25" customWidth="1"/>
    <col min="22" max="22" width="13.25" customWidth="1"/>
    <col min="23" max="23" width="15.59765625" customWidth="1"/>
    <col min="24" max="24" width="14.59765625" customWidth="1"/>
    <col min="30" max="30" width="12.09765625" customWidth="1"/>
    <col min="31" max="31" width="13.59765625" customWidth="1"/>
  </cols>
  <sheetData>
    <row r="2" spans="1:31">
      <c r="F2" s="26"/>
    </row>
    <row r="3" spans="1:31">
      <c r="F3" s="26"/>
    </row>
    <row r="4" spans="1:31">
      <c r="A4" s="29" t="s">
        <v>346</v>
      </c>
      <c r="B4">
        <v>20240323</v>
      </c>
      <c r="I4">
        <v>20240323</v>
      </c>
      <c r="Q4" s="35" t="s">
        <v>377</v>
      </c>
    </row>
    <row r="5" spans="1:31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  <row r="100" spans="1:14">
      <c r="A100" s="38" t="s">
        <v>2774</v>
      </c>
    </row>
    <row r="101" spans="1:14">
      <c r="A101" s="39" t="s">
        <v>2775</v>
      </c>
      <c r="B101" s="8" t="s">
        <v>2776</v>
      </c>
      <c r="C101" s="8" t="s">
        <v>2777</v>
      </c>
      <c r="D101" s="8" t="s">
        <v>2778</v>
      </c>
      <c r="E101" s="8" t="s">
        <v>2779</v>
      </c>
      <c r="F101" s="8" t="s">
        <v>2780</v>
      </c>
      <c r="G101" s="8" t="s">
        <v>2781</v>
      </c>
      <c r="H101" s="8" t="s">
        <v>2782</v>
      </c>
      <c r="I101" s="40" t="s">
        <v>342</v>
      </c>
      <c r="J101" s="40" t="s">
        <v>2783</v>
      </c>
      <c r="K101" s="40" t="s">
        <v>2784</v>
      </c>
      <c r="L101" s="40" t="s">
        <v>2785</v>
      </c>
      <c r="M101" s="40" t="s">
        <v>2786</v>
      </c>
      <c r="N101" s="41" t="s">
        <v>2787</v>
      </c>
    </row>
    <row r="102" spans="1:14">
      <c r="A102" s="28">
        <v>1017</v>
      </c>
      <c r="B102" t="s">
        <v>114</v>
      </c>
      <c r="C102" t="s">
        <v>347</v>
      </c>
      <c r="D102">
        <v>0.21</v>
      </c>
      <c r="E102">
        <v>5534.22</v>
      </c>
      <c r="F102">
        <v>8.8000000000000007</v>
      </c>
      <c r="G102">
        <v>12.38</v>
      </c>
      <c r="H102">
        <v>4.8600000000000003</v>
      </c>
      <c r="I102">
        <v>4.87</v>
      </c>
      <c r="J102">
        <v>1311.44</v>
      </c>
      <c r="K102">
        <v>28862.26</v>
      </c>
      <c r="L102">
        <v>13.18</v>
      </c>
      <c r="M102">
        <v>0.6</v>
      </c>
      <c r="N102">
        <v>13.56</v>
      </c>
    </row>
    <row r="103" spans="1:14">
      <c r="A103" s="28">
        <v>400</v>
      </c>
      <c r="B103" t="s">
        <v>751</v>
      </c>
      <c r="C103" t="s">
        <v>347</v>
      </c>
      <c r="D103">
        <v>0.35</v>
      </c>
      <c r="E103">
        <v>3058.63</v>
      </c>
      <c r="F103">
        <v>31.74</v>
      </c>
      <c r="G103">
        <v>83.28</v>
      </c>
      <c r="H103">
        <v>3.69</v>
      </c>
      <c r="I103">
        <v>3.7</v>
      </c>
      <c r="J103">
        <v>1280.55</v>
      </c>
      <c r="K103">
        <v>36077.269999999997</v>
      </c>
      <c r="L103">
        <v>18.59</v>
      </c>
      <c r="M103">
        <v>0.66</v>
      </c>
      <c r="N103">
        <v>22.99</v>
      </c>
    </row>
    <row r="104" spans="1:14">
      <c r="A104" s="28">
        <v>10</v>
      </c>
      <c r="B104" t="s">
        <v>740</v>
      </c>
      <c r="C104" t="s">
        <v>347</v>
      </c>
      <c r="D104">
        <v>0.44</v>
      </c>
      <c r="E104">
        <v>9759.2099999999991</v>
      </c>
      <c r="F104">
        <v>1358.39</v>
      </c>
      <c r="G104">
        <v>-99.28</v>
      </c>
      <c r="H104">
        <v>1.23</v>
      </c>
      <c r="I104">
        <v>1.24</v>
      </c>
      <c r="J104">
        <v>606.83000000000004</v>
      </c>
      <c r="K104">
        <v>49296.05</v>
      </c>
      <c r="L104">
        <v>50.18</v>
      </c>
      <c r="M104">
        <v>0.62</v>
      </c>
      <c r="N104">
        <v>43.04</v>
      </c>
    </row>
    <row r="105" spans="1:14">
      <c r="A105" s="28">
        <v>431</v>
      </c>
      <c r="B105" t="s">
        <v>1036</v>
      </c>
      <c r="C105" t="s">
        <v>347</v>
      </c>
      <c r="D105">
        <v>0.47</v>
      </c>
      <c r="E105">
        <v>2484.61</v>
      </c>
      <c r="F105">
        <v>29.52</v>
      </c>
      <c r="G105" t="s">
        <v>349</v>
      </c>
      <c r="H105">
        <v>-2.46</v>
      </c>
      <c r="I105">
        <v>-2.4700000000000002</v>
      </c>
      <c r="J105">
        <v>-3140.59</v>
      </c>
      <c r="K105">
        <v>129230.53</v>
      </c>
      <c r="M105">
        <v>0.76</v>
      </c>
      <c r="N105">
        <v>89.61</v>
      </c>
    </row>
    <row r="106" spans="1:14">
      <c r="A106" s="28">
        <v>254</v>
      </c>
      <c r="B106" t="s">
        <v>130</v>
      </c>
      <c r="C106" t="s">
        <v>347</v>
      </c>
      <c r="D106">
        <v>0.47</v>
      </c>
      <c r="E106">
        <v>2870.72</v>
      </c>
      <c r="F106">
        <v>45.96</v>
      </c>
      <c r="G106" t="s">
        <v>349</v>
      </c>
      <c r="H106">
        <v>-1.39</v>
      </c>
      <c r="I106">
        <v>-1.39</v>
      </c>
      <c r="J106">
        <v>-210.69</v>
      </c>
      <c r="K106">
        <v>14853.62</v>
      </c>
      <c r="M106">
        <v>0.42</v>
      </c>
      <c r="N106">
        <v>33.340000000000003</v>
      </c>
    </row>
    <row r="107" spans="1:14">
      <c r="A107" s="28">
        <v>378</v>
      </c>
      <c r="B107" t="s">
        <v>1169</v>
      </c>
      <c r="C107" t="s">
        <v>347</v>
      </c>
      <c r="D107">
        <v>1.21</v>
      </c>
      <c r="E107">
        <v>2596.92</v>
      </c>
      <c r="F107">
        <v>32.78</v>
      </c>
      <c r="G107">
        <v>182.81</v>
      </c>
      <c r="H107">
        <v>3.04</v>
      </c>
      <c r="I107">
        <v>3.08</v>
      </c>
      <c r="J107">
        <v>404.71</v>
      </c>
      <c r="K107">
        <v>13484.58</v>
      </c>
      <c r="L107">
        <v>17.12</v>
      </c>
      <c r="M107">
        <v>0.51</v>
      </c>
      <c r="N107">
        <v>21.88</v>
      </c>
    </row>
    <row r="108" spans="1:14">
      <c r="A108" s="28">
        <v>178</v>
      </c>
      <c r="B108" t="s">
        <v>222</v>
      </c>
      <c r="C108" t="s">
        <v>347</v>
      </c>
      <c r="D108">
        <v>1.8</v>
      </c>
      <c r="E108">
        <v>561.29</v>
      </c>
      <c r="F108">
        <v>61.94</v>
      </c>
      <c r="G108">
        <v>-26.19</v>
      </c>
      <c r="H108">
        <v>9.6</v>
      </c>
      <c r="I108">
        <v>9.8000000000000007</v>
      </c>
      <c r="J108">
        <v>293.01</v>
      </c>
      <c r="K108">
        <v>3306.46</v>
      </c>
      <c r="L108">
        <v>3.41</v>
      </c>
      <c r="M108">
        <v>0.3</v>
      </c>
      <c r="N108">
        <v>3.38</v>
      </c>
    </row>
    <row r="109" spans="1:14">
      <c r="A109" s="28">
        <v>312</v>
      </c>
      <c r="B109" t="s">
        <v>2191</v>
      </c>
      <c r="C109" t="s">
        <v>348</v>
      </c>
      <c r="D109">
        <v>10.029999999999999</v>
      </c>
      <c r="E109">
        <v>388.81</v>
      </c>
      <c r="F109">
        <v>39.39</v>
      </c>
      <c r="G109">
        <v>22.9</v>
      </c>
      <c r="H109">
        <v>15.32</v>
      </c>
      <c r="I109">
        <v>16.68</v>
      </c>
      <c r="J109">
        <v>373.59</v>
      </c>
      <c r="K109">
        <v>2444.0500000000002</v>
      </c>
    </row>
    <row r="110" spans="1:14">
      <c r="A110" s="28">
        <v>700</v>
      </c>
      <c r="B110" t="s">
        <v>2150</v>
      </c>
      <c r="C110" t="s">
        <v>348</v>
      </c>
      <c r="D110">
        <v>10.050000000000001</v>
      </c>
      <c r="E110">
        <v>138.15</v>
      </c>
      <c r="F110">
        <v>16.739999999999998</v>
      </c>
      <c r="G110">
        <v>59.52</v>
      </c>
      <c r="H110">
        <v>5.73</v>
      </c>
      <c r="I110">
        <v>6.62</v>
      </c>
      <c r="J110">
        <v>77.5</v>
      </c>
      <c r="K110">
        <v>1209.3800000000001</v>
      </c>
      <c r="L110">
        <v>25.01</v>
      </c>
      <c r="M110">
        <v>1.6</v>
      </c>
      <c r="N110">
        <v>18.13</v>
      </c>
    </row>
    <row r="111" spans="1:14">
      <c r="A111" s="28">
        <v>295</v>
      </c>
      <c r="B111" t="s">
        <v>1132</v>
      </c>
      <c r="C111" t="s">
        <v>348</v>
      </c>
      <c r="D111">
        <v>10.050000000000001</v>
      </c>
      <c r="E111">
        <v>2844.27</v>
      </c>
      <c r="F111">
        <v>41.49</v>
      </c>
      <c r="G111">
        <v>29.93</v>
      </c>
      <c r="H111">
        <v>21.08</v>
      </c>
      <c r="I111">
        <v>23.29</v>
      </c>
      <c r="J111">
        <v>3375.82</v>
      </c>
      <c r="K111">
        <v>16170.28</v>
      </c>
      <c r="L111">
        <v>11.85</v>
      </c>
      <c r="M111">
        <v>2.4700000000000002</v>
      </c>
      <c r="N111">
        <v>9.5</v>
      </c>
    </row>
    <row r="112" spans="1:14">
      <c r="A112" s="28">
        <v>406</v>
      </c>
      <c r="B112" t="s">
        <v>2224</v>
      </c>
      <c r="C112" t="s">
        <v>348</v>
      </c>
      <c r="D112">
        <v>10.130000000000001</v>
      </c>
      <c r="E112">
        <v>669.29</v>
      </c>
      <c r="F112">
        <v>31.2</v>
      </c>
      <c r="G112" t="s">
        <v>2788</v>
      </c>
      <c r="H112">
        <v>-24.23</v>
      </c>
      <c r="I112">
        <v>-29.81</v>
      </c>
      <c r="J112">
        <v>-937.6</v>
      </c>
      <c r="K112">
        <v>3846.46</v>
      </c>
      <c r="M112">
        <v>3.24</v>
      </c>
    </row>
    <row r="113" spans="1:14">
      <c r="A113" s="28">
        <v>333</v>
      </c>
      <c r="B113" t="s">
        <v>220</v>
      </c>
      <c r="C113" t="s">
        <v>347</v>
      </c>
      <c r="D113">
        <v>10.17</v>
      </c>
      <c r="E113">
        <v>5581.64</v>
      </c>
      <c r="F113">
        <v>37.090000000000003</v>
      </c>
      <c r="G113">
        <v>-17.670000000000002</v>
      </c>
      <c r="H113">
        <v>1.99</v>
      </c>
      <c r="I113">
        <v>2.2000000000000002</v>
      </c>
      <c r="J113">
        <v>623</v>
      </c>
      <c r="K113">
        <v>28408.2</v>
      </c>
      <c r="L113">
        <v>22.39</v>
      </c>
      <c r="M113">
        <v>0.49</v>
      </c>
      <c r="N113">
        <v>9.94</v>
      </c>
    </row>
    <row r="114" spans="1:14">
      <c r="A114" s="28">
        <v>837</v>
      </c>
      <c r="B114" t="s">
        <v>901</v>
      </c>
      <c r="C114" t="s">
        <v>348</v>
      </c>
      <c r="D114">
        <v>10.48</v>
      </c>
      <c r="E114">
        <v>1199.42</v>
      </c>
      <c r="F114">
        <v>13.08</v>
      </c>
      <c r="G114">
        <v>43.19</v>
      </c>
      <c r="H114">
        <v>5.43</v>
      </c>
      <c r="I114">
        <v>6.06</v>
      </c>
      <c r="J114">
        <v>377.92</v>
      </c>
      <c r="K114">
        <v>6497.1</v>
      </c>
      <c r="L114">
        <v>15.37</v>
      </c>
      <c r="M114">
        <v>0.89</v>
      </c>
      <c r="N114">
        <v>8.82</v>
      </c>
    </row>
    <row r="115" spans="1:14">
      <c r="A115" s="28">
        <v>1071</v>
      </c>
      <c r="B115" t="s">
        <v>1801</v>
      </c>
      <c r="C115" t="s">
        <v>348</v>
      </c>
      <c r="D115">
        <v>10.56</v>
      </c>
      <c r="E115">
        <v>576.27</v>
      </c>
      <c r="F115">
        <v>7.67</v>
      </c>
      <c r="G115">
        <v>-5.36</v>
      </c>
      <c r="H115">
        <v>9.16</v>
      </c>
      <c r="I115">
        <v>10.09</v>
      </c>
      <c r="J115">
        <v>314.11</v>
      </c>
      <c r="K115">
        <v>3381.34</v>
      </c>
      <c r="L115">
        <v>13.31</v>
      </c>
      <c r="M115">
        <v>1.24</v>
      </c>
      <c r="N115">
        <v>8.27</v>
      </c>
    </row>
    <row r="116" spans="1:14">
      <c r="A116" s="28">
        <v>693</v>
      </c>
      <c r="B116" t="s">
        <v>2602</v>
      </c>
      <c r="C116" t="s">
        <v>348</v>
      </c>
      <c r="D116">
        <v>10.59</v>
      </c>
      <c r="E116">
        <v>3534.37</v>
      </c>
      <c r="F116">
        <v>16.989999999999998</v>
      </c>
      <c r="G116">
        <v>1510.23</v>
      </c>
      <c r="H116">
        <v>28.41</v>
      </c>
      <c r="I116">
        <v>30.73</v>
      </c>
      <c r="J116">
        <v>4585.97</v>
      </c>
      <c r="K116">
        <v>18171.849999999999</v>
      </c>
      <c r="L116">
        <v>1.47</v>
      </c>
      <c r="M116">
        <v>0.37</v>
      </c>
    </row>
    <row r="117" spans="1:14">
      <c r="A117" s="28">
        <v>778</v>
      </c>
      <c r="B117" t="s">
        <v>1214</v>
      </c>
      <c r="C117" t="s">
        <v>348</v>
      </c>
      <c r="D117">
        <v>10.63</v>
      </c>
      <c r="E117">
        <v>569.64</v>
      </c>
      <c r="F117">
        <v>14.67</v>
      </c>
      <c r="G117" t="s">
        <v>349</v>
      </c>
      <c r="H117">
        <v>-37.76</v>
      </c>
      <c r="I117">
        <v>-47.34</v>
      </c>
      <c r="J117">
        <v>-1283.08</v>
      </c>
      <c r="K117">
        <v>3394.33</v>
      </c>
      <c r="M117">
        <v>9.3800000000000008</v>
      </c>
      <c r="N117">
        <v>65.53</v>
      </c>
    </row>
    <row r="118" spans="1:14">
      <c r="A118" s="28">
        <v>954</v>
      </c>
      <c r="B118" t="s">
        <v>547</v>
      </c>
      <c r="C118" t="s">
        <v>348</v>
      </c>
      <c r="D118">
        <v>10.76</v>
      </c>
      <c r="E118">
        <v>1353.55</v>
      </c>
      <c r="F118">
        <v>10.01</v>
      </c>
      <c r="G118">
        <v>5.46</v>
      </c>
      <c r="H118">
        <v>8.74</v>
      </c>
      <c r="I118">
        <v>9.67</v>
      </c>
      <c r="J118">
        <v>636.34</v>
      </c>
      <c r="K118">
        <v>7267.74</v>
      </c>
      <c r="L118">
        <v>11.86</v>
      </c>
      <c r="M118">
        <v>1.04</v>
      </c>
      <c r="N118">
        <v>9.17</v>
      </c>
    </row>
    <row r="119" spans="1:14">
      <c r="A119" s="28">
        <v>592</v>
      </c>
      <c r="B119" t="s">
        <v>1722</v>
      </c>
      <c r="C119" t="s">
        <v>348</v>
      </c>
      <c r="D119">
        <v>10.85</v>
      </c>
      <c r="E119">
        <v>1405.14</v>
      </c>
      <c r="F119">
        <v>21.14</v>
      </c>
      <c r="G119" t="s">
        <v>2788</v>
      </c>
      <c r="H119">
        <v>-63.34</v>
      </c>
      <c r="I119">
        <v>-164.11</v>
      </c>
      <c r="J119">
        <v>-6214.67</v>
      </c>
      <c r="K119">
        <v>7525.71</v>
      </c>
      <c r="M119">
        <v>2.04</v>
      </c>
    </row>
    <row r="120" spans="1:14">
      <c r="A120" s="28">
        <v>759</v>
      </c>
      <c r="B120" t="s">
        <v>615</v>
      </c>
      <c r="C120" t="s">
        <v>348</v>
      </c>
      <c r="D120">
        <v>10.89</v>
      </c>
      <c r="E120">
        <v>3856.62</v>
      </c>
      <c r="F120">
        <v>15.22</v>
      </c>
      <c r="G120">
        <v>30.42</v>
      </c>
      <c r="H120">
        <v>14.11</v>
      </c>
      <c r="I120">
        <v>15.53</v>
      </c>
      <c r="J120">
        <v>2852.17</v>
      </c>
      <c r="K120">
        <v>19783.11</v>
      </c>
      <c r="L120">
        <v>9.06</v>
      </c>
      <c r="M120">
        <v>1.31</v>
      </c>
      <c r="N120">
        <v>7.78</v>
      </c>
    </row>
    <row r="121" spans="1:14">
      <c r="A121" s="28">
        <v>896</v>
      </c>
      <c r="B121" t="s">
        <v>2259</v>
      </c>
      <c r="C121" t="s">
        <v>347</v>
      </c>
      <c r="D121">
        <v>100.17</v>
      </c>
      <c r="E121">
        <v>1456.13</v>
      </c>
      <c r="F121">
        <v>11.23</v>
      </c>
      <c r="G121">
        <v>367.02</v>
      </c>
      <c r="H121">
        <v>4.5199999999999996</v>
      </c>
      <c r="I121">
        <v>9.61</v>
      </c>
      <c r="J121">
        <v>714.8</v>
      </c>
      <c r="K121">
        <v>8021.35</v>
      </c>
      <c r="L121">
        <v>5.95</v>
      </c>
      <c r="M121">
        <v>0.53</v>
      </c>
      <c r="N121">
        <v>4.92</v>
      </c>
    </row>
    <row r="122" spans="1:14">
      <c r="A122" s="28">
        <v>826</v>
      </c>
      <c r="B122" t="s">
        <v>278</v>
      </c>
      <c r="C122" t="s">
        <v>348</v>
      </c>
      <c r="D122">
        <v>100.52</v>
      </c>
      <c r="E122">
        <v>407.25</v>
      </c>
      <c r="F122">
        <v>13.45</v>
      </c>
      <c r="G122">
        <v>529.16999999999996</v>
      </c>
      <c r="H122">
        <v>3.16</v>
      </c>
      <c r="I122">
        <v>6.46</v>
      </c>
      <c r="J122">
        <v>153.93</v>
      </c>
      <c r="K122">
        <v>2536.23</v>
      </c>
      <c r="L122">
        <v>15.72</v>
      </c>
      <c r="M122">
        <v>0.95</v>
      </c>
      <c r="N122">
        <v>7.6</v>
      </c>
    </row>
    <row r="123" spans="1:14">
      <c r="A123" s="28">
        <v>305</v>
      </c>
      <c r="B123" t="s">
        <v>905</v>
      </c>
      <c r="C123" t="s">
        <v>348</v>
      </c>
      <c r="D123">
        <v>101.14</v>
      </c>
      <c r="E123">
        <v>935.67</v>
      </c>
      <c r="F123">
        <v>40.47</v>
      </c>
      <c r="G123">
        <v>131.32</v>
      </c>
      <c r="H123">
        <v>11.14</v>
      </c>
      <c r="I123">
        <v>24.72</v>
      </c>
      <c r="J123">
        <v>1121.08</v>
      </c>
      <c r="K123">
        <v>5178.37</v>
      </c>
      <c r="L123">
        <v>3.37</v>
      </c>
      <c r="M123">
        <v>0.73</v>
      </c>
      <c r="N123">
        <v>4.43</v>
      </c>
    </row>
    <row r="124" spans="1:14">
      <c r="A124" s="28">
        <v>905</v>
      </c>
      <c r="B124" t="s">
        <v>670</v>
      </c>
      <c r="C124" t="s">
        <v>348</v>
      </c>
      <c r="D124">
        <v>101.38</v>
      </c>
      <c r="E124">
        <v>1023.43</v>
      </c>
      <c r="F124">
        <v>11.09</v>
      </c>
      <c r="G124">
        <v>-2.27</v>
      </c>
      <c r="H124">
        <v>2.83</v>
      </c>
      <c r="I124">
        <v>5.86</v>
      </c>
      <c r="J124">
        <v>318.36</v>
      </c>
      <c r="K124">
        <v>5617.13</v>
      </c>
      <c r="L124">
        <v>12.97</v>
      </c>
      <c r="M124">
        <v>0.74</v>
      </c>
      <c r="N124">
        <v>7.16</v>
      </c>
    </row>
    <row r="125" spans="1:14">
      <c r="A125" s="28">
        <v>57</v>
      </c>
      <c r="B125" t="s">
        <v>1404</v>
      </c>
      <c r="C125" t="s">
        <v>348</v>
      </c>
      <c r="D125">
        <v>101.5</v>
      </c>
      <c r="E125">
        <v>17164.37</v>
      </c>
      <c r="F125">
        <v>177.07</v>
      </c>
      <c r="G125" t="s">
        <v>350</v>
      </c>
      <c r="H125">
        <v>11.63</v>
      </c>
      <c r="I125">
        <v>29.1</v>
      </c>
      <c r="J125">
        <v>3789.62</v>
      </c>
      <c r="K125">
        <v>17264.37</v>
      </c>
      <c r="L125">
        <v>11.72</v>
      </c>
      <c r="M125">
        <v>2.57</v>
      </c>
      <c r="N125">
        <v>10.33</v>
      </c>
    </row>
    <row r="126" spans="1:14">
      <c r="A126" s="28">
        <v>953</v>
      </c>
      <c r="B126" t="s">
        <v>870</v>
      </c>
      <c r="C126" t="s">
        <v>348</v>
      </c>
      <c r="D126">
        <v>101.7</v>
      </c>
      <c r="E126">
        <v>518.09</v>
      </c>
      <c r="F126">
        <v>10.02</v>
      </c>
      <c r="G126" t="s">
        <v>2788</v>
      </c>
      <c r="H126">
        <v>-4.99</v>
      </c>
      <c r="I126">
        <v>-10.35</v>
      </c>
      <c r="J126">
        <v>-332.91</v>
      </c>
      <c r="K126">
        <v>3029.84</v>
      </c>
      <c r="M126">
        <v>0.99</v>
      </c>
    </row>
    <row r="127" spans="1:14">
      <c r="A127" s="28">
        <v>484</v>
      </c>
      <c r="B127" t="s">
        <v>2217</v>
      </c>
      <c r="C127" t="s">
        <v>347</v>
      </c>
      <c r="D127">
        <v>101.74</v>
      </c>
      <c r="E127">
        <v>204.74</v>
      </c>
      <c r="F127">
        <v>26.34</v>
      </c>
      <c r="G127" t="s">
        <v>2788</v>
      </c>
      <c r="H127">
        <v>-7.47</v>
      </c>
      <c r="I127">
        <v>-14.4</v>
      </c>
      <c r="J127">
        <v>-231.18</v>
      </c>
      <c r="K127">
        <v>1523.68</v>
      </c>
      <c r="M127">
        <v>1.53</v>
      </c>
    </row>
    <row r="128" spans="1:14">
      <c r="A128" s="28">
        <v>249</v>
      </c>
      <c r="B128" t="s">
        <v>1262</v>
      </c>
      <c r="C128" t="s">
        <v>348</v>
      </c>
      <c r="D128">
        <v>101.97</v>
      </c>
      <c r="E128">
        <v>2612.5100000000002</v>
      </c>
      <c r="F128">
        <v>46.4</v>
      </c>
      <c r="G128">
        <v>21.26</v>
      </c>
      <c r="H128">
        <v>3.78</v>
      </c>
      <c r="I128">
        <v>7.2</v>
      </c>
      <c r="J128">
        <v>935.39</v>
      </c>
      <c r="K128">
        <v>13937.72</v>
      </c>
      <c r="L128">
        <v>17.54</v>
      </c>
      <c r="M128">
        <v>1.18</v>
      </c>
      <c r="N128">
        <v>11.01</v>
      </c>
    </row>
    <row r="129" spans="1:14">
      <c r="A129" s="28">
        <v>857</v>
      </c>
      <c r="B129" t="s">
        <v>2496</v>
      </c>
      <c r="C129" t="s">
        <v>348</v>
      </c>
      <c r="D129">
        <v>101.98</v>
      </c>
      <c r="E129">
        <v>144.47999999999999</v>
      </c>
      <c r="F129">
        <v>12.39</v>
      </c>
      <c r="G129" t="s">
        <v>349</v>
      </c>
      <c r="H129">
        <v>-11.22</v>
      </c>
      <c r="I129">
        <v>-22.44</v>
      </c>
      <c r="J129">
        <v>-273.45999999999998</v>
      </c>
      <c r="K129">
        <v>1222.3800000000001</v>
      </c>
      <c r="M129">
        <v>1.01</v>
      </c>
      <c r="N129">
        <v>74.61</v>
      </c>
    </row>
    <row r="130" spans="1:14">
      <c r="A130" s="28">
        <v>894</v>
      </c>
      <c r="B130" t="s">
        <v>2070</v>
      </c>
      <c r="C130" t="s">
        <v>347</v>
      </c>
      <c r="D130">
        <v>102.11</v>
      </c>
      <c r="E130">
        <v>430.56</v>
      </c>
      <c r="F130">
        <v>11.31</v>
      </c>
      <c r="G130" t="s">
        <v>350</v>
      </c>
      <c r="H130">
        <v>4.41</v>
      </c>
      <c r="I130">
        <v>9.27</v>
      </c>
      <c r="J130">
        <v>231.73</v>
      </c>
      <c r="K130">
        <v>2652.79</v>
      </c>
      <c r="L130">
        <v>12.39</v>
      </c>
      <c r="M130">
        <v>1.08</v>
      </c>
      <c r="N130">
        <v>14.08</v>
      </c>
    </row>
    <row r="131" spans="1:14">
      <c r="A131" s="28">
        <v>1082</v>
      </c>
      <c r="B131" t="s">
        <v>2219</v>
      </c>
      <c r="C131" t="s">
        <v>348</v>
      </c>
      <c r="D131">
        <v>102.52</v>
      </c>
      <c r="E131">
        <v>918.63</v>
      </c>
      <c r="F131">
        <v>7.41</v>
      </c>
      <c r="G131" t="s">
        <v>349</v>
      </c>
      <c r="H131">
        <v>-1.92</v>
      </c>
      <c r="I131">
        <v>-3.86</v>
      </c>
      <c r="J131">
        <v>-194.58</v>
      </c>
      <c r="K131">
        <v>5093.13</v>
      </c>
      <c r="M131">
        <v>0.98</v>
      </c>
      <c r="N131">
        <v>19.760000000000002</v>
      </c>
    </row>
    <row r="132" spans="1:14">
      <c r="A132" s="28">
        <v>318</v>
      </c>
      <c r="B132" t="s">
        <v>1548</v>
      </c>
      <c r="C132" t="s">
        <v>348</v>
      </c>
      <c r="D132">
        <v>102.73</v>
      </c>
      <c r="E132">
        <v>362.59</v>
      </c>
      <c r="F132">
        <v>38.78</v>
      </c>
      <c r="G132" t="s">
        <v>2788</v>
      </c>
      <c r="H132">
        <v>-22.98</v>
      </c>
      <c r="I132">
        <v>-41.13</v>
      </c>
      <c r="J132">
        <v>-1135.21</v>
      </c>
      <c r="K132">
        <v>2312.9699999999998</v>
      </c>
      <c r="M132">
        <v>11.11</v>
      </c>
    </row>
    <row r="133" spans="1:14">
      <c r="A133" s="28">
        <v>726</v>
      </c>
      <c r="B133" t="s">
        <v>2789</v>
      </c>
      <c r="C133" t="s">
        <v>348</v>
      </c>
      <c r="D133">
        <v>102.91</v>
      </c>
      <c r="E133">
        <v>829.04</v>
      </c>
      <c r="F133">
        <v>16.11</v>
      </c>
      <c r="H133">
        <v>4.2699999999999996</v>
      </c>
      <c r="I133">
        <v>8.76</v>
      </c>
      <c r="N133">
        <v>0.03</v>
      </c>
    </row>
    <row r="134" spans="1:14">
      <c r="A134" s="28">
        <v>867</v>
      </c>
      <c r="B134" t="s">
        <v>957</v>
      </c>
      <c r="C134" t="s">
        <v>347</v>
      </c>
      <c r="D134">
        <v>103.04</v>
      </c>
      <c r="E134">
        <v>141.13999999999999</v>
      </c>
      <c r="F134">
        <v>12.03</v>
      </c>
      <c r="G134">
        <v>236.31</v>
      </c>
      <c r="H134">
        <v>2.21</v>
      </c>
      <c r="I134">
        <v>4.28</v>
      </c>
      <c r="J134">
        <v>508.17</v>
      </c>
      <c r="K134">
        <v>12056.83</v>
      </c>
      <c r="L134">
        <v>34.159999999999997</v>
      </c>
      <c r="M134">
        <v>1.44</v>
      </c>
      <c r="N134">
        <v>13.65</v>
      </c>
    </row>
    <row r="135" spans="1:14">
      <c r="A135" s="28">
        <v>1022</v>
      </c>
      <c r="B135" t="s">
        <v>1939</v>
      </c>
      <c r="C135" t="s">
        <v>348</v>
      </c>
      <c r="D135">
        <v>103.39</v>
      </c>
      <c r="E135">
        <v>1003.11</v>
      </c>
      <c r="F135">
        <v>8.65</v>
      </c>
      <c r="G135" t="s">
        <v>349</v>
      </c>
      <c r="H135">
        <v>-2.17</v>
      </c>
      <c r="I135">
        <v>-4.0999999999999996</v>
      </c>
      <c r="J135">
        <v>-210.98</v>
      </c>
      <c r="K135">
        <v>5515.54</v>
      </c>
      <c r="M135">
        <v>0.55000000000000004</v>
      </c>
      <c r="N135">
        <v>4.49</v>
      </c>
    </row>
    <row r="136" spans="1:14">
      <c r="A136" s="28">
        <v>842</v>
      </c>
      <c r="B136" t="s">
        <v>205</v>
      </c>
      <c r="C136" t="s">
        <v>347</v>
      </c>
      <c r="D136">
        <v>104.91</v>
      </c>
      <c r="E136">
        <v>1378.89</v>
      </c>
      <c r="F136">
        <v>12.88</v>
      </c>
      <c r="G136">
        <v>-46.88</v>
      </c>
      <c r="H136">
        <v>1.4</v>
      </c>
      <c r="I136">
        <v>2.81</v>
      </c>
      <c r="J136">
        <v>2064.9899999999998</v>
      </c>
      <c r="K136">
        <v>73944.56</v>
      </c>
      <c r="L136">
        <v>19.93</v>
      </c>
      <c r="M136">
        <v>0.56000000000000005</v>
      </c>
      <c r="N136">
        <v>8.98</v>
      </c>
    </row>
    <row r="137" spans="1:14">
      <c r="A137" s="28">
        <v>390</v>
      </c>
      <c r="B137" t="s">
        <v>1215</v>
      </c>
      <c r="C137" t="s">
        <v>347</v>
      </c>
      <c r="D137">
        <v>105.23</v>
      </c>
      <c r="E137">
        <v>1026.9000000000001</v>
      </c>
      <c r="F137">
        <v>32.08</v>
      </c>
      <c r="G137">
        <v>53.89</v>
      </c>
      <c r="H137">
        <v>9.69</v>
      </c>
      <c r="I137">
        <v>19.46</v>
      </c>
      <c r="J137">
        <v>10016.64</v>
      </c>
      <c r="K137">
        <v>56345.21</v>
      </c>
      <c r="L137">
        <v>12.68</v>
      </c>
      <c r="M137">
        <v>2.25</v>
      </c>
      <c r="N137">
        <v>10.49</v>
      </c>
    </row>
    <row r="138" spans="1:14">
      <c r="A138" s="28">
        <v>847</v>
      </c>
      <c r="B138" t="s">
        <v>1483</v>
      </c>
      <c r="C138" t="s">
        <v>348</v>
      </c>
      <c r="D138">
        <v>105.63</v>
      </c>
      <c r="E138">
        <v>179.34</v>
      </c>
      <c r="F138">
        <v>12.74</v>
      </c>
      <c r="G138" t="s">
        <v>2788</v>
      </c>
      <c r="H138">
        <v>-27.58</v>
      </c>
      <c r="I138">
        <v>-47.78</v>
      </c>
      <c r="J138">
        <v>-807.37</v>
      </c>
      <c r="K138">
        <v>1396.7</v>
      </c>
      <c r="M138">
        <v>1.37</v>
      </c>
    </row>
    <row r="139" spans="1:14">
      <c r="A139" s="28">
        <v>316</v>
      </c>
      <c r="B139" t="s">
        <v>369</v>
      </c>
      <c r="C139" t="s">
        <v>347</v>
      </c>
      <c r="D139">
        <v>105.7</v>
      </c>
      <c r="E139">
        <v>394.56</v>
      </c>
      <c r="F139">
        <v>39.07</v>
      </c>
      <c r="G139">
        <v>42.87</v>
      </c>
      <c r="H139">
        <v>1.26</v>
      </c>
      <c r="I139">
        <v>2.64</v>
      </c>
      <c r="J139">
        <v>64.209999999999994</v>
      </c>
      <c r="K139">
        <v>2472.8200000000002</v>
      </c>
      <c r="L139">
        <v>40.26</v>
      </c>
      <c r="M139">
        <v>1.05</v>
      </c>
      <c r="N139">
        <v>31.39</v>
      </c>
    </row>
    <row r="140" spans="1:14">
      <c r="A140" s="28">
        <v>447</v>
      </c>
      <c r="B140" t="s">
        <v>1783</v>
      </c>
      <c r="C140" t="s">
        <v>347</v>
      </c>
      <c r="D140">
        <v>106.06</v>
      </c>
      <c r="E140">
        <v>273.48</v>
      </c>
      <c r="F140">
        <v>28.49</v>
      </c>
      <c r="G140" t="s">
        <v>2788</v>
      </c>
      <c r="H140">
        <v>-10.220000000000001</v>
      </c>
      <c r="I140">
        <v>-19.21</v>
      </c>
      <c r="J140">
        <v>-4203.01</v>
      </c>
      <c r="K140">
        <v>18674</v>
      </c>
      <c r="M140">
        <v>3.24</v>
      </c>
    </row>
    <row r="141" spans="1:14">
      <c r="A141" s="28">
        <v>687</v>
      </c>
      <c r="B141" t="s">
        <v>1745</v>
      </c>
      <c r="C141" t="s">
        <v>348</v>
      </c>
      <c r="D141">
        <v>106.07</v>
      </c>
      <c r="E141">
        <v>1481.15</v>
      </c>
      <c r="F141">
        <v>17.100000000000001</v>
      </c>
      <c r="G141">
        <v>-66.709999999999994</v>
      </c>
      <c r="H141">
        <v>2.59</v>
      </c>
      <c r="I141">
        <v>5.19</v>
      </c>
      <c r="J141">
        <v>399.19</v>
      </c>
      <c r="K141">
        <v>7905.73</v>
      </c>
      <c r="L141">
        <v>12.68</v>
      </c>
      <c r="M141">
        <v>0.64</v>
      </c>
      <c r="N141">
        <v>20.72</v>
      </c>
    </row>
    <row r="142" spans="1:14">
      <c r="A142" s="28">
        <v>224</v>
      </c>
      <c r="B142" t="s">
        <v>2790</v>
      </c>
      <c r="C142" t="s">
        <v>348</v>
      </c>
      <c r="D142">
        <v>106.33</v>
      </c>
      <c r="E142">
        <v>115.66</v>
      </c>
      <c r="F142">
        <v>50.32</v>
      </c>
      <c r="G142" t="s">
        <v>350</v>
      </c>
      <c r="H142">
        <v>6.87</v>
      </c>
      <c r="I142">
        <v>22.55</v>
      </c>
      <c r="J142">
        <v>155.15</v>
      </c>
      <c r="K142">
        <v>1062.5899999999999</v>
      </c>
      <c r="L142">
        <v>41.74</v>
      </c>
      <c r="M142">
        <v>6.09</v>
      </c>
      <c r="N142">
        <v>15.39</v>
      </c>
    </row>
    <row r="143" spans="1:14">
      <c r="A143" s="28">
        <v>409</v>
      </c>
      <c r="B143" t="s">
        <v>2146</v>
      </c>
      <c r="C143" t="s">
        <v>347</v>
      </c>
      <c r="D143">
        <v>106.4</v>
      </c>
      <c r="E143">
        <v>167.68</v>
      </c>
      <c r="F143">
        <v>31.03</v>
      </c>
      <c r="G143" t="s">
        <v>350</v>
      </c>
      <c r="H143">
        <v>4.03</v>
      </c>
      <c r="I143">
        <v>9.33</v>
      </c>
      <c r="J143">
        <v>558.96</v>
      </c>
      <c r="K143">
        <v>6692.11</v>
      </c>
      <c r="L143">
        <v>12.67</v>
      </c>
      <c r="M143">
        <v>1.06</v>
      </c>
      <c r="N143">
        <v>19.5</v>
      </c>
    </row>
    <row r="144" spans="1:14">
      <c r="A144" s="28">
        <v>1076</v>
      </c>
      <c r="B144" t="s">
        <v>1622</v>
      </c>
      <c r="C144" t="s">
        <v>348</v>
      </c>
      <c r="D144">
        <v>106.64</v>
      </c>
      <c r="E144">
        <v>127.96</v>
      </c>
      <c r="F144">
        <v>7.56</v>
      </c>
      <c r="G144" t="s">
        <v>2788</v>
      </c>
      <c r="H144">
        <v>-1.1100000000000001</v>
      </c>
      <c r="I144">
        <v>-3.18</v>
      </c>
      <c r="J144">
        <v>-39.979999999999997</v>
      </c>
      <c r="K144">
        <v>1139.79</v>
      </c>
      <c r="M144">
        <v>1.05</v>
      </c>
      <c r="N144">
        <v>9.99</v>
      </c>
    </row>
    <row r="145" spans="1:14">
      <c r="A145" s="28">
        <v>397</v>
      </c>
      <c r="B145" t="s">
        <v>1373</v>
      </c>
      <c r="C145" t="s">
        <v>348</v>
      </c>
      <c r="D145">
        <v>106.8</v>
      </c>
      <c r="E145">
        <v>955.24</v>
      </c>
      <c r="F145">
        <v>31.8</v>
      </c>
      <c r="G145">
        <v>1207.19</v>
      </c>
      <c r="H145">
        <v>16.64</v>
      </c>
      <c r="I145">
        <v>35.909999999999997</v>
      </c>
      <c r="J145">
        <v>1593.39</v>
      </c>
      <c r="K145">
        <v>5276.19</v>
      </c>
      <c r="L145">
        <v>4.22</v>
      </c>
      <c r="M145">
        <v>1.28</v>
      </c>
      <c r="N145">
        <v>13.45</v>
      </c>
    </row>
    <row r="146" spans="1:14">
      <c r="A146" s="28">
        <v>836</v>
      </c>
      <c r="B146" t="s">
        <v>1527</v>
      </c>
      <c r="C146" t="s">
        <v>348</v>
      </c>
      <c r="D146">
        <v>107.08</v>
      </c>
      <c r="E146">
        <v>1017.09</v>
      </c>
      <c r="F146">
        <v>13.14</v>
      </c>
      <c r="G146" t="s">
        <v>2788</v>
      </c>
      <c r="H146">
        <v>-7.08</v>
      </c>
      <c r="I146">
        <v>-13.57</v>
      </c>
      <c r="J146">
        <v>-656.46</v>
      </c>
      <c r="K146">
        <v>5585.47</v>
      </c>
      <c r="M146">
        <v>1.58</v>
      </c>
    </row>
    <row r="147" spans="1:14">
      <c r="A147" s="28">
        <v>218</v>
      </c>
      <c r="B147" t="s">
        <v>2033</v>
      </c>
      <c r="C147" t="s">
        <v>348</v>
      </c>
      <c r="D147">
        <v>107.12</v>
      </c>
      <c r="E147">
        <v>846.93</v>
      </c>
      <c r="F147">
        <v>52.01</v>
      </c>
      <c r="G147" t="s">
        <v>350</v>
      </c>
      <c r="H147">
        <v>5.89</v>
      </c>
      <c r="I147">
        <v>18.059999999999999</v>
      </c>
      <c r="J147">
        <v>536.91</v>
      </c>
      <c r="K147">
        <v>4734.6499999999996</v>
      </c>
      <c r="L147">
        <v>19.190000000000001</v>
      </c>
      <c r="M147">
        <v>2.1800000000000002</v>
      </c>
      <c r="N147">
        <v>21.7</v>
      </c>
    </row>
    <row r="148" spans="1:14">
      <c r="A148" s="28">
        <v>875</v>
      </c>
      <c r="B148" t="s">
        <v>1406</v>
      </c>
      <c r="C148" t="s">
        <v>347</v>
      </c>
      <c r="D148">
        <v>107.5</v>
      </c>
      <c r="E148">
        <v>2069.17</v>
      </c>
      <c r="F148">
        <v>11.7</v>
      </c>
      <c r="G148">
        <v>116.92</v>
      </c>
      <c r="H148">
        <v>8</v>
      </c>
      <c r="I148">
        <v>17.79</v>
      </c>
      <c r="J148">
        <v>8521.42</v>
      </c>
      <c r="K148">
        <v>53175.89</v>
      </c>
      <c r="L148">
        <v>41.37</v>
      </c>
      <c r="M148">
        <v>6.63</v>
      </c>
      <c r="N148">
        <v>24.22</v>
      </c>
    </row>
    <row r="149" spans="1:14">
      <c r="A149" s="28">
        <v>710</v>
      </c>
      <c r="B149" t="s">
        <v>1585</v>
      </c>
      <c r="C149" t="s">
        <v>348</v>
      </c>
      <c r="D149">
        <v>107.84</v>
      </c>
      <c r="E149">
        <v>672.13</v>
      </c>
      <c r="F149">
        <v>16.37</v>
      </c>
      <c r="G149">
        <v>-99.59</v>
      </c>
      <c r="H149">
        <v>0.39</v>
      </c>
      <c r="I149">
        <v>0.81</v>
      </c>
      <c r="J149">
        <v>29.47</v>
      </c>
      <c r="K149">
        <v>3860.65</v>
      </c>
      <c r="L149">
        <v>59.92</v>
      </c>
      <c r="M149">
        <v>0.46</v>
      </c>
      <c r="N149">
        <v>23.02</v>
      </c>
    </row>
    <row r="150" spans="1:14">
      <c r="A150" s="28">
        <v>167</v>
      </c>
      <c r="B150" t="s">
        <v>2754</v>
      </c>
      <c r="C150" t="s">
        <v>348</v>
      </c>
      <c r="D150">
        <v>107.91</v>
      </c>
      <c r="E150">
        <v>784.26</v>
      </c>
      <c r="F150">
        <v>65.08</v>
      </c>
      <c r="G150" t="s">
        <v>350</v>
      </c>
      <c r="H150">
        <v>2.4900000000000002</v>
      </c>
      <c r="I150">
        <v>5.85</v>
      </c>
      <c r="J150">
        <v>223.62</v>
      </c>
      <c r="K150">
        <v>4438.2299999999996</v>
      </c>
      <c r="L150">
        <v>95.92</v>
      </c>
      <c r="M150">
        <v>4.83</v>
      </c>
      <c r="N150">
        <v>29.11</v>
      </c>
    </row>
    <row r="151" spans="1:14">
      <c r="A151" s="28">
        <v>758</v>
      </c>
      <c r="B151" t="s">
        <v>675</v>
      </c>
      <c r="C151" t="s">
        <v>347</v>
      </c>
      <c r="D151">
        <v>108.71</v>
      </c>
      <c r="E151">
        <v>2470.3200000000002</v>
      </c>
      <c r="F151">
        <v>15.23</v>
      </c>
      <c r="G151">
        <v>21.15</v>
      </c>
      <c r="H151">
        <v>2.12</v>
      </c>
      <c r="I151">
        <v>4.32</v>
      </c>
      <c r="J151">
        <v>539.07000000000005</v>
      </c>
      <c r="K151">
        <v>12851.61</v>
      </c>
      <c r="L151">
        <v>12.97</v>
      </c>
      <c r="M151">
        <v>0.54</v>
      </c>
      <c r="N151">
        <v>8.7200000000000006</v>
      </c>
    </row>
    <row r="152" spans="1:14">
      <c r="A152" s="28">
        <v>181</v>
      </c>
      <c r="B152" t="s">
        <v>1912</v>
      </c>
      <c r="C152" t="s">
        <v>348</v>
      </c>
      <c r="D152">
        <v>108.91</v>
      </c>
      <c r="E152">
        <v>1463.7</v>
      </c>
      <c r="F152">
        <v>61.11</v>
      </c>
      <c r="G152" t="s">
        <v>350</v>
      </c>
      <c r="H152">
        <v>12.55</v>
      </c>
      <c r="I152">
        <v>69.349999999999994</v>
      </c>
      <c r="J152">
        <v>400.31</v>
      </c>
      <c r="K152">
        <v>1172.32</v>
      </c>
      <c r="N152">
        <v>0.99</v>
      </c>
    </row>
    <row r="153" spans="1:14">
      <c r="A153" s="28">
        <v>824</v>
      </c>
      <c r="B153" t="s">
        <v>2024</v>
      </c>
      <c r="C153" t="s">
        <v>347</v>
      </c>
      <c r="D153">
        <v>108.97</v>
      </c>
      <c r="E153">
        <v>517.32000000000005</v>
      </c>
      <c r="F153">
        <v>13.51</v>
      </c>
      <c r="G153" t="s">
        <v>2788</v>
      </c>
      <c r="H153">
        <v>-4.8600000000000003</v>
      </c>
      <c r="I153">
        <v>-9.68</v>
      </c>
      <c r="J153">
        <v>-312.86</v>
      </c>
      <c r="K153">
        <v>3086.61</v>
      </c>
      <c r="M153">
        <v>0.41</v>
      </c>
      <c r="N153">
        <v>11.86</v>
      </c>
    </row>
    <row r="154" spans="1:14">
      <c r="A154" s="28">
        <v>648</v>
      </c>
      <c r="B154" t="s">
        <v>1091</v>
      </c>
      <c r="C154" t="s">
        <v>347</v>
      </c>
      <c r="D154">
        <v>109.06</v>
      </c>
      <c r="E154">
        <v>611.66999999999996</v>
      </c>
      <c r="F154">
        <v>19.03</v>
      </c>
      <c r="G154" t="s">
        <v>350</v>
      </c>
      <c r="H154">
        <v>1.17</v>
      </c>
      <c r="I154">
        <v>2.2799999999999998</v>
      </c>
      <c r="J154">
        <v>72.569999999999993</v>
      </c>
      <c r="K154">
        <v>3558.37</v>
      </c>
      <c r="L154">
        <v>27.84</v>
      </c>
      <c r="M154">
        <v>0.56999999999999995</v>
      </c>
      <c r="N154">
        <v>7.82</v>
      </c>
    </row>
    <row r="155" spans="1:14">
      <c r="A155" s="28">
        <v>194</v>
      </c>
      <c r="B155" t="s">
        <v>2236</v>
      </c>
      <c r="C155" t="s">
        <v>347</v>
      </c>
      <c r="D155">
        <v>109.29</v>
      </c>
      <c r="E155">
        <v>4960.05</v>
      </c>
      <c r="F155">
        <v>57.49</v>
      </c>
      <c r="G155">
        <v>5680.91</v>
      </c>
      <c r="H155">
        <v>27.13</v>
      </c>
      <c r="I155">
        <v>71.38</v>
      </c>
      <c r="J155">
        <v>8328.75</v>
      </c>
      <c r="K155">
        <v>12876.5</v>
      </c>
      <c r="N155">
        <v>0</v>
      </c>
    </row>
    <row r="156" spans="1:14">
      <c r="A156" s="28">
        <v>342</v>
      </c>
      <c r="B156" t="s">
        <v>1563</v>
      </c>
      <c r="C156" t="s">
        <v>348</v>
      </c>
      <c r="D156">
        <v>109.51</v>
      </c>
      <c r="E156">
        <v>35.18</v>
      </c>
      <c r="F156">
        <v>36.340000000000003</v>
      </c>
      <c r="G156" t="s">
        <v>2788</v>
      </c>
      <c r="H156">
        <v>-26.46</v>
      </c>
      <c r="I156">
        <v>-52.91</v>
      </c>
      <c r="J156">
        <v>-23.13</v>
      </c>
      <c r="K156">
        <v>135.18</v>
      </c>
      <c r="M156">
        <v>5.94</v>
      </c>
    </row>
    <row r="157" spans="1:14">
      <c r="A157" s="28">
        <v>1091</v>
      </c>
      <c r="B157" t="s">
        <v>190</v>
      </c>
      <c r="C157" t="s">
        <v>347</v>
      </c>
      <c r="D157">
        <v>109.82</v>
      </c>
      <c r="E157">
        <v>893.53</v>
      </c>
      <c r="F157">
        <v>7.25</v>
      </c>
      <c r="G157">
        <v>43.8</v>
      </c>
      <c r="H157">
        <v>4.04</v>
      </c>
      <c r="I157">
        <v>8.51</v>
      </c>
      <c r="J157">
        <v>4005.1</v>
      </c>
      <c r="K157">
        <v>49676.66</v>
      </c>
      <c r="L157">
        <v>6.38</v>
      </c>
      <c r="M157">
        <v>0.51</v>
      </c>
      <c r="N157">
        <v>3.47</v>
      </c>
    </row>
    <row r="158" spans="1:14">
      <c r="A158" s="28">
        <v>777</v>
      </c>
      <c r="B158" t="s">
        <v>1455</v>
      </c>
      <c r="C158" t="s">
        <v>348</v>
      </c>
      <c r="D158">
        <v>11.09</v>
      </c>
      <c r="E158">
        <v>129.34</v>
      </c>
      <c r="F158">
        <v>14.68</v>
      </c>
      <c r="G158" t="s">
        <v>349</v>
      </c>
      <c r="H158">
        <v>-28.63</v>
      </c>
      <c r="I158">
        <v>-33.15</v>
      </c>
      <c r="J158">
        <v>-406.38</v>
      </c>
      <c r="K158">
        <v>1146.7</v>
      </c>
      <c r="M158">
        <v>0.48</v>
      </c>
      <c r="N158">
        <v>13.55</v>
      </c>
    </row>
    <row r="159" spans="1:14">
      <c r="A159" s="28">
        <v>764</v>
      </c>
      <c r="B159" t="s">
        <v>1206</v>
      </c>
      <c r="C159" t="s">
        <v>348</v>
      </c>
      <c r="D159">
        <v>11.13</v>
      </c>
      <c r="E159">
        <v>1163.94</v>
      </c>
      <c r="F159">
        <v>15.09</v>
      </c>
      <c r="G159">
        <v>-13.48</v>
      </c>
      <c r="H159">
        <v>8.5299999999999994</v>
      </c>
      <c r="I159">
        <v>9.6300000000000008</v>
      </c>
      <c r="J159">
        <v>574.41999999999996</v>
      </c>
      <c r="K159">
        <v>6319.69</v>
      </c>
      <c r="L159">
        <v>12.53</v>
      </c>
      <c r="M159">
        <v>1.1399999999999999</v>
      </c>
      <c r="N159">
        <v>9.99</v>
      </c>
    </row>
    <row r="160" spans="1:14">
      <c r="A160" s="28">
        <v>549</v>
      </c>
      <c r="B160" t="s">
        <v>868</v>
      </c>
      <c r="C160" t="s">
        <v>348</v>
      </c>
      <c r="D160">
        <v>11.16</v>
      </c>
      <c r="E160">
        <v>1592.77</v>
      </c>
      <c r="F160">
        <v>23.47</v>
      </c>
      <c r="G160">
        <v>116.01</v>
      </c>
      <c r="H160">
        <v>7.53</v>
      </c>
      <c r="I160">
        <v>8.31</v>
      </c>
      <c r="J160">
        <v>666.15</v>
      </c>
      <c r="K160">
        <v>8679.5499999999993</v>
      </c>
      <c r="L160">
        <v>7.99</v>
      </c>
      <c r="M160">
        <v>0.61</v>
      </c>
      <c r="N160">
        <v>6.92</v>
      </c>
    </row>
    <row r="161" spans="1:14">
      <c r="A161" s="28">
        <v>534</v>
      </c>
      <c r="B161" t="s">
        <v>2453</v>
      </c>
      <c r="C161" t="s">
        <v>348</v>
      </c>
      <c r="D161">
        <v>11.23</v>
      </c>
      <c r="E161">
        <v>140.91</v>
      </c>
      <c r="F161">
        <v>24.15</v>
      </c>
      <c r="G161" t="s">
        <v>350</v>
      </c>
      <c r="H161">
        <v>2.19</v>
      </c>
      <c r="I161">
        <v>2.4500000000000002</v>
      </c>
      <c r="J161">
        <v>27.56</v>
      </c>
      <c r="K161">
        <v>1204.53</v>
      </c>
      <c r="L161">
        <v>28.7</v>
      </c>
      <c r="M161">
        <v>0.66</v>
      </c>
      <c r="N161">
        <v>25.67</v>
      </c>
    </row>
    <row r="162" spans="1:14">
      <c r="A162" s="28">
        <v>652</v>
      </c>
      <c r="B162" t="s">
        <v>927</v>
      </c>
      <c r="C162" t="s">
        <v>347</v>
      </c>
      <c r="D162">
        <v>11.27</v>
      </c>
      <c r="E162">
        <v>2649.37</v>
      </c>
      <c r="F162">
        <v>18.86</v>
      </c>
      <c r="G162">
        <v>66.260000000000005</v>
      </c>
      <c r="H162">
        <v>9.0299999999999994</v>
      </c>
      <c r="I162">
        <v>10.07</v>
      </c>
      <c r="J162">
        <v>1318.75</v>
      </c>
      <c r="K162">
        <v>13746.83</v>
      </c>
      <c r="L162">
        <v>10.47</v>
      </c>
      <c r="M162">
        <v>1</v>
      </c>
      <c r="N162">
        <v>8.08</v>
      </c>
    </row>
    <row r="163" spans="1:14">
      <c r="A163" s="28">
        <v>384</v>
      </c>
      <c r="B163" t="s">
        <v>2089</v>
      </c>
      <c r="C163" t="s">
        <v>348</v>
      </c>
      <c r="D163">
        <v>11.44</v>
      </c>
      <c r="E163">
        <v>1187.33</v>
      </c>
      <c r="F163">
        <v>32.43</v>
      </c>
      <c r="G163">
        <v>29.19</v>
      </c>
      <c r="H163">
        <v>10.56</v>
      </c>
      <c r="I163">
        <v>12.59</v>
      </c>
      <c r="J163">
        <v>507.91</v>
      </c>
      <c r="K163">
        <v>6436.66</v>
      </c>
      <c r="L163">
        <v>33.47</v>
      </c>
      <c r="M163">
        <v>2.64</v>
      </c>
      <c r="N163">
        <v>24.93</v>
      </c>
    </row>
    <row r="164" spans="1:14">
      <c r="A164" s="28">
        <v>336</v>
      </c>
      <c r="B164" t="s">
        <v>2506</v>
      </c>
      <c r="C164" t="s">
        <v>348</v>
      </c>
      <c r="D164">
        <v>11.45</v>
      </c>
      <c r="E164">
        <v>503.27</v>
      </c>
      <c r="F164">
        <v>36.97</v>
      </c>
      <c r="G164" t="s">
        <v>350</v>
      </c>
      <c r="H164">
        <v>1.05</v>
      </c>
      <c r="I164">
        <v>1.17</v>
      </c>
      <c r="J164">
        <v>34.6</v>
      </c>
      <c r="K164">
        <v>3016.35</v>
      </c>
      <c r="L164">
        <v>301.47000000000003</v>
      </c>
      <c r="M164">
        <v>3.46</v>
      </c>
      <c r="N164">
        <v>213.12</v>
      </c>
    </row>
    <row r="165" spans="1:14">
      <c r="A165" s="28">
        <v>274</v>
      </c>
      <c r="B165" t="s">
        <v>998</v>
      </c>
      <c r="C165" t="s">
        <v>348</v>
      </c>
      <c r="D165">
        <v>11.49</v>
      </c>
      <c r="E165">
        <v>3508.73</v>
      </c>
      <c r="F165">
        <v>43.8</v>
      </c>
      <c r="G165">
        <v>193.84</v>
      </c>
      <c r="H165">
        <v>7.16</v>
      </c>
      <c r="I165">
        <v>7.82</v>
      </c>
      <c r="J165">
        <v>1329.01</v>
      </c>
      <c r="K165">
        <v>18043.66</v>
      </c>
      <c r="L165">
        <v>12.11</v>
      </c>
      <c r="M165">
        <v>0.89</v>
      </c>
      <c r="N165">
        <v>8.52</v>
      </c>
    </row>
    <row r="166" spans="1:14">
      <c r="A166" s="28">
        <v>706</v>
      </c>
      <c r="B166" t="s">
        <v>565</v>
      </c>
      <c r="C166" t="s">
        <v>348</v>
      </c>
      <c r="D166">
        <v>11.6</v>
      </c>
      <c r="E166">
        <v>2288.2600000000002</v>
      </c>
      <c r="F166">
        <v>16.52</v>
      </c>
      <c r="G166">
        <v>15.08</v>
      </c>
      <c r="H166">
        <v>15</v>
      </c>
      <c r="I166">
        <v>16.73</v>
      </c>
      <c r="J166">
        <v>1869.07</v>
      </c>
      <c r="K166">
        <v>12229.56</v>
      </c>
      <c r="L166">
        <v>6.45</v>
      </c>
      <c r="M166">
        <v>0.99</v>
      </c>
      <c r="N166">
        <v>5.08</v>
      </c>
    </row>
    <row r="167" spans="1:14">
      <c r="A167" s="28">
        <v>186</v>
      </c>
      <c r="B167" t="s">
        <v>1650</v>
      </c>
      <c r="C167" t="s">
        <v>348</v>
      </c>
      <c r="D167">
        <v>11.63</v>
      </c>
      <c r="E167">
        <v>2201.48</v>
      </c>
      <c r="F167">
        <v>59.23</v>
      </c>
      <c r="G167" t="s">
        <v>2788</v>
      </c>
      <c r="H167">
        <v>-0.63</v>
      </c>
      <c r="I167">
        <v>-0.77</v>
      </c>
      <c r="J167">
        <v>-78.209999999999994</v>
      </c>
      <c r="K167">
        <v>11507.38</v>
      </c>
      <c r="M167">
        <v>0.28999999999999998</v>
      </c>
      <c r="N167">
        <v>20.84</v>
      </c>
    </row>
    <row r="168" spans="1:14">
      <c r="A168" s="28">
        <v>141</v>
      </c>
      <c r="B168" t="s">
        <v>425</v>
      </c>
      <c r="C168" t="s">
        <v>347</v>
      </c>
      <c r="D168">
        <v>11.67</v>
      </c>
      <c r="E168">
        <v>335.15</v>
      </c>
      <c r="F168">
        <v>75.77</v>
      </c>
      <c r="G168" t="s">
        <v>2788</v>
      </c>
      <c r="H168">
        <v>-13.21</v>
      </c>
      <c r="I168">
        <v>-14.11</v>
      </c>
      <c r="J168">
        <v>-298.23</v>
      </c>
      <c r="K168">
        <v>2175.75</v>
      </c>
      <c r="M168">
        <v>0.38</v>
      </c>
    </row>
    <row r="169" spans="1:14">
      <c r="A169" s="28">
        <v>962</v>
      </c>
      <c r="B169" t="s">
        <v>1234</v>
      </c>
      <c r="C169" t="s">
        <v>348</v>
      </c>
      <c r="D169">
        <v>11.73</v>
      </c>
      <c r="E169">
        <v>985.7</v>
      </c>
      <c r="F169">
        <v>9.8800000000000008</v>
      </c>
      <c r="G169" t="s">
        <v>350</v>
      </c>
      <c r="H169">
        <v>11.45</v>
      </c>
      <c r="I169">
        <v>13.17</v>
      </c>
      <c r="J169">
        <v>131.72999999999999</v>
      </c>
      <c r="K169">
        <v>1085.7</v>
      </c>
      <c r="L169">
        <v>16.510000000000002</v>
      </c>
      <c r="M169">
        <v>2</v>
      </c>
      <c r="N169">
        <v>14.36</v>
      </c>
    </row>
    <row r="170" spans="1:14">
      <c r="A170" s="28">
        <v>339</v>
      </c>
      <c r="B170" t="s">
        <v>1413</v>
      </c>
      <c r="C170" t="s">
        <v>348</v>
      </c>
      <c r="D170">
        <v>11.83</v>
      </c>
      <c r="E170">
        <v>930.7</v>
      </c>
      <c r="F170">
        <v>36.69</v>
      </c>
      <c r="G170">
        <v>86.43</v>
      </c>
      <c r="H170">
        <v>39.770000000000003</v>
      </c>
      <c r="I170">
        <v>44.89</v>
      </c>
      <c r="J170">
        <v>369.74</v>
      </c>
      <c r="K170">
        <v>1030.7</v>
      </c>
      <c r="L170">
        <v>22.99</v>
      </c>
      <c r="M170">
        <v>8.25</v>
      </c>
      <c r="N170">
        <v>21.18</v>
      </c>
    </row>
    <row r="171" spans="1:14">
      <c r="A171" s="28">
        <v>984</v>
      </c>
      <c r="B171" t="s">
        <v>201</v>
      </c>
      <c r="C171" t="s">
        <v>347</v>
      </c>
      <c r="D171">
        <v>11.89</v>
      </c>
      <c r="E171">
        <v>726.1</v>
      </c>
      <c r="F171">
        <v>9.49</v>
      </c>
      <c r="G171" t="s">
        <v>350</v>
      </c>
      <c r="H171">
        <v>7.85</v>
      </c>
      <c r="I171">
        <v>8.7899999999999991</v>
      </c>
      <c r="J171">
        <v>345.4</v>
      </c>
      <c r="K171">
        <v>4130.4799999999996</v>
      </c>
      <c r="L171">
        <v>9.2899999999999991</v>
      </c>
      <c r="M171">
        <v>0.78</v>
      </c>
      <c r="N171">
        <v>16.75</v>
      </c>
    </row>
    <row r="172" spans="1:14">
      <c r="A172" s="28">
        <v>958</v>
      </c>
      <c r="B172" t="s">
        <v>256</v>
      </c>
      <c r="C172" t="s">
        <v>348</v>
      </c>
      <c r="D172">
        <v>11.9</v>
      </c>
      <c r="E172">
        <v>4684.6499999999996</v>
      </c>
      <c r="F172">
        <v>9.92</v>
      </c>
      <c r="G172">
        <v>97.54</v>
      </c>
      <c r="H172">
        <v>11.23</v>
      </c>
      <c r="I172">
        <v>12.5</v>
      </c>
      <c r="J172">
        <v>2698.38</v>
      </c>
      <c r="K172">
        <v>23923.26</v>
      </c>
      <c r="L172">
        <v>4.0199999999999996</v>
      </c>
      <c r="M172">
        <v>0.45</v>
      </c>
      <c r="N172">
        <v>9.9600000000000009</v>
      </c>
    </row>
    <row r="173" spans="1:14">
      <c r="A173" s="28">
        <v>940</v>
      </c>
      <c r="B173" t="s">
        <v>628</v>
      </c>
      <c r="C173" t="s">
        <v>347</v>
      </c>
      <c r="D173">
        <v>11.93</v>
      </c>
      <c r="E173">
        <v>1783.06</v>
      </c>
      <c r="F173">
        <v>10.39</v>
      </c>
      <c r="G173">
        <v>14.68</v>
      </c>
      <c r="H173">
        <v>4.21</v>
      </c>
      <c r="I173">
        <v>4.79</v>
      </c>
      <c r="J173">
        <v>441.25</v>
      </c>
      <c r="K173">
        <v>9415.31</v>
      </c>
      <c r="L173">
        <v>9.52</v>
      </c>
      <c r="M173">
        <v>0.45</v>
      </c>
    </row>
    <row r="174" spans="1:14">
      <c r="A174" s="28">
        <v>919</v>
      </c>
      <c r="B174" t="s">
        <v>840</v>
      </c>
      <c r="C174" t="s">
        <v>348</v>
      </c>
      <c r="D174">
        <v>11.95</v>
      </c>
      <c r="E174">
        <v>9985.73</v>
      </c>
      <c r="F174">
        <v>10.89</v>
      </c>
      <c r="G174">
        <v>-36.479999999999997</v>
      </c>
      <c r="H174">
        <v>5</v>
      </c>
      <c r="I174">
        <v>5.67</v>
      </c>
      <c r="J174">
        <v>2731.54</v>
      </c>
      <c r="K174">
        <v>50428.67</v>
      </c>
      <c r="L174">
        <v>12.12</v>
      </c>
      <c r="M174">
        <v>0.66</v>
      </c>
      <c r="N174">
        <v>5.21</v>
      </c>
    </row>
    <row r="175" spans="1:14">
      <c r="A175" s="28">
        <v>680</v>
      </c>
      <c r="B175" t="s">
        <v>774</v>
      </c>
      <c r="C175" t="s">
        <v>347</v>
      </c>
      <c r="D175">
        <v>11.98</v>
      </c>
      <c r="E175">
        <v>3691.72</v>
      </c>
      <c r="F175">
        <v>17.489999999999998</v>
      </c>
      <c r="G175">
        <v>26.79</v>
      </c>
      <c r="H175">
        <v>7.77</v>
      </c>
      <c r="I175">
        <v>8.65</v>
      </c>
      <c r="J175">
        <v>1608.8</v>
      </c>
      <c r="K175">
        <v>19774</v>
      </c>
      <c r="L175">
        <v>9.35</v>
      </c>
      <c r="M175">
        <v>0.76</v>
      </c>
      <c r="N175">
        <v>7.41</v>
      </c>
    </row>
    <row r="176" spans="1:14">
      <c r="A176" s="28">
        <v>33</v>
      </c>
      <c r="B176" t="s">
        <v>1541</v>
      </c>
      <c r="C176" t="s">
        <v>348</v>
      </c>
      <c r="D176">
        <v>110.25</v>
      </c>
      <c r="E176">
        <v>345.27</v>
      </c>
      <c r="F176">
        <v>302.58999999999997</v>
      </c>
      <c r="G176" t="s">
        <v>2788</v>
      </c>
      <c r="H176">
        <v>-4.9800000000000004</v>
      </c>
      <c r="I176">
        <v>-12.39</v>
      </c>
      <c r="J176">
        <v>-264.35000000000002</v>
      </c>
      <c r="K176">
        <v>2226.37</v>
      </c>
      <c r="M176">
        <v>4.1399999999999997</v>
      </c>
    </row>
    <row r="177" spans="1:14">
      <c r="A177" s="28">
        <v>126</v>
      </c>
      <c r="B177" t="s">
        <v>1449</v>
      </c>
      <c r="C177" t="s">
        <v>347</v>
      </c>
      <c r="D177">
        <v>110.34</v>
      </c>
      <c r="E177">
        <v>43.52</v>
      </c>
      <c r="F177">
        <v>84.19</v>
      </c>
      <c r="G177" t="s">
        <v>350</v>
      </c>
      <c r="H177">
        <v>2.2599999999999998</v>
      </c>
      <c r="I177">
        <v>4.37</v>
      </c>
      <c r="J177">
        <v>30.31</v>
      </c>
      <c r="K177">
        <v>717.61</v>
      </c>
      <c r="L177">
        <v>33.65</v>
      </c>
      <c r="M177">
        <v>1.42</v>
      </c>
      <c r="N177">
        <v>16.559999999999999</v>
      </c>
    </row>
    <row r="178" spans="1:14">
      <c r="A178" s="28">
        <v>591</v>
      </c>
      <c r="B178" t="s">
        <v>1960</v>
      </c>
      <c r="C178" t="s">
        <v>347</v>
      </c>
      <c r="D178">
        <v>110.68</v>
      </c>
      <c r="E178">
        <v>180.68</v>
      </c>
      <c r="F178">
        <v>21.36</v>
      </c>
      <c r="G178" t="s">
        <v>350</v>
      </c>
      <c r="H178">
        <v>3.97</v>
      </c>
      <c r="I178">
        <v>8.35</v>
      </c>
      <c r="J178">
        <v>113.93</v>
      </c>
      <c r="K178">
        <v>1403.41</v>
      </c>
      <c r="L178">
        <v>11.41</v>
      </c>
      <c r="M178">
        <v>0.93</v>
      </c>
      <c r="N178">
        <v>7.54</v>
      </c>
    </row>
    <row r="179" spans="1:14">
      <c r="A179" s="28">
        <v>1000</v>
      </c>
      <c r="B179" t="s">
        <v>861</v>
      </c>
      <c r="C179" t="s">
        <v>347</v>
      </c>
      <c r="D179">
        <v>110.9</v>
      </c>
      <c r="E179">
        <v>2877.84</v>
      </c>
      <c r="F179">
        <v>9.23</v>
      </c>
      <c r="G179" t="s">
        <v>350</v>
      </c>
      <c r="H179">
        <v>0.36</v>
      </c>
      <c r="I179">
        <v>0.74</v>
      </c>
      <c r="J179">
        <v>103.35</v>
      </c>
      <c r="K179">
        <v>14889.19</v>
      </c>
      <c r="L179">
        <v>72.760000000000005</v>
      </c>
      <c r="M179">
        <v>0.51</v>
      </c>
      <c r="N179">
        <v>30.02</v>
      </c>
    </row>
    <row r="180" spans="1:14">
      <c r="A180" s="28">
        <v>367</v>
      </c>
      <c r="B180" t="s">
        <v>1719</v>
      </c>
      <c r="C180" t="s">
        <v>348</v>
      </c>
      <c r="D180">
        <v>111.09</v>
      </c>
      <c r="E180">
        <v>1183.25</v>
      </c>
      <c r="F180">
        <v>33.61</v>
      </c>
      <c r="G180">
        <v>134.19999999999999</v>
      </c>
      <c r="H180">
        <v>9.26</v>
      </c>
      <c r="I180">
        <v>20.12</v>
      </c>
      <c r="J180">
        <v>1170.8900000000001</v>
      </c>
      <c r="K180">
        <v>6416.23</v>
      </c>
      <c r="L180">
        <v>10.97</v>
      </c>
      <c r="M180">
        <v>2</v>
      </c>
      <c r="N180">
        <v>8.51</v>
      </c>
    </row>
    <row r="181" spans="1:14">
      <c r="A181" s="28">
        <v>417</v>
      </c>
      <c r="B181" t="s">
        <v>1961</v>
      </c>
      <c r="C181" t="s">
        <v>347</v>
      </c>
      <c r="D181">
        <v>111.4</v>
      </c>
      <c r="E181">
        <v>606.30999999999995</v>
      </c>
      <c r="F181">
        <v>30.47</v>
      </c>
      <c r="G181">
        <v>-7.01</v>
      </c>
      <c r="H181">
        <v>4.7699999999999996</v>
      </c>
      <c r="I181">
        <v>10.64</v>
      </c>
      <c r="J181">
        <v>341.61</v>
      </c>
      <c r="K181">
        <v>3531.55</v>
      </c>
      <c r="L181">
        <v>6.37</v>
      </c>
      <c r="M181">
        <v>0.62</v>
      </c>
      <c r="N181">
        <v>6.56</v>
      </c>
    </row>
    <row r="182" spans="1:14">
      <c r="A182" s="28">
        <v>566</v>
      </c>
      <c r="B182" t="s">
        <v>1024</v>
      </c>
      <c r="C182" t="s">
        <v>347</v>
      </c>
      <c r="D182">
        <v>111.79</v>
      </c>
      <c r="E182">
        <v>653.79</v>
      </c>
      <c r="F182">
        <v>22.39</v>
      </c>
      <c r="G182">
        <v>30.83</v>
      </c>
      <c r="H182">
        <v>4.8499999999999996</v>
      </c>
      <c r="I182">
        <v>10.43</v>
      </c>
      <c r="J182">
        <v>746.11</v>
      </c>
      <c r="K182">
        <v>7537.9</v>
      </c>
      <c r="L182">
        <v>3.62</v>
      </c>
      <c r="M182">
        <v>0.36</v>
      </c>
      <c r="N182">
        <v>3.43</v>
      </c>
    </row>
    <row r="183" spans="1:14">
      <c r="A183" s="28">
        <v>276</v>
      </c>
      <c r="B183" t="s">
        <v>2584</v>
      </c>
      <c r="C183" t="s">
        <v>348</v>
      </c>
      <c r="D183">
        <v>111.85</v>
      </c>
      <c r="E183">
        <v>233.7</v>
      </c>
      <c r="F183">
        <v>43.48</v>
      </c>
      <c r="G183" t="s">
        <v>2788</v>
      </c>
      <c r="H183">
        <v>-7.97</v>
      </c>
      <c r="I183">
        <v>-19.190000000000001</v>
      </c>
      <c r="J183">
        <v>-74.33</v>
      </c>
      <c r="K183">
        <v>333.7</v>
      </c>
      <c r="M183">
        <v>2.66</v>
      </c>
    </row>
    <row r="184" spans="1:14">
      <c r="A184" s="28">
        <v>587</v>
      </c>
      <c r="B184" t="s">
        <v>2282</v>
      </c>
      <c r="C184" t="s">
        <v>348</v>
      </c>
      <c r="D184">
        <v>111.93</v>
      </c>
      <c r="E184">
        <v>1767.73</v>
      </c>
      <c r="F184">
        <v>21.52</v>
      </c>
      <c r="G184">
        <v>85.62</v>
      </c>
      <c r="H184">
        <v>5.76</v>
      </c>
      <c r="I184">
        <v>9.92</v>
      </c>
      <c r="J184">
        <v>176.91</v>
      </c>
      <c r="K184">
        <v>1867.73</v>
      </c>
      <c r="L184">
        <v>37.42</v>
      </c>
      <c r="M184">
        <v>3.54</v>
      </c>
      <c r="N184">
        <v>65.69</v>
      </c>
    </row>
    <row r="185" spans="1:14">
      <c r="A185" s="28">
        <v>366</v>
      </c>
      <c r="B185" t="s">
        <v>1461</v>
      </c>
      <c r="C185" t="s">
        <v>348</v>
      </c>
      <c r="D185">
        <v>112.01</v>
      </c>
      <c r="E185">
        <v>820.51</v>
      </c>
      <c r="F185">
        <v>33.799999999999997</v>
      </c>
      <c r="G185">
        <v>14.93</v>
      </c>
      <c r="H185">
        <v>17.53</v>
      </c>
      <c r="I185">
        <v>49.34</v>
      </c>
      <c r="J185">
        <v>1403.83</v>
      </c>
      <c r="K185">
        <v>3835.67</v>
      </c>
      <c r="N185">
        <v>0.26</v>
      </c>
    </row>
    <row r="186" spans="1:14">
      <c r="A186" s="28">
        <v>21</v>
      </c>
      <c r="B186" t="s">
        <v>1566</v>
      </c>
      <c r="C186" t="s">
        <v>347</v>
      </c>
      <c r="D186">
        <v>112.24</v>
      </c>
      <c r="E186">
        <v>2193.9</v>
      </c>
      <c r="F186">
        <v>514.64</v>
      </c>
      <c r="G186" t="s">
        <v>2788</v>
      </c>
      <c r="H186">
        <v>-27.99</v>
      </c>
      <c r="I186">
        <v>-55.16</v>
      </c>
      <c r="J186">
        <v>-4940.21</v>
      </c>
      <c r="K186">
        <v>11469.52</v>
      </c>
      <c r="M186">
        <v>5.27</v>
      </c>
    </row>
    <row r="187" spans="1:14">
      <c r="A187" s="28">
        <v>800</v>
      </c>
      <c r="B187" t="s">
        <v>2087</v>
      </c>
      <c r="C187" t="s">
        <v>348</v>
      </c>
      <c r="D187">
        <v>112.71</v>
      </c>
      <c r="E187">
        <v>506.87</v>
      </c>
      <c r="F187">
        <v>14.14</v>
      </c>
      <c r="G187">
        <v>-33.43</v>
      </c>
      <c r="H187">
        <v>4.32</v>
      </c>
      <c r="I187">
        <v>9.31</v>
      </c>
      <c r="J187">
        <v>268.58</v>
      </c>
      <c r="K187">
        <v>3034.36</v>
      </c>
      <c r="L187">
        <v>30.31</v>
      </c>
      <c r="M187">
        <v>2.68</v>
      </c>
      <c r="N187">
        <v>22.14</v>
      </c>
    </row>
    <row r="188" spans="1:14">
      <c r="A188" s="28">
        <v>802</v>
      </c>
      <c r="B188" t="s">
        <v>2102</v>
      </c>
      <c r="C188" t="s">
        <v>348</v>
      </c>
      <c r="D188">
        <v>112.98</v>
      </c>
      <c r="E188">
        <v>973.67</v>
      </c>
      <c r="F188">
        <v>14.1</v>
      </c>
      <c r="G188" t="s">
        <v>349</v>
      </c>
      <c r="H188">
        <v>-14.11</v>
      </c>
      <c r="I188">
        <v>-25.94</v>
      </c>
      <c r="J188">
        <v>-1425.54</v>
      </c>
      <c r="K188">
        <v>5368.34</v>
      </c>
      <c r="M188">
        <v>1.37</v>
      </c>
      <c r="N188">
        <v>60.72</v>
      </c>
    </row>
    <row r="189" spans="1:14">
      <c r="A189" s="28">
        <v>148</v>
      </c>
      <c r="B189" t="s">
        <v>1386</v>
      </c>
      <c r="C189" t="s">
        <v>348</v>
      </c>
      <c r="D189">
        <v>112.99</v>
      </c>
      <c r="E189">
        <v>745.85</v>
      </c>
      <c r="F189">
        <v>72.430000000000007</v>
      </c>
      <c r="G189" t="s">
        <v>350</v>
      </c>
      <c r="H189">
        <v>1.18</v>
      </c>
      <c r="I189">
        <v>2.48</v>
      </c>
      <c r="J189">
        <v>104.31</v>
      </c>
      <c r="K189">
        <v>4261.1400000000003</v>
      </c>
      <c r="L189">
        <v>67.11</v>
      </c>
      <c r="M189">
        <v>1.64</v>
      </c>
      <c r="N189">
        <v>24.76</v>
      </c>
    </row>
    <row r="190" spans="1:14">
      <c r="A190" s="28">
        <v>806</v>
      </c>
      <c r="B190" t="s">
        <v>2174</v>
      </c>
      <c r="C190" t="s">
        <v>347</v>
      </c>
      <c r="D190">
        <v>113.01</v>
      </c>
      <c r="E190">
        <v>344.24</v>
      </c>
      <c r="F190">
        <v>13.94</v>
      </c>
      <c r="G190">
        <v>85.78</v>
      </c>
      <c r="H190">
        <v>3.08</v>
      </c>
      <c r="I190">
        <v>5.59</v>
      </c>
      <c r="J190">
        <v>100.86</v>
      </c>
      <c r="K190">
        <v>2221.1799999999998</v>
      </c>
      <c r="L190">
        <v>17.18</v>
      </c>
      <c r="M190">
        <v>0.78</v>
      </c>
      <c r="N190">
        <v>12.73</v>
      </c>
    </row>
    <row r="191" spans="1:14">
      <c r="A191" s="28">
        <v>407</v>
      </c>
      <c r="B191" t="s">
        <v>1862</v>
      </c>
      <c r="C191" t="s">
        <v>348</v>
      </c>
      <c r="D191">
        <v>113.33</v>
      </c>
      <c r="E191">
        <v>4776.43</v>
      </c>
      <c r="F191">
        <v>31.15</v>
      </c>
      <c r="G191">
        <v>10.97</v>
      </c>
      <c r="H191">
        <v>7.06</v>
      </c>
      <c r="I191">
        <v>14.22</v>
      </c>
      <c r="J191">
        <v>533.07000000000005</v>
      </c>
      <c r="K191">
        <v>4876.43</v>
      </c>
      <c r="N191">
        <v>0</v>
      </c>
    </row>
    <row r="192" spans="1:14">
      <c r="A192" s="28">
        <v>421</v>
      </c>
      <c r="B192" t="s">
        <v>1854</v>
      </c>
      <c r="C192" t="s">
        <v>347</v>
      </c>
      <c r="D192">
        <v>113.71</v>
      </c>
      <c r="E192">
        <v>404.29</v>
      </c>
      <c r="F192">
        <v>30.35</v>
      </c>
      <c r="G192">
        <v>-26.86</v>
      </c>
      <c r="H192">
        <v>0.99</v>
      </c>
      <c r="I192">
        <v>2.39</v>
      </c>
      <c r="J192">
        <v>107.58</v>
      </c>
      <c r="K192">
        <v>5042.93</v>
      </c>
      <c r="L192">
        <v>187.95</v>
      </c>
      <c r="M192">
        <v>4.01</v>
      </c>
      <c r="N192">
        <v>47.36</v>
      </c>
    </row>
    <row r="193" spans="1:14">
      <c r="A193" s="28">
        <v>277</v>
      </c>
      <c r="B193" t="s">
        <v>1777</v>
      </c>
      <c r="C193" t="s">
        <v>348</v>
      </c>
      <c r="D193">
        <v>1138.21</v>
      </c>
      <c r="E193">
        <v>290.73</v>
      </c>
      <c r="F193">
        <v>43.32</v>
      </c>
      <c r="G193" t="s">
        <v>2788</v>
      </c>
      <c r="H193">
        <v>-191.45</v>
      </c>
      <c r="I193">
        <v>-808.04</v>
      </c>
      <c r="J193">
        <v>-2773.98</v>
      </c>
      <c r="K193">
        <v>130.24</v>
      </c>
      <c r="M193">
        <v>31.75</v>
      </c>
      <c r="N193">
        <v>139.22999999999999</v>
      </c>
    </row>
    <row r="194" spans="1:14">
      <c r="A194" s="28">
        <v>810</v>
      </c>
      <c r="B194" t="s">
        <v>178</v>
      </c>
      <c r="C194" t="s">
        <v>347</v>
      </c>
      <c r="D194">
        <v>114.06</v>
      </c>
      <c r="E194">
        <v>2154.5100000000002</v>
      </c>
      <c r="F194">
        <v>13.83</v>
      </c>
      <c r="G194">
        <v>-17.63</v>
      </c>
      <c r="H194">
        <v>4.5199999999999996</v>
      </c>
      <c r="I194">
        <v>9.5500000000000007</v>
      </c>
      <c r="J194">
        <v>1085.72</v>
      </c>
      <c r="K194">
        <v>12251.96</v>
      </c>
      <c r="L194">
        <v>9.3000000000000007</v>
      </c>
      <c r="M194">
        <v>0.82</v>
      </c>
      <c r="N194">
        <v>7.52</v>
      </c>
    </row>
    <row r="195" spans="1:14">
      <c r="A195" s="28">
        <v>595</v>
      </c>
      <c r="B195" t="s">
        <v>1790</v>
      </c>
      <c r="C195" t="s">
        <v>347</v>
      </c>
      <c r="D195">
        <v>114.39</v>
      </c>
      <c r="E195">
        <v>265.5</v>
      </c>
      <c r="F195">
        <v>20.75</v>
      </c>
      <c r="G195">
        <v>-8.57</v>
      </c>
      <c r="H195">
        <v>8.83</v>
      </c>
      <c r="I195">
        <v>18.399999999999999</v>
      </c>
      <c r="J195">
        <v>309.02999999999997</v>
      </c>
      <c r="K195">
        <v>1827.48</v>
      </c>
      <c r="L195">
        <v>3.73</v>
      </c>
      <c r="M195">
        <v>0.63</v>
      </c>
      <c r="N195">
        <v>3.21</v>
      </c>
    </row>
    <row r="196" spans="1:14">
      <c r="A196" s="28">
        <v>1097</v>
      </c>
      <c r="B196" t="s">
        <v>233</v>
      </c>
      <c r="C196" t="s">
        <v>347</v>
      </c>
      <c r="D196">
        <v>114.41</v>
      </c>
      <c r="E196">
        <v>304.58</v>
      </c>
      <c r="F196">
        <v>7.11</v>
      </c>
      <c r="G196">
        <v>-8</v>
      </c>
      <c r="H196">
        <v>4.71</v>
      </c>
      <c r="I196">
        <v>9.2899999999999991</v>
      </c>
      <c r="J196">
        <v>1814.12</v>
      </c>
      <c r="K196">
        <v>20229.07</v>
      </c>
      <c r="L196">
        <v>8.6300000000000008</v>
      </c>
      <c r="M196">
        <v>0.77</v>
      </c>
      <c r="N196">
        <v>8.1</v>
      </c>
    </row>
    <row r="197" spans="1:14">
      <c r="A197" s="28">
        <v>187</v>
      </c>
      <c r="B197" t="s">
        <v>2311</v>
      </c>
      <c r="C197" t="s">
        <v>348</v>
      </c>
      <c r="D197">
        <v>114.66</v>
      </c>
      <c r="E197">
        <v>564.23</v>
      </c>
      <c r="F197">
        <v>59.04</v>
      </c>
      <c r="G197" t="s">
        <v>2788</v>
      </c>
      <c r="H197">
        <v>-6.06</v>
      </c>
      <c r="I197">
        <v>-12.47</v>
      </c>
      <c r="J197">
        <v>-378.82</v>
      </c>
      <c r="K197">
        <v>3321.17</v>
      </c>
      <c r="M197">
        <v>5.71</v>
      </c>
      <c r="N197">
        <v>50.36</v>
      </c>
    </row>
    <row r="198" spans="1:14">
      <c r="A198" s="28">
        <v>917</v>
      </c>
      <c r="B198" t="s">
        <v>1505</v>
      </c>
      <c r="C198" t="s">
        <v>348</v>
      </c>
      <c r="D198">
        <v>115.43</v>
      </c>
      <c r="E198">
        <v>212.79</v>
      </c>
      <c r="F198">
        <v>10.91</v>
      </c>
      <c r="G198" t="s">
        <v>2788</v>
      </c>
      <c r="H198">
        <v>-8.3699999999999992</v>
      </c>
      <c r="I198">
        <v>-23.64</v>
      </c>
      <c r="J198">
        <v>-271.04000000000002</v>
      </c>
      <c r="K198">
        <v>1563.95</v>
      </c>
      <c r="M198">
        <v>1.73</v>
      </c>
      <c r="N198">
        <v>61.87</v>
      </c>
    </row>
    <row r="199" spans="1:14">
      <c r="A199" s="28">
        <v>740</v>
      </c>
      <c r="B199" t="s">
        <v>1361</v>
      </c>
      <c r="C199" t="s">
        <v>348</v>
      </c>
      <c r="D199">
        <v>115.63</v>
      </c>
      <c r="E199">
        <v>1102.6300000000001</v>
      </c>
      <c r="F199">
        <v>15.72</v>
      </c>
      <c r="G199">
        <v>132.11000000000001</v>
      </c>
      <c r="H199">
        <v>2.68</v>
      </c>
      <c r="I199">
        <v>5.78</v>
      </c>
      <c r="J199">
        <v>340.09</v>
      </c>
      <c r="K199">
        <v>6013.17</v>
      </c>
      <c r="L199">
        <v>15.26</v>
      </c>
      <c r="M199">
        <v>0.86</v>
      </c>
      <c r="N199">
        <v>8.19</v>
      </c>
    </row>
    <row r="200" spans="1:14">
      <c r="A200" s="28">
        <v>947</v>
      </c>
      <c r="B200" t="s">
        <v>1716</v>
      </c>
      <c r="C200" t="s">
        <v>347</v>
      </c>
      <c r="D200">
        <v>116.53</v>
      </c>
      <c r="E200">
        <v>261.13</v>
      </c>
      <c r="F200">
        <v>10.24</v>
      </c>
      <c r="G200" t="s">
        <v>350</v>
      </c>
      <c r="H200">
        <v>1.72</v>
      </c>
      <c r="I200">
        <v>3.84</v>
      </c>
      <c r="J200">
        <v>74.459999999999994</v>
      </c>
      <c r="K200">
        <v>1805.66</v>
      </c>
      <c r="L200">
        <v>8.19</v>
      </c>
      <c r="M200">
        <v>0.34</v>
      </c>
      <c r="N200">
        <v>3.32</v>
      </c>
    </row>
    <row r="201" spans="1:14">
      <c r="A201" s="28">
        <v>131</v>
      </c>
      <c r="B201" t="s">
        <v>1871</v>
      </c>
      <c r="C201" t="s">
        <v>348</v>
      </c>
      <c r="D201">
        <v>116.58</v>
      </c>
      <c r="E201">
        <v>484.54</v>
      </c>
      <c r="F201">
        <v>81.27</v>
      </c>
      <c r="G201" t="s">
        <v>350</v>
      </c>
      <c r="H201">
        <v>9.27</v>
      </c>
      <c r="I201">
        <v>16.920000000000002</v>
      </c>
      <c r="J201">
        <v>451.38</v>
      </c>
      <c r="K201">
        <v>2922.68</v>
      </c>
      <c r="L201">
        <v>35.89</v>
      </c>
      <c r="M201">
        <v>5.54</v>
      </c>
      <c r="N201">
        <v>21.84</v>
      </c>
    </row>
    <row r="202" spans="1:14">
      <c r="A202" s="28">
        <v>151</v>
      </c>
      <c r="B202" t="s">
        <v>2791</v>
      </c>
      <c r="C202" t="s">
        <v>348</v>
      </c>
      <c r="D202">
        <v>1169.82</v>
      </c>
      <c r="F202">
        <v>70.63</v>
      </c>
      <c r="G202" t="s">
        <v>350</v>
      </c>
      <c r="H202">
        <v>17.079999999999998</v>
      </c>
      <c r="I202" t="s">
        <v>2792</v>
      </c>
      <c r="J202">
        <v>199.77</v>
      </c>
      <c r="K202">
        <v>100.37</v>
      </c>
      <c r="L202">
        <v>5.38</v>
      </c>
      <c r="M202">
        <v>10.71</v>
      </c>
      <c r="N202">
        <v>8.9499999999999993</v>
      </c>
    </row>
    <row r="203" spans="1:14">
      <c r="A203" s="28">
        <v>39</v>
      </c>
      <c r="B203" t="s">
        <v>1710</v>
      </c>
      <c r="C203" t="s">
        <v>348</v>
      </c>
      <c r="D203">
        <v>1175.01</v>
      </c>
      <c r="E203">
        <v>419.53</v>
      </c>
      <c r="F203">
        <v>268.64</v>
      </c>
      <c r="G203" t="s">
        <v>350</v>
      </c>
      <c r="H203">
        <v>2.11</v>
      </c>
      <c r="I203">
        <v>75.94</v>
      </c>
      <c r="J203">
        <v>153.46</v>
      </c>
      <c r="K203">
        <v>519.53</v>
      </c>
      <c r="N203">
        <v>5.12</v>
      </c>
    </row>
    <row r="204" spans="1:14">
      <c r="A204" s="28">
        <v>666</v>
      </c>
      <c r="B204" t="s">
        <v>2793</v>
      </c>
      <c r="C204" t="s">
        <v>348</v>
      </c>
      <c r="D204">
        <v>118.02</v>
      </c>
      <c r="E204">
        <v>250.03</v>
      </c>
      <c r="F204">
        <v>18.16</v>
      </c>
      <c r="G204">
        <v>-68.08</v>
      </c>
      <c r="H204">
        <v>6.11</v>
      </c>
      <c r="I204">
        <v>27.72</v>
      </c>
      <c r="J204">
        <v>247.34</v>
      </c>
      <c r="K204">
        <v>1750.13</v>
      </c>
      <c r="N204">
        <v>0.52</v>
      </c>
    </row>
    <row r="205" spans="1:14">
      <c r="A205" s="28">
        <v>438</v>
      </c>
      <c r="B205" t="s">
        <v>2354</v>
      </c>
      <c r="C205" t="s">
        <v>348</v>
      </c>
      <c r="D205">
        <v>118.34</v>
      </c>
      <c r="E205">
        <v>2311.02</v>
      </c>
      <c r="F205">
        <v>28.78</v>
      </c>
      <c r="G205" t="s">
        <v>349</v>
      </c>
      <c r="H205">
        <v>-0.43</v>
      </c>
      <c r="I205">
        <v>-0.86</v>
      </c>
      <c r="J205">
        <v>-19.920000000000002</v>
      </c>
      <c r="K205">
        <v>2411.02</v>
      </c>
      <c r="M205">
        <v>2.2599999999999998</v>
      </c>
      <c r="N205">
        <v>30.84</v>
      </c>
    </row>
    <row r="206" spans="1:14">
      <c r="A206" s="28">
        <v>872</v>
      </c>
      <c r="B206" t="s">
        <v>2076</v>
      </c>
      <c r="C206" t="s">
        <v>348</v>
      </c>
      <c r="D206">
        <v>118.64</v>
      </c>
      <c r="E206">
        <v>2150.27</v>
      </c>
      <c r="F206">
        <v>11.8</v>
      </c>
      <c r="G206">
        <v>440.7</v>
      </c>
      <c r="H206">
        <v>1.87</v>
      </c>
      <c r="I206">
        <v>3.57</v>
      </c>
      <c r="J206">
        <v>299.41000000000003</v>
      </c>
      <c r="K206">
        <v>8355.48</v>
      </c>
      <c r="L206">
        <v>43.8</v>
      </c>
      <c r="M206">
        <v>1.57</v>
      </c>
    </row>
    <row r="207" spans="1:14">
      <c r="A207" s="28">
        <v>327</v>
      </c>
      <c r="B207" t="s">
        <v>1417</v>
      </c>
      <c r="C207" t="s">
        <v>348</v>
      </c>
      <c r="D207">
        <v>119.1</v>
      </c>
      <c r="F207">
        <v>38.06</v>
      </c>
      <c r="G207" t="s">
        <v>2788</v>
      </c>
      <c r="H207">
        <v>-22.34</v>
      </c>
      <c r="I207">
        <v>-47.74</v>
      </c>
      <c r="J207">
        <v>-53.29</v>
      </c>
      <c r="K207">
        <v>113.15</v>
      </c>
      <c r="M207">
        <v>1.29</v>
      </c>
    </row>
    <row r="208" spans="1:14">
      <c r="A208" s="28">
        <v>411</v>
      </c>
      <c r="B208" t="s">
        <v>2356</v>
      </c>
      <c r="C208" t="s">
        <v>348</v>
      </c>
      <c r="D208">
        <v>119.22</v>
      </c>
      <c r="E208">
        <v>1344.72</v>
      </c>
      <c r="F208">
        <v>30.84</v>
      </c>
      <c r="G208">
        <v>459.12</v>
      </c>
      <c r="H208">
        <v>28.96</v>
      </c>
      <c r="I208">
        <v>74.09</v>
      </c>
      <c r="J208">
        <v>778.21</v>
      </c>
      <c r="K208">
        <v>1444.72</v>
      </c>
      <c r="N208">
        <v>0</v>
      </c>
    </row>
    <row r="209" spans="1:14">
      <c r="A209" s="28">
        <v>924</v>
      </c>
      <c r="B209" t="s">
        <v>96</v>
      </c>
      <c r="C209" t="s">
        <v>347</v>
      </c>
      <c r="D209">
        <v>119.32</v>
      </c>
      <c r="E209">
        <v>1143.1300000000001</v>
      </c>
      <c r="F209">
        <v>10.67</v>
      </c>
      <c r="G209">
        <v>-12.53</v>
      </c>
      <c r="H209">
        <v>3.3</v>
      </c>
      <c r="I209">
        <v>6.94</v>
      </c>
      <c r="J209">
        <v>400.03</v>
      </c>
      <c r="K209">
        <v>6215.66</v>
      </c>
      <c r="L209">
        <v>7.54</v>
      </c>
      <c r="M209">
        <v>0.49</v>
      </c>
      <c r="N209">
        <v>3.96</v>
      </c>
    </row>
    <row r="210" spans="1:14">
      <c r="A210" s="28">
        <v>1096</v>
      </c>
      <c r="B210" t="s">
        <v>715</v>
      </c>
      <c r="C210" t="s">
        <v>347</v>
      </c>
      <c r="D210">
        <v>119.53</v>
      </c>
      <c r="E210">
        <v>314.8</v>
      </c>
      <c r="F210">
        <v>7.13</v>
      </c>
      <c r="G210" t="s">
        <v>350</v>
      </c>
      <c r="H210">
        <v>6</v>
      </c>
      <c r="I210">
        <v>14.33</v>
      </c>
      <c r="J210">
        <v>2632.66</v>
      </c>
      <c r="K210">
        <v>21109.84</v>
      </c>
      <c r="L210">
        <v>3.23</v>
      </c>
      <c r="M210">
        <v>0.4</v>
      </c>
      <c r="N210">
        <v>6.41</v>
      </c>
    </row>
    <row r="211" spans="1:14">
      <c r="A211" s="28">
        <v>472</v>
      </c>
      <c r="B211" t="s">
        <v>541</v>
      </c>
      <c r="C211" t="s">
        <v>347</v>
      </c>
      <c r="D211">
        <v>119.57</v>
      </c>
      <c r="E211">
        <v>841.48</v>
      </c>
      <c r="F211">
        <v>26.77</v>
      </c>
      <c r="G211">
        <v>370.12</v>
      </c>
      <c r="H211">
        <v>2.4900000000000002</v>
      </c>
      <c r="I211">
        <v>5.68</v>
      </c>
      <c r="J211">
        <v>2609.8200000000002</v>
      </c>
      <c r="K211">
        <v>47073.89</v>
      </c>
      <c r="L211">
        <v>5.59</v>
      </c>
      <c r="M211">
        <v>0.31</v>
      </c>
      <c r="N211">
        <v>7.34</v>
      </c>
    </row>
    <row r="212" spans="1:14">
      <c r="A212" s="28">
        <v>256</v>
      </c>
      <c r="B212" t="s">
        <v>1543</v>
      </c>
      <c r="C212" t="s">
        <v>348</v>
      </c>
      <c r="D212">
        <v>119.88</v>
      </c>
      <c r="E212">
        <v>518.01</v>
      </c>
      <c r="F212">
        <v>45.66</v>
      </c>
      <c r="G212">
        <v>102.1</v>
      </c>
      <c r="H212">
        <v>15.63</v>
      </c>
      <c r="I212">
        <v>31.65</v>
      </c>
      <c r="J212">
        <v>822.02</v>
      </c>
      <c r="K212">
        <v>3090.06</v>
      </c>
      <c r="L212">
        <v>19.28</v>
      </c>
      <c r="M212">
        <v>5.13</v>
      </c>
      <c r="N212">
        <v>25.86</v>
      </c>
    </row>
    <row r="213" spans="1:14">
      <c r="A213" s="28">
        <v>717</v>
      </c>
      <c r="B213" t="s">
        <v>2243</v>
      </c>
      <c r="C213" t="s">
        <v>348</v>
      </c>
      <c r="D213">
        <v>119.89</v>
      </c>
      <c r="E213">
        <v>287.43</v>
      </c>
      <c r="F213">
        <v>16.2</v>
      </c>
      <c r="G213" t="s">
        <v>2788</v>
      </c>
      <c r="H213">
        <v>-4.93</v>
      </c>
      <c r="I213">
        <v>-10.34</v>
      </c>
      <c r="J213">
        <v>-41.55</v>
      </c>
      <c r="K213">
        <v>387.43</v>
      </c>
      <c r="M213">
        <v>6.25</v>
      </c>
    </row>
    <row r="214" spans="1:14">
      <c r="A214" s="28">
        <v>500</v>
      </c>
      <c r="B214" t="s">
        <v>1459</v>
      </c>
      <c r="C214" t="s">
        <v>348</v>
      </c>
      <c r="D214">
        <v>12.38</v>
      </c>
      <c r="E214">
        <v>621.29999999999995</v>
      </c>
      <c r="F214">
        <v>25.56</v>
      </c>
      <c r="G214" t="s">
        <v>349</v>
      </c>
      <c r="H214">
        <v>-14</v>
      </c>
      <c r="I214">
        <v>-15.64</v>
      </c>
      <c r="J214">
        <v>-587.74</v>
      </c>
      <c r="K214">
        <v>3606.5</v>
      </c>
      <c r="M214">
        <v>3.29</v>
      </c>
    </row>
    <row r="215" spans="1:14">
      <c r="A215" s="28">
        <v>213</v>
      </c>
      <c r="B215" t="s">
        <v>1955</v>
      </c>
      <c r="C215" t="s">
        <v>348</v>
      </c>
      <c r="D215">
        <v>12.45</v>
      </c>
      <c r="E215">
        <v>1328.18</v>
      </c>
      <c r="F215">
        <v>53.86</v>
      </c>
      <c r="G215">
        <v>50.88</v>
      </c>
      <c r="H215">
        <v>15.26</v>
      </c>
      <c r="I215">
        <v>16.86</v>
      </c>
      <c r="J215">
        <v>1104.32</v>
      </c>
      <c r="K215">
        <v>7140.89</v>
      </c>
      <c r="L215">
        <v>29.07</v>
      </c>
      <c r="M215">
        <v>4.5</v>
      </c>
      <c r="N215">
        <v>24.98</v>
      </c>
    </row>
    <row r="216" spans="1:14">
      <c r="A216" s="28">
        <v>439</v>
      </c>
      <c r="B216" t="s">
        <v>873</v>
      </c>
      <c r="C216" t="s">
        <v>347</v>
      </c>
      <c r="D216">
        <v>12.48</v>
      </c>
      <c r="E216">
        <v>8268.5499999999993</v>
      </c>
      <c r="F216">
        <v>28.74</v>
      </c>
      <c r="G216">
        <v>44.07</v>
      </c>
      <c r="H216">
        <v>7.26</v>
      </c>
      <c r="I216">
        <v>8.36</v>
      </c>
      <c r="J216">
        <v>3459.15</v>
      </c>
      <c r="K216">
        <v>41842.769999999997</v>
      </c>
      <c r="L216">
        <v>4.93</v>
      </c>
      <c r="M216">
        <v>0.41</v>
      </c>
      <c r="N216">
        <v>4.51</v>
      </c>
    </row>
    <row r="217" spans="1:14">
      <c r="A217" s="28">
        <v>231</v>
      </c>
      <c r="B217" t="s">
        <v>689</v>
      </c>
      <c r="C217" t="s">
        <v>348</v>
      </c>
      <c r="D217">
        <v>12.48</v>
      </c>
      <c r="E217">
        <v>2759.38</v>
      </c>
      <c r="F217">
        <v>49.45</v>
      </c>
      <c r="G217">
        <v>251.22</v>
      </c>
      <c r="H217">
        <v>6.07</v>
      </c>
      <c r="I217">
        <v>6.76</v>
      </c>
      <c r="J217">
        <v>1869.95</v>
      </c>
      <c r="K217">
        <v>28593.8</v>
      </c>
      <c r="L217">
        <v>8.9</v>
      </c>
      <c r="M217">
        <v>0.57999999999999996</v>
      </c>
      <c r="N217">
        <v>4.9400000000000004</v>
      </c>
    </row>
    <row r="218" spans="1:14">
      <c r="A218" s="28">
        <v>440</v>
      </c>
      <c r="B218" t="s">
        <v>2620</v>
      </c>
      <c r="C218" t="s">
        <v>347</v>
      </c>
      <c r="D218">
        <v>12.51</v>
      </c>
      <c r="E218">
        <v>237.38</v>
      </c>
      <c r="F218">
        <v>28.72</v>
      </c>
      <c r="G218">
        <v>96.67</v>
      </c>
      <c r="H218">
        <v>4.93</v>
      </c>
      <c r="I218">
        <v>5.46</v>
      </c>
      <c r="J218">
        <v>89.56</v>
      </c>
      <c r="K218">
        <v>1686.91</v>
      </c>
      <c r="L218">
        <v>15.06</v>
      </c>
      <c r="M218">
        <v>0.8</v>
      </c>
      <c r="N218">
        <v>15.52</v>
      </c>
    </row>
    <row r="219" spans="1:14">
      <c r="A219" s="28">
        <v>844</v>
      </c>
      <c r="B219" t="s">
        <v>304</v>
      </c>
      <c r="C219" t="s">
        <v>348</v>
      </c>
      <c r="D219">
        <v>12.64</v>
      </c>
      <c r="E219">
        <v>1421.54</v>
      </c>
      <c r="F219">
        <v>12.86</v>
      </c>
      <c r="G219">
        <v>14.65</v>
      </c>
      <c r="H219">
        <v>13.98</v>
      </c>
      <c r="I219">
        <v>16.04</v>
      </c>
      <c r="J219">
        <v>1093.52</v>
      </c>
      <c r="K219">
        <v>7607.69</v>
      </c>
      <c r="L219">
        <v>5.42</v>
      </c>
      <c r="M219">
        <v>0.78</v>
      </c>
      <c r="N219">
        <v>4.7699999999999996</v>
      </c>
    </row>
    <row r="220" spans="1:14">
      <c r="A220" s="28">
        <v>248</v>
      </c>
      <c r="B220" t="s">
        <v>2794</v>
      </c>
      <c r="C220" t="s">
        <v>348</v>
      </c>
      <c r="D220">
        <v>120.08</v>
      </c>
      <c r="F220">
        <v>46.49</v>
      </c>
      <c r="G220" t="s">
        <v>350</v>
      </c>
      <c r="H220">
        <v>8.06</v>
      </c>
      <c r="I220">
        <v>20.91</v>
      </c>
      <c r="J220">
        <v>63.76</v>
      </c>
      <c r="K220">
        <v>390.98</v>
      </c>
      <c r="L220">
        <v>111.36</v>
      </c>
      <c r="M220">
        <v>18.16</v>
      </c>
      <c r="N220">
        <v>47.45</v>
      </c>
    </row>
    <row r="221" spans="1:14">
      <c r="A221" s="28">
        <v>214</v>
      </c>
      <c r="B221" t="s">
        <v>2375</v>
      </c>
      <c r="C221" t="s">
        <v>348</v>
      </c>
      <c r="D221">
        <v>120.14</v>
      </c>
      <c r="E221">
        <v>103.8</v>
      </c>
      <c r="F221">
        <v>53.81</v>
      </c>
      <c r="G221" t="s">
        <v>2788</v>
      </c>
      <c r="H221">
        <v>-19.010000000000002</v>
      </c>
      <c r="I221">
        <v>-31.95</v>
      </c>
      <c r="J221">
        <v>-762.09</v>
      </c>
      <c r="K221">
        <v>2037.96</v>
      </c>
      <c r="M221">
        <v>4.55</v>
      </c>
    </row>
    <row r="222" spans="1:14">
      <c r="A222" s="28">
        <v>442</v>
      </c>
      <c r="B222" t="s">
        <v>1970</v>
      </c>
      <c r="C222" t="s">
        <v>347</v>
      </c>
      <c r="D222">
        <v>120.47</v>
      </c>
      <c r="E222">
        <v>386.85</v>
      </c>
      <c r="F222">
        <v>28.65</v>
      </c>
      <c r="G222" t="s">
        <v>2788</v>
      </c>
      <c r="H222">
        <v>-7.67</v>
      </c>
      <c r="I222">
        <v>-16.09</v>
      </c>
      <c r="J222">
        <v>-4416.95</v>
      </c>
      <c r="K222">
        <v>28514.71</v>
      </c>
      <c r="M222">
        <v>0.49</v>
      </c>
    </row>
    <row r="223" spans="1:14">
      <c r="A223" s="28">
        <v>371</v>
      </c>
      <c r="B223" t="s">
        <v>2351</v>
      </c>
      <c r="C223" t="s">
        <v>348</v>
      </c>
      <c r="D223">
        <v>121.06</v>
      </c>
      <c r="E223">
        <v>802.68</v>
      </c>
      <c r="F223">
        <v>33.369999999999997</v>
      </c>
      <c r="G223">
        <v>467.35</v>
      </c>
      <c r="H223">
        <v>1.76</v>
      </c>
      <c r="I223">
        <v>3.4</v>
      </c>
      <c r="J223">
        <v>148.13</v>
      </c>
      <c r="K223">
        <v>4513.42</v>
      </c>
      <c r="L223">
        <v>72.91</v>
      </c>
      <c r="M223">
        <v>2.39</v>
      </c>
      <c r="N223">
        <v>58.81</v>
      </c>
    </row>
    <row r="224" spans="1:14">
      <c r="A224" s="28">
        <v>208</v>
      </c>
      <c r="B224" t="s">
        <v>1098</v>
      </c>
      <c r="C224" t="s">
        <v>347</v>
      </c>
      <c r="D224">
        <v>121.2</v>
      </c>
      <c r="E224">
        <v>1835.69</v>
      </c>
      <c r="F224">
        <v>55.08</v>
      </c>
      <c r="G224" t="s">
        <v>350</v>
      </c>
      <c r="H224">
        <v>2.99</v>
      </c>
      <c r="I224">
        <v>6.64</v>
      </c>
      <c r="J224">
        <v>582.44000000000005</v>
      </c>
      <c r="K224">
        <v>9678.44</v>
      </c>
      <c r="L224">
        <v>9.75</v>
      </c>
      <c r="M224">
        <v>0.59</v>
      </c>
      <c r="N224">
        <v>7.45</v>
      </c>
    </row>
    <row r="225" spans="1:14">
      <c r="A225" s="28">
        <v>405</v>
      </c>
      <c r="B225" t="s">
        <v>885</v>
      </c>
      <c r="C225" t="s">
        <v>348</v>
      </c>
      <c r="D225">
        <v>121.7</v>
      </c>
      <c r="E225">
        <v>2219.52</v>
      </c>
      <c r="F225">
        <v>31.36</v>
      </c>
      <c r="G225">
        <v>222.07</v>
      </c>
      <c r="H225">
        <v>7.57</v>
      </c>
      <c r="I225">
        <v>17</v>
      </c>
      <c r="J225">
        <v>1729.77</v>
      </c>
      <c r="K225">
        <v>11597.61</v>
      </c>
      <c r="L225">
        <v>8.61</v>
      </c>
      <c r="M225">
        <v>1.28</v>
      </c>
      <c r="N225">
        <v>7.86</v>
      </c>
    </row>
    <row r="226" spans="1:14">
      <c r="A226" s="28">
        <v>900</v>
      </c>
      <c r="B226" t="s">
        <v>2222</v>
      </c>
      <c r="C226" t="s">
        <v>348</v>
      </c>
      <c r="D226">
        <v>123.23</v>
      </c>
      <c r="E226">
        <v>24.58</v>
      </c>
      <c r="F226">
        <v>11.19</v>
      </c>
      <c r="G226" t="s">
        <v>2788</v>
      </c>
      <c r="H226">
        <v>-17.39</v>
      </c>
      <c r="I226">
        <v>-51.31</v>
      </c>
      <c r="J226">
        <v>-322.33999999999997</v>
      </c>
      <c r="K226">
        <v>622.88</v>
      </c>
      <c r="M226">
        <v>1.67</v>
      </c>
    </row>
    <row r="227" spans="1:14">
      <c r="A227" s="28">
        <v>122</v>
      </c>
      <c r="B227" t="s">
        <v>2392</v>
      </c>
      <c r="C227" t="s">
        <v>347</v>
      </c>
      <c r="D227">
        <v>123.33</v>
      </c>
      <c r="E227">
        <v>20.53</v>
      </c>
      <c r="F227">
        <v>87.18</v>
      </c>
      <c r="G227" t="s">
        <v>350</v>
      </c>
      <c r="H227">
        <v>9.35</v>
      </c>
      <c r="I227">
        <v>18.579999999999998</v>
      </c>
      <c r="J227">
        <v>92.64</v>
      </c>
      <c r="K227">
        <v>602.66</v>
      </c>
      <c r="L227">
        <v>18.84</v>
      </c>
      <c r="M227">
        <v>2.9</v>
      </c>
      <c r="N227">
        <v>26.13</v>
      </c>
    </row>
    <row r="228" spans="1:14">
      <c r="A228" s="28">
        <v>401</v>
      </c>
      <c r="B228" t="s">
        <v>367</v>
      </c>
      <c r="C228" t="s">
        <v>347</v>
      </c>
      <c r="D228">
        <v>123.45</v>
      </c>
      <c r="E228">
        <v>1090.27</v>
      </c>
      <c r="F228">
        <v>31.73</v>
      </c>
      <c r="G228">
        <v>7.37</v>
      </c>
      <c r="H228">
        <v>2.59</v>
      </c>
      <c r="I228">
        <v>5.69</v>
      </c>
      <c r="J228">
        <v>3310.43</v>
      </c>
      <c r="K228">
        <v>59513.4</v>
      </c>
      <c r="L228">
        <v>10.54</v>
      </c>
      <c r="M228">
        <v>0.59</v>
      </c>
      <c r="N228">
        <v>8.41</v>
      </c>
    </row>
    <row r="229" spans="1:14">
      <c r="A229" s="28">
        <v>373</v>
      </c>
      <c r="B229" t="s">
        <v>1179</v>
      </c>
      <c r="C229" t="s">
        <v>347</v>
      </c>
      <c r="D229">
        <v>1235.01</v>
      </c>
      <c r="E229">
        <v>233.56</v>
      </c>
      <c r="F229">
        <v>33.29</v>
      </c>
      <c r="G229">
        <v>-77.650000000000006</v>
      </c>
      <c r="H229">
        <v>7.0000000000000007E-2</v>
      </c>
      <c r="I229">
        <v>0.96</v>
      </c>
      <c r="J229">
        <v>158.77000000000001</v>
      </c>
      <c r="K229">
        <v>16678.23</v>
      </c>
      <c r="L229">
        <v>51.08</v>
      </c>
      <c r="M229">
        <v>0.49</v>
      </c>
    </row>
    <row r="230" spans="1:14">
      <c r="A230" s="28">
        <v>640</v>
      </c>
      <c r="B230" t="s">
        <v>847</v>
      </c>
      <c r="C230" t="s">
        <v>348</v>
      </c>
      <c r="D230">
        <v>124.27</v>
      </c>
      <c r="E230">
        <v>2278.2600000000002</v>
      </c>
      <c r="F230">
        <v>19.2</v>
      </c>
      <c r="G230">
        <v>55.84</v>
      </c>
      <c r="H230">
        <v>6.58</v>
      </c>
      <c r="I230">
        <v>12.79</v>
      </c>
      <c r="J230">
        <v>259.61</v>
      </c>
      <c r="K230">
        <v>2378.2600000000002</v>
      </c>
      <c r="L230">
        <v>10.28</v>
      </c>
      <c r="M230">
        <v>1.1200000000000001</v>
      </c>
      <c r="N230">
        <v>13.79</v>
      </c>
    </row>
    <row r="231" spans="1:14">
      <c r="A231" s="28">
        <v>1036</v>
      </c>
      <c r="B231" t="s">
        <v>2746</v>
      </c>
      <c r="C231" t="s">
        <v>348</v>
      </c>
      <c r="D231">
        <v>124.53</v>
      </c>
      <c r="E231">
        <v>1224.1600000000001</v>
      </c>
      <c r="F231">
        <v>8.31</v>
      </c>
      <c r="G231" t="s">
        <v>349</v>
      </c>
      <c r="H231">
        <v>-20.75</v>
      </c>
      <c r="I231">
        <v>-37.97</v>
      </c>
      <c r="J231">
        <v>-1350.11</v>
      </c>
      <c r="K231">
        <v>3005.93</v>
      </c>
      <c r="M231">
        <v>2.99</v>
      </c>
    </row>
    <row r="232" spans="1:14">
      <c r="A232" s="28">
        <v>470</v>
      </c>
      <c r="B232" t="s">
        <v>1618</v>
      </c>
      <c r="C232" t="s">
        <v>348</v>
      </c>
      <c r="D232">
        <v>124.59</v>
      </c>
      <c r="E232">
        <v>1379.87</v>
      </c>
      <c r="F232">
        <v>26.89</v>
      </c>
      <c r="G232" t="s">
        <v>2788</v>
      </c>
      <c r="H232">
        <v>-0.32</v>
      </c>
      <c r="I232">
        <v>-0.7</v>
      </c>
      <c r="J232">
        <v>-46.77</v>
      </c>
      <c r="K232">
        <v>7399.35</v>
      </c>
      <c r="M232">
        <v>0.97</v>
      </c>
      <c r="N232">
        <v>15.06</v>
      </c>
    </row>
    <row r="233" spans="1:14">
      <c r="A233" s="28">
        <v>150</v>
      </c>
      <c r="B233" t="s">
        <v>115</v>
      </c>
      <c r="C233" t="s">
        <v>347</v>
      </c>
      <c r="D233">
        <v>124.87</v>
      </c>
      <c r="E233">
        <v>344.28</v>
      </c>
      <c r="F233">
        <v>71.319999999999993</v>
      </c>
      <c r="G233">
        <v>116.26</v>
      </c>
      <c r="H233">
        <v>15.83</v>
      </c>
      <c r="I233">
        <v>34.340000000000003</v>
      </c>
      <c r="J233">
        <v>2187.0100000000002</v>
      </c>
      <c r="K233">
        <v>7512.34</v>
      </c>
      <c r="L233">
        <v>4.45</v>
      </c>
      <c r="M233">
        <v>1.3</v>
      </c>
      <c r="N233">
        <v>6.44</v>
      </c>
    </row>
    <row r="234" spans="1:14">
      <c r="A234" s="28">
        <v>488</v>
      </c>
      <c r="B234" t="s">
        <v>2858</v>
      </c>
      <c r="C234" t="s">
        <v>348</v>
      </c>
      <c r="D234">
        <v>124.97</v>
      </c>
      <c r="E234">
        <v>505.96</v>
      </c>
      <c r="F234">
        <v>26.14</v>
      </c>
      <c r="G234" t="s">
        <v>350</v>
      </c>
      <c r="H234">
        <v>3.74</v>
      </c>
      <c r="I234">
        <v>8.76</v>
      </c>
      <c r="J234">
        <v>252.18</v>
      </c>
      <c r="K234">
        <v>3029.79</v>
      </c>
      <c r="L234">
        <v>18.18</v>
      </c>
      <c r="M234">
        <v>1.51</v>
      </c>
      <c r="N234">
        <v>10.27</v>
      </c>
    </row>
    <row r="235" spans="1:14">
      <c r="A235" s="28">
        <v>981</v>
      </c>
      <c r="B235" t="s">
        <v>1518</v>
      </c>
      <c r="C235" t="s">
        <v>348</v>
      </c>
      <c r="D235">
        <v>125.29</v>
      </c>
      <c r="E235">
        <v>330.3</v>
      </c>
      <c r="F235">
        <v>9.52</v>
      </c>
      <c r="G235" t="s">
        <v>2788</v>
      </c>
      <c r="H235">
        <v>-4.4400000000000004</v>
      </c>
      <c r="I235">
        <v>-8.64</v>
      </c>
      <c r="J235">
        <v>-196.07</v>
      </c>
      <c r="K235">
        <v>2151.48</v>
      </c>
      <c r="M235">
        <v>1.05</v>
      </c>
      <c r="N235">
        <v>12.15</v>
      </c>
    </row>
    <row r="236" spans="1:14">
      <c r="A236" s="28">
        <v>985</v>
      </c>
      <c r="B236" t="s">
        <v>1047</v>
      </c>
      <c r="C236" t="s">
        <v>347</v>
      </c>
      <c r="D236">
        <v>125.5</v>
      </c>
      <c r="E236">
        <v>368.9</v>
      </c>
      <c r="F236">
        <v>9.48</v>
      </c>
      <c r="G236">
        <v>15.2</v>
      </c>
      <c r="H236">
        <v>6.67</v>
      </c>
      <c r="I236">
        <v>15.13</v>
      </c>
      <c r="J236">
        <v>1583.25</v>
      </c>
      <c r="K236">
        <v>11480.53</v>
      </c>
      <c r="L236">
        <v>22.45</v>
      </c>
      <c r="M236">
        <v>3.1</v>
      </c>
      <c r="N236">
        <v>7.24</v>
      </c>
    </row>
    <row r="237" spans="1:14">
      <c r="A237" s="28">
        <v>113</v>
      </c>
      <c r="B237" t="s">
        <v>2767</v>
      </c>
      <c r="C237" t="s">
        <v>348</v>
      </c>
      <c r="D237">
        <v>125.54</v>
      </c>
      <c r="E237">
        <v>3646.9</v>
      </c>
      <c r="F237">
        <v>95.71</v>
      </c>
      <c r="G237">
        <v>77.48</v>
      </c>
      <c r="H237">
        <v>5.6</v>
      </c>
      <c r="I237">
        <v>14.44</v>
      </c>
      <c r="J237">
        <v>431.58</v>
      </c>
      <c r="K237">
        <v>3746.9</v>
      </c>
      <c r="L237">
        <v>25.49</v>
      </c>
      <c r="M237">
        <v>2.94</v>
      </c>
      <c r="N237">
        <v>18.09</v>
      </c>
    </row>
    <row r="238" spans="1:14">
      <c r="A238" s="28">
        <v>994</v>
      </c>
      <c r="B238" t="s">
        <v>1400</v>
      </c>
      <c r="C238" t="s">
        <v>347</v>
      </c>
      <c r="D238">
        <v>126.47</v>
      </c>
      <c r="E238">
        <v>786.1</v>
      </c>
      <c r="F238">
        <v>9.32</v>
      </c>
      <c r="G238">
        <v>76.62</v>
      </c>
      <c r="H238">
        <v>2.2400000000000002</v>
      </c>
      <c r="I238">
        <v>5.14</v>
      </c>
      <c r="J238">
        <v>2374.52</v>
      </c>
      <c r="K238">
        <v>44304.86</v>
      </c>
      <c r="L238">
        <v>8.93</v>
      </c>
      <c r="M238">
        <v>0.48</v>
      </c>
      <c r="N238">
        <v>4.03</v>
      </c>
    </row>
    <row r="239" spans="1:14">
      <c r="A239" s="28">
        <v>4</v>
      </c>
      <c r="B239" t="s">
        <v>2795</v>
      </c>
      <c r="C239" t="s">
        <v>348</v>
      </c>
      <c r="D239">
        <v>127.01</v>
      </c>
      <c r="E239">
        <v>560.91</v>
      </c>
      <c r="F239" t="s">
        <v>2796</v>
      </c>
      <c r="G239" t="s">
        <v>2796</v>
      </c>
      <c r="H239" t="s">
        <v>2796</v>
      </c>
      <c r="I239" t="s">
        <v>2796</v>
      </c>
      <c r="J239">
        <v>346.38</v>
      </c>
      <c r="K239">
        <v>3304.56</v>
      </c>
      <c r="L239">
        <v>16.72</v>
      </c>
      <c r="M239">
        <v>1.75</v>
      </c>
      <c r="N239">
        <v>10.11</v>
      </c>
    </row>
    <row r="240" spans="1:14">
      <c r="A240" s="28">
        <v>279</v>
      </c>
      <c r="B240" t="s">
        <v>1884</v>
      </c>
      <c r="C240" t="s">
        <v>347</v>
      </c>
      <c r="D240">
        <v>127.99</v>
      </c>
      <c r="E240">
        <v>8979.7000000000007</v>
      </c>
      <c r="F240">
        <v>43.1</v>
      </c>
      <c r="G240">
        <v>73.59</v>
      </c>
      <c r="H240">
        <v>6.16</v>
      </c>
      <c r="I240">
        <v>14.62</v>
      </c>
      <c r="J240">
        <v>6166.31</v>
      </c>
      <c r="K240">
        <v>45398.52</v>
      </c>
      <c r="L240">
        <v>4.57</v>
      </c>
      <c r="M240">
        <v>0.62</v>
      </c>
      <c r="N240">
        <v>5.08</v>
      </c>
    </row>
    <row r="241" spans="1:14">
      <c r="A241" s="28">
        <v>183</v>
      </c>
      <c r="B241" t="s">
        <v>80</v>
      </c>
      <c r="C241" t="s">
        <v>347</v>
      </c>
      <c r="D241">
        <v>128.19</v>
      </c>
      <c r="E241">
        <v>4645.57</v>
      </c>
      <c r="F241">
        <v>60.45</v>
      </c>
      <c r="G241">
        <v>70.19</v>
      </c>
      <c r="H241">
        <v>3.99</v>
      </c>
      <c r="I241">
        <v>9.0500000000000007</v>
      </c>
      <c r="J241">
        <v>20291.77</v>
      </c>
      <c r="K241">
        <v>237278.74</v>
      </c>
      <c r="L241">
        <v>2.2400000000000002</v>
      </c>
      <c r="M241">
        <v>0.19</v>
      </c>
      <c r="N241">
        <v>3.96</v>
      </c>
    </row>
    <row r="242" spans="1:14">
      <c r="A242" s="28">
        <v>137</v>
      </c>
      <c r="B242" t="s">
        <v>1643</v>
      </c>
      <c r="C242" t="s">
        <v>347</v>
      </c>
      <c r="D242">
        <v>128.86000000000001</v>
      </c>
      <c r="E242">
        <v>6.79</v>
      </c>
      <c r="F242">
        <v>78.69</v>
      </c>
      <c r="G242">
        <v>-48.5</v>
      </c>
      <c r="H242">
        <v>5.15</v>
      </c>
      <c r="I242">
        <v>11.81</v>
      </c>
      <c r="J242">
        <v>57.99</v>
      </c>
      <c r="K242">
        <v>533.92999999999995</v>
      </c>
      <c r="L242">
        <v>23.37</v>
      </c>
      <c r="M242">
        <v>2.54</v>
      </c>
      <c r="N242">
        <v>10.16</v>
      </c>
    </row>
    <row r="243" spans="1:14">
      <c r="A243" s="28">
        <v>378</v>
      </c>
      <c r="B243" t="s">
        <v>2690</v>
      </c>
      <c r="C243" t="s">
        <v>348</v>
      </c>
      <c r="D243">
        <v>128.87</v>
      </c>
      <c r="E243">
        <v>1396.78</v>
      </c>
      <c r="F243">
        <v>32.78</v>
      </c>
      <c r="G243">
        <v>67.349999999999994</v>
      </c>
      <c r="H243">
        <v>8.86</v>
      </c>
      <c r="I243">
        <v>18.7</v>
      </c>
      <c r="J243">
        <v>1276.1099999999999</v>
      </c>
      <c r="K243">
        <v>7483.89</v>
      </c>
      <c r="L243">
        <v>3.25</v>
      </c>
      <c r="M243">
        <v>0.55000000000000004</v>
      </c>
      <c r="N243">
        <v>5.81</v>
      </c>
    </row>
    <row r="244" spans="1:14">
      <c r="A244" s="28">
        <v>124</v>
      </c>
      <c r="B244" t="s">
        <v>1342</v>
      </c>
      <c r="C244" t="s">
        <v>348</v>
      </c>
      <c r="D244">
        <v>128.96</v>
      </c>
      <c r="E244">
        <v>2140.73</v>
      </c>
      <c r="F244">
        <v>85.39</v>
      </c>
      <c r="G244" t="s">
        <v>349</v>
      </c>
      <c r="H244">
        <v>-2.19</v>
      </c>
      <c r="I244">
        <v>-4.28</v>
      </c>
      <c r="J244">
        <v>-432.82</v>
      </c>
      <c r="K244">
        <v>10887.26</v>
      </c>
      <c r="M244">
        <v>2.0499999999999998</v>
      </c>
      <c r="N244">
        <v>77.09</v>
      </c>
    </row>
    <row r="245" spans="1:14">
      <c r="A245" s="28">
        <v>740</v>
      </c>
      <c r="B245" t="s">
        <v>2220</v>
      </c>
      <c r="C245" t="s">
        <v>348</v>
      </c>
      <c r="D245">
        <v>129.07</v>
      </c>
      <c r="E245">
        <v>379.76</v>
      </c>
      <c r="F245">
        <v>15.72</v>
      </c>
      <c r="G245" t="s">
        <v>350</v>
      </c>
      <c r="H245">
        <v>8.5</v>
      </c>
      <c r="I245">
        <v>21.7</v>
      </c>
      <c r="J245">
        <v>469.3</v>
      </c>
      <c r="K245">
        <v>2398.79</v>
      </c>
      <c r="L245">
        <v>15.83</v>
      </c>
      <c r="M245">
        <v>3.1</v>
      </c>
      <c r="N245">
        <v>12.73</v>
      </c>
    </row>
    <row r="246" spans="1:14">
      <c r="A246" s="28">
        <v>889</v>
      </c>
      <c r="B246" t="s">
        <v>983</v>
      </c>
      <c r="C246" t="s">
        <v>348</v>
      </c>
      <c r="D246">
        <v>13.02</v>
      </c>
      <c r="E246">
        <v>2173.46</v>
      </c>
      <c r="F246">
        <v>11.41</v>
      </c>
      <c r="G246">
        <v>12.21</v>
      </c>
      <c r="H246">
        <v>9.24</v>
      </c>
      <c r="I246">
        <v>10.57</v>
      </c>
      <c r="J246">
        <v>1138.07</v>
      </c>
      <c r="K246">
        <v>11367.29</v>
      </c>
      <c r="L246">
        <v>6.77</v>
      </c>
      <c r="M246">
        <v>0.68</v>
      </c>
      <c r="N246">
        <v>4.78</v>
      </c>
    </row>
    <row r="247" spans="1:14">
      <c r="A247" s="28">
        <v>851</v>
      </c>
      <c r="B247" t="s">
        <v>281</v>
      </c>
      <c r="C247" t="s">
        <v>348</v>
      </c>
      <c r="D247">
        <v>13.05</v>
      </c>
      <c r="E247">
        <v>3756.43</v>
      </c>
      <c r="F247">
        <v>12.57</v>
      </c>
      <c r="G247">
        <v>487.31</v>
      </c>
      <c r="H247">
        <v>23.04</v>
      </c>
      <c r="I247">
        <v>25.71</v>
      </c>
      <c r="J247">
        <v>4285.45</v>
      </c>
      <c r="K247">
        <v>19282.16</v>
      </c>
      <c r="L247">
        <v>2.52</v>
      </c>
      <c r="M247">
        <v>0.56000000000000005</v>
      </c>
      <c r="N247">
        <v>7.55</v>
      </c>
    </row>
    <row r="248" spans="1:14">
      <c r="A248" s="28">
        <v>801</v>
      </c>
      <c r="B248" t="s">
        <v>1554</v>
      </c>
      <c r="C248" t="s">
        <v>348</v>
      </c>
      <c r="D248">
        <v>13.08</v>
      </c>
      <c r="E248">
        <v>5451.92</v>
      </c>
      <c r="F248">
        <v>14.12</v>
      </c>
      <c r="G248">
        <v>-45.34</v>
      </c>
      <c r="H248">
        <v>6.02</v>
      </c>
      <c r="I248">
        <v>6.77</v>
      </c>
      <c r="J248">
        <v>233.76</v>
      </c>
      <c r="K248">
        <v>4335.43</v>
      </c>
      <c r="L248">
        <v>28.47</v>
      </c>
      <c r="M248">
        <v>1.54</v>
      </c>
      <c r="N248">
        <v>21.33</v>
      </c>
    </row>
    <row r="249" spans="1:14">
      <c r="A249" s="28">
        <v>668</v>
      </c>
      <c r="B249" t="s">
        <v>1127</v>
      </c>
      <c r="C249" t="s">
        <v>348</v>
      </c>
      <c r="D249">
        <v>13.23</v>
      </c>
      <c r="E249">
        <v>1202.01</v>
      </c>
      <c r="F249">
        <v>18.05</v>
      </c>
      <c r="G249">
        <v>9.17</v>
      </c>
      <c r="H249">
        <v>12.71</v>
      </c>
      <c r="I249">
        <v>14.84</v>
      </c>
      <c r="J249">
        <v>795.81</v>
      </c>
      <c r="K249">
        <v>6510.07</v>
      </c>
      <c r="L249">
        <v>25.76</v>
      </c>
      <c r="M249">
        <v>3.15</v>
      </c>
      <c r="N249">
        <v>38.01</v>
      </c>
    </row>
    <row r="250" spans="1:14">
      <c r="A250" s="28">
        <v>685</v>
      </c>
      <c r="B250" t="s">
        <v>2396</v>
      </c>
      <c r="C250" t="s">
        <v>348</v>
      </c>
      <c r="D250">
        <v>13.25</v>
      </c>
      <c r="E250">
        <v>825.21</v>
      </c>
      <c r="F250">
        <v>17.27</v>
      </c>
      <c r="G250">
        <v>13.75</v>
      </c>
      <c r="H250">
        <v>6.35</v>
      </c>
      <c r="I250">
        <v>7.1</v>
      </c>
      <c r="J250">
        <v>315.3</v>
      </c>
      <c r="K250">
        <v>4626.04</v>
      </c>
      <c r="L250">
        <v>18.899999999999999</v>
      </c>
      <c r="M250">
        <v>1.29</v>
      </c>
      <c r="N250">
        <v>12.91</v>
      </c>
    </row>
    <row r="251" spans="1:14">
      <c r="A251" s="28">
        <v>967</v>
      </c>
      <c r="B251" t="s">
        <v>1259</v>
      </c>
      <c r="C251" t="s">
        <v>347</v>
      </c>
      <c r="D251">
        <v>13.46</v>
      </c>
      <c r="E251">
        <v>4080.6</v>
      </c>
      <c r="F251">
        <v>9.77</v>
      </c>
      <c r="G251">
        <v>32.04</v>
      </c>
      <c r="H251">
        <v>11.83</v>
      </c>
      <c r="I251">
        <v>13.66</v>
      </c>
      <c r="J251">
        <v>2654.93</v>
      </c>
      <c r="K251">
        <v>20903.009999999998</v>
      </c>
      <c r="L251">
        <v>5.57</v>
      </c>
      <c r="M251">
        <v>0.71</v>
      </c>
      <c r="N251">
        <v>4.08</v>
      </c>
    </row>
    <row r="252" spans="1:14">
      <c r="A252" s="28">
        <v>95</v>
      </c>
      <c r="B252" t="s">
        <v>2374</v>
      </c>
      <c r="C252" t="s">
        <v>348</v>
      </c>
      <c r="D252">
        <v>13.52</v>
      </c>
      <c r="E252">
        <v>800.71</v>
      </c>
      <c r="F252">
        <v>115.47</v>
      </c>
      <c r="G252" t="s">
        <v>350</v>
      </c>
      <c r="H252">
        <v>10</v>
      </c>
      <c r="I252">
        <v>12.01</v>
      </c>
      <c r="J252">
        <v>474.35</v>
      </c>
      <c r="K252">
        <v>4503.53</v>
      </c>
      <c r="L252">
        <v>26.56</v>
      </c>
      <c r="M252">
        <v>2.8</v>
      </c>
      <c r="N252">
        <v>22.07</v>
      </c>
    </row>
    <row r="253" spans="1:14">
      <c r="A253" s="28">
        <v>974</v>
      </c>
      <c r="B253" t="s">
        <v>2508</v>
      </c>
      <c r="C253" t="s">
        <v>347</v>
      </c>
      <c r="D253">
        <v>13.53</v>
      </c>
      <c r="E253">
        <v>20.43</v>
      </c>
      <c r="F253">
        <v>9.68</v>
      </c>
      <c r="G253" t="s">
        <v>349</v>
      </c>
      <c r="H253">
        <v>-13.36</v>
      </c>
      <c r="I253">
        <v>-16.07</v>
      </c>
      <c r="J253">
        <v>-104.77</v>
      </c>
      <c r="K253">
        <v>602.13</v>
      </c>
      <c r="M253">
        <v>1.02</v>
      </c>
      <c r="N253">
        <v>16.11</v>
      </c>
    </row>
    <row r="254" spans="1:14">
      <c r="A254" s="28">
        <v>555</v>
      </c>
      <c r="B254" t="s">
        <v>438</v>
      </c>
      <c r="C254" t="s">
        <v>348</v>
      </c>
      <c r="D254">
        <v>13.72</v>
      </c>
      <c r="E254">
        <v>1344.83</v>
      </c>
      <c r="F254">
        <v>23.14</v>
      </c>
      <c r="G254" t="s">
        <v>349</v>
      </c>
      <c r="H254">
        <v>-1.49</v>
      </c>
      <c r="I254">
        <v>-1.69</v>
      </c>
      <c r="J254">
        <v>-116.62</v>
      </c>
      <c r="K254">
        <v>7224.13</v>
      </c>
      <c r="M254">
        <v>0.52</v>
      </c>
    </row>
    <row r="255" spans="1:14">
      <c r="A255" s="28">
        <v>797</v>
      </c>
      <c r="B255" t="s">
        <v>558</v>
      </c>
      <c r="C255" t="s">
        <v>347</v>
      </c>
      <c r="D255">
        <v>13.88</v>
      </c>
      <c r="E255">
        <v>3812.07</v>
      </c>
      <c r="F255">
        <v>14.32</v>
      </c>
      <c r="G255">
        <v>-77.94</v>
      </c>
      <c r="H255">
        <v>1.76</v>
      </c>
      <c r="I255">
        <v>2.02</v>
      </c>
      <c r="J255">
        <v>865.23</v>
      </c>
      <c r="K255">
        <v>48645.760000000002</v>
      </c>
      <c r="L255">
        <v>35.14</v>
      </c>
      <c r="M255">
        <v>0.62</v>
      </c>
      <c r="N255">
        <v>7.74</v>
      </c>
    </row>
    <row r="256" spans="1:14">
      <c r="A256" s="28">
        <v>265</v>
      </c>
      <c r="B256" t="s">
        <v>2015</v>
      </c>
      <c r="C256" t="s">
        <v>348</v>
      </c>
      <c r="D256">
        <v>13.88</v>
      </c>
      <c r="E256">
        <v>246.56</v>
      </c>
      <c r="F256">
        <v>44.83</v>
      </c>
      <c r="G256" t="s">
        <v>350</v>
      </c>
      <c r="H256">
        <v>4.78</v>
      </c>
      <c r="I256">
        <v>5.26</v>
      </c>
      <c r="J256">
        <v>88.58</v>
      </c>
      <c r="K256">
        <v>1732.78</v>
      </c>
      <c r="L256">
        <v>36.86</v>
      </c>
      <c r="M256">
        <v>1.88</v>
      </c>
      <c r="N256">
        <v>40.79</v>
      </c>
    </row>
    <row r="257" spans="1:14">
      <c r="A257" s="28">
        <v>1115</v>
      </c>
      <c r="B257" t="s">
        <v>1509</v>
      </c>
      <c r="C257" t="s">
        <v>348</v>
      </c>
      <c r="D257">
        <v>13.95</v>
      </c>
      <c r="E257">
        <v>988.66</v>
      </c>
      <c r="F257">
        <v>6.51</v>
      </c>
      <c r="G257" t="s">
        <v>2788</v>
      </c>
      <c r="H257">
        <v>-8</v>
      </c>
      <c r="I257">
        <v>-8.9700000000000006</v>
      </c>
      <c r="J257">
        <v>-505.9</v>
      </c>
      <c r="K257">
        <v>5443.32</v>
      </c>
      <c r="M257">
        <v>3.21</v>
      </c>
    </row>
    <row r="258" spans="1:14">
      <c r="A258" s="28">
        <v>1055</v>
      </c>
      <c r="B258" t="s">
        <v>1290</v>
      </c>
      <c r="C258" t="s">
        <v>347</v>
      </c>
      <c r="D258">
        <v>13.97</v>
      </c>
      <c r="E258">
        <v>1463.32</v>
      </c>
      <c r="F258">
        <v>7.97</v>
      </c>
      <c r="G258">
        <v>-67.48</v>
      </c>
      <c r="H258">
        <v>1.86</v>
      </c>
      <c r="I258">
        <v>2.15</v>
      </c>
      <c r="J258">
        <v>164.78</v>
      </c>
      <c r="K258">
        <v>7816.62</v>
      </c>
      <c r="L258">
        <v>12.56</v>
      </c>
      <c r="M258">
        <v>0.26</v>
      </c>
      <c r="N258">
        <v>6.03</v>
      </c>
    </row>
    <row r="259" spans="1:14">
      <c r="A259" s="28">
        <v>867</v>
      </c>
      <c r="B259" t="s">
        <v>333</v>
      </c>
      <c r="C259" t="s">
        <v>348</v>
      </c>
      <c r="D259">
        <v>130.05000000000001</v>
      </c>
      <c r="E259">
        <v>2764.57</v>
      </c>
      <c r="F259">
        <v>12.03</v>
      </c>
      <c r="G259">
        <v>5.41</v>
      </c>
      <c r="H259">
        <v>6.52</v>
      </c>
      <c r="I259">
        <v>14.98</v>
      </c>
      <c r="J259">
        <v>1912.53</v>
      </c>
      <c r="K259">
        <v>14322.85</v>
      </c>
      <c r="L259">
        <v>6.27</v>
      </c>
      <c r="M259">
        <v>0.84</v>
      </c>
      <c r="N259">
        <v>5.58</v>
      </c>
    </row>
    <row r="260" spans="1:14">
      <c r="A260" s="28">
        <v>516</v>
      </c>
      <c r="B260" t="s">
        <v>2027</v>
      </c>
      <c r="C260" t="s">
        <v>347</v>
      </c>
      <c r="D260">
        <v>130.44</v>
      </c>
      <c r="E260">
        <v>10.96</v>
      </c>
      <c r="F260">
        <v>24.88</v>
      </c>
      <c r="G260" t="s">
        <v>349</v>
      </c>
      <c r="H260">
        <v>-16.05</v>
      </c>
      <c r="I260">
        <v>-33.770000000000003</v>
      </c>
      <c r="J260">
        <v>-426.05</v>
      </c>
      <c r="K260">
        <v>1109.6300000000001</v>
      </c>
      <c r="M260">
        <v>1.1200000000000001</v>
      </c>
    </row>
    <row r="261" spans="1:14">
      <c r="A261" s="28">
        <v>937</v>
      </c>
      <c r="B261" t="s">
        <v>651</v>
      </c>
      <c r="C261" t="s">
        <v>348</v>
      </c>
      <c r="D261">
        <v>130.86000000000001</v>
      </c>
      <c r="E261">
        <v>280.27</v>
      </c>
      <c r="F261">
        <v>10.4</v>
      </c>
      <c r="G261" t="s">
        <v>349</v>
      </c>
      <c r="H261">
        <v>-0.04</v>
      </c>
      <c r="I261">
        <v>-0.08</v>
      </c>
      <c r="J261">
        <v>-1.23</v>
      </c>
      <c r="K261">
        <v>1901.36</v>
      </c>
      <c r="M261">
        <v>0.66</v>
      </c>
      <c r="N261">
        <v>36.24</v>
      </c>
    </row>
    <row r="262" spans="1:14">
      <c r="A262" s="28">
        <v>507</v>
      </c>
      <c r="B262" t="s">
        <v>2797</v>
      </c>
      <c r="C262" t="s">
        <v>348</v>
      </c>
      <c r="D262">
        <v>130.9</v>
      </c>
      <c r="E262">
        <v>1081.21</v>
      </c>
      <c r="F262">
        <v>25.4</v>
      </c>
      <c r="G262">
        <v>721.29</v>
      </c>
      <c r="H262">
        <v>1.85</v>
      </c>
      <c r="I262">
        <v>4.37</v>
      </c>
      <c r="J262">
        <v>285.97000000000003</v>
      </c>
      <c r="K262">
        <v>7045.98</v>
      </c>
      <c r="N262">
        <v>9.3800000000000008</v>
      </c>
    </row>
    <row r="263" spans="1:14">
      <c r="A263" s="28">
        <v>491</v>
      </c>
      <c r="B263" t="s">
        <v>1987</v>
      </c>
      <c r="C263" t="s">
        <v>347</v>
      </c>
      <c r="D263">
        <v>130.97</v>
      </c>
      <c r="E263">
        <v>81.400000000000006</v>
      </c>
      <c r="F263">
        <v>25.88</v>
      </c>
      <c r="G263" t="s">
        <v>2788</v>
      </c>
      <c r="H263">
        <v>-0.78</v>
      </c>
      <c r="I263">
        <v>-1.73</v>
      </c>
      <c r="J263">
        <v>-162.63999999999999</v>
      </c>
      <c r="K263">
        <v>9252.64</v>
      </c>
      <c r="M263">
        <v>1.72</v>
      </c>
      <c r="N263">
        <v>21.19</v>
      </c>
    </row>
    <row r="264" spans="1:14">
      <c r="A264" s="28">
        <v>634</v>
      </c>
      <c r="B264" t="s">
        <v>595</v>
      </c>
      <c r="C264" t="s">
        <v>348</v>
      </c>
      <c r="D264">
        <v>131.07</v>
      </c>
      <c r="E264">
        <v>930</v>
      </c>
      <c r="F264">
        <v>19.309999999999999</v>
      </c>
      <c r="G264">
        <v>-63.4</v>
      </c>
      <c r="H264">
        <v>2.72</v>
      </c>
      <c r="I264">
        <v>5.95</v>
      </c>
      <c r="J264">
        <v>291.02999999999997</v>
      </c>
      <c r="K264">
        <v>5264.22</v>
      </c>
      <c r="L264">
        <v>37.28</v>
      </c>
      <c r="M264">
        <v>2.06</v>
      </c>
      <c r="N264">
        <v>16.559999999999999</v>
      </c>
    </row>
    <row r="265" spans="1:14">
      <c r="A265" s="28">
        <v>600</v>
      </c>
      <c r="B265" t="s">
        <v>1608</v>
      </c>
      <c r="C265" t="s">
        <v>348</v>
      </c>
      <c r="D265">
        <v>131.57</v>
      </c>
      <c r="E265">
        <v>499.33</v>
      </c>
      <c r="F265">
        <v>20.54</v>
      </c>
      <c r="G265">
        <v>22.63</v>
      </c>
      <c r="H265">
        <v>9.43</v>
      </c>
      <c r="I265">
        <v>23.89</v>
      </c>
      <c r="J265">
        <v>324.2</v>
      </c>
      <c r="K265">
        <v>1498.33</v>
      </c>
      <c r="L265">
        <v>27.64</v>
      </c>
      <c r="M265">
        <v>5.98</v>
      </c>
      <c r="N265">
        <v>21.2</v>
      </c>
    </row>
    <row r="266" spans="1:14">
      <c r="A266" s="28">
        <v>1061</v>
      </c>
      <c r="B266" t="s">
        <v>2859</v>
      </c>
      <c r="C266" t="s">
        <v>348</v>
      </c>
      <c r="D266">
        <v>131.88999999999999</v>
      </c>
      <c r="E266">
        <v>646.04999999999995</v>
      </c>
      <c r="F266">
        <v>7.89</v>
      </c>
      <c r="G266">
        <v>-31.74</v>
      </c>
      <c r="H266">
        <v>3.94</v>
      </c>
      <c r="I266">
        <v>9.01</v>
      </c>
      <c r="J266">
        <v>321.45</v>
      </c>
      <c r="K266">
        <v>3730.23</v>
      </c>
      <c r="L266">
        <v>13.21</v>
      </c>
      <c r="M266">
        <v>1.1399999999999999</v>
      </c>
      <c r="N266">
        <v>7.57</v>
      </c>
    </row>
    <row r="267" spans="1:14">
      <c r="A267" s="28">
        <v>816</v>
      </c>
      <c r="B267" t="s">
        <v>825</v>
      </c>
      <c r="C267" t="s">
        <v>347</v>
      </c>
      <c r="D267">
        <v>131.96</v>
      </c>
      <c r="E267">
        <v>1909.18</v>
      </c>
      <c r="F267">
        <v>13.65</v>
      </c>
      <c r="G267">
        <v>-17.3</v>
      </c>
      <c r="H267">
        <v>2.77</v>
      </c>
      <c r="I267">
        <v>6.35</v>
      </c>
      <c r="J267">
        <v>621.14</v>
      </c>
      <c r="K267">
        <v>10045.89</v>
      </c>
      <c r="L267">
        <v>10.72</v>
      </c>
      <c r="M267">
        <v>0.66</v>
      </c>
      <c r="N267">
        <v>7.02</v>
      </c>
    </row>
    <row r="268" spans="1:14">
      <c r="A268" s="28">
        <v>1045</v>
      </c>
      <c r="B268" t="s">
        <v>1736</v>
      </c>
      <c r="C268" t="s">
        <v>348</v>
      </c>
      <c r="D268">
        <v>132.02000000000001</v>
      </c>
      <c r="E268">
        <v>76.95</v>
      </c>
      <c r="F268">
        <v>8.09</v>
      </c>
      <c r="G268" t="s">
        <v>2788</v>
      </c>
      <c r="H268">
        <v>-25.14</v>
      </c>
      <c r="I268">
        <v>-48.68</v>
      </c>
      <c r="J268">
        <v>-548.13</v>
      </c>
      <c r="K268">
        <v>884.74</v>
      </c>
      <c r="M268">
        <v>1.51</v>
      </c>
    </row>
    <row r="269" spans="1:14">
      <c r="A269" s="28">
        <v>243</v>
      </c>
      <c r="B269" t="s">
        <v>2642</v>
      </c>
      <c r="C269" t="s">
        <v>348</v>
      </c>
      <c r="D269">
        <v>132.09</v>
      </c>
      <c r="E269">
        <v>297.57</v>
      </c>
      <c r="F269">
        <v>47.77</v>
      </c>
      <c r="G269" t="s">
        <v>350</v>
      </c>
      <c r="H269">
        <v>8.74</v>
      </c>
      <c r="I269">
        <v>20.52</v>
      </c>
      <c r="J269">
        <v>348</v>
      </c>
      <c r="K269">
        <v>1987.87</v>
      </c>
      <c r="L269">
        <v>4.0199999999999996</v>
      </c>
      <c r="M269">
        <v>0.7</v>
      </c>
      <c r="N269">
        <v>3.58</v>
      </c>
    </row>
    <row r="270" spans="1:14">
      <c r="A270" s="28">
        <v>749</v>
      </c>
      <c r="B270" t="s">
        <v>2171</v>
      </c>
      <c r="C270" t="s">
        <v>348</v>
      </c>
      <c r="D270">
        <v>134.06</v>
      </c>
      <c r="F270">
        <v>15.58</v>
      </c>
      <c r="G270" t="s">
        <v>2788</v>
      </c>
      <c r="H270">
        <v>-2.72</v>
      </c>
      <c r="I270">
        <v>-7.8</v>
      </c>
      <c r="J270">
        <v>-144.38</v>
      </c>
      <c r="K270">
        <v>2022.72</v>
      </c>
      <c r="M270">
        <v>1.48</v>
      </c>
      <c r="N270">
        <v>16.559999999999999</v>
      </c>
    </row>
    <row r="271" spans="1:14">
      <c r="A271" s="28">
        <v>794</v>
      </c>
      <c r="B271" t="s">
        <v>1092</v>
      </c>
      <c r="C271" t="s">
        <v>348</v>
      </c>
      <c r="D271">
        <v>134.65</v>
      </c>
      <c r="E271">
        <v>415.06</v>
      </c>
      <c r="F271">
        <v>14.38</v>
      </c>
      <c r="G271">
        <v>4.1500000000000004</v>
      </c>
      <c r="H271">
        <v>1.95</v>
      </c>
      <c r="I271">
        <v>4.66</v>
      </c>
      <c r="J271">
        <v>112.57</v>
      </c>
      <c r="K271">
        <v>2575.3000000000002</v>
      </c>
      <c r="L271">
        <v>19.809999999999999</v>
      </c>
      <c r="M271">
        <v>0.87</v>
      </c>
      <c r="N271">
        <v>8.9600000000000009</v>
      </c>
    </row>
    <row r="272" spans="1:14">
      <c r="A272" s="28">
        <v>237</v>
      </c>
      <c r="B272" t="s">
        <v>2390</v>
      </c>
      <c r="C272" t="s">
        <v>348</v>
      </c>
      <c r="D272">
        <v>135.19</v>
      </c>
      <c r="E272">
        <v>90.75</v>
      </c>
      <c r="F272">
        <v>48.59</v>
      </c>
      <c r="G272">
        <v>787.68</v>
      </c>
      <c r="H272">
        <v>12.37</v>
      </c>
      <c r="I272">
        <v>30.6</v>
      </c>
      <c r="J272">
        <v>253.44</v>
      </c>
      <c r="K272">
        <v>953.74</v>
      </c>
      <c r="N272">
        <v>0.84</v>
      </c>
    </row>
    <row r="273" spans="1:14">
      <c r="A273" s="28">
        <v>649</v>
      </c>
      <c r="B273" t="s">
        <v>1888</v>
      </c>
      <c r="C273" t="s">
        <v>348</v>
      </c>
      <c r="D273">
        <v>135.24</v>
      </c>
      <c r="F273">
        <v>19.010000000000002</v>
      </c>
      <c r="G273" t="s">
        <v>2788</v>
      </c>
      <c r="H273">
        <v>-44.52</v>
      </c>
      <c r="I273">
        <v>-81.89</v>
      </c>
      <c r="J273">
        <v>-435.68</v>
      </c>
      <c r="K273">
        <v>314.20999999999998</v>
      </c>
      <c r="M273">
        <v>9.81</v>
      </c>
    </row>
    <row r="274" spans="1:14">
      <c r="A274" s="28">
        <v>839</v>
      </c>
      <c r="B274" t="s">
        <v>176</v>
      </c>
      <c r="C274" t="s">
        <v>347</v>
      </c>
      <c r="D274">
        <v>135.29</v>
      </c>
      <c r="E274">
        <v>405</v>
      </c>
      <c r="F274">
        <v>12.94</v>
      </c>
      <c r="G274">
        <v>30.72</v>
      </c>
      <c r="H274">
        <v>3.48</v>
      </c>
      <c r="I274">
        <v>8.27</v>
      </c>
      <c r="J274">
        <v>177.72</v>
      </c>
      <c r="K274">
        <v>2524.98</v>
      </c>
      <c r="L274">
        <v>8.69</v>
      </c>
      <c r="M274">
        <v>0.61</v>
      </c>
      <c r="N274">
        <v>6.9</v>
      </c>
    </row>
    <row r="275" spans="1:14">
      <c r="A275" s="28">
        <v>1064</v>
      </c>
      <c r="B275" t="s">
        <v>2454</v>
      </c>
      <c r="C275" t="s">
        <v>348</v>
      </c>
      <c r="D275">
        <v>135.34</v>
      </c>
      <c r="F275">
        <v>7.87</v>
      </c>
      <c r="G275" t="s">
        <v>2788</v>
      </c>
      <c r="H275">
        <v>-9.64</v>
      </c>
      <c r="I275">
        <v>-19.41</v>
      </c>
      <c r="J275">
        <v>-86.2</v>
      </c>
      <c r="K275">
        <v>366.35</v>
      </c>
      <c r="M275">
        <v>2.63</v>
      </c>
      <c r="N275">
        <v>190.25</v>
      </c>
    </row>
    <row r="276" spans="1:14">
      <c r="A276" s="28">
        <v>727</v>
      </c>
      <c r="B276" t="s">
        <v>1964</v>
      </c>
      <c r="C276" t="s">
        <v>348</v>
      </c>
      <c r="D276">
        <v>136.03</v>
      </c>
      <c r="E276">
        <v>180.16</v>
      </c>
      <c r="F276">
        <v>16.059999999999999</v>
      </c>
      <c r="G276" t="s">
        <v>2788</v>
      </c>
      <c r="H276">
        <v>-1.99</v>
      </c>
      <c r="I276">
        <v>-4.58</v>
      </c>
      <c r="J276">
        <v>-63.92</v>
      </c>
      <c r="K276">
        <v>1400.78</v>
      </c>
      <c r="M276">
        <v>2.37</v>
      </c>
      <c r="N276">
        <v>41.58</v>
      </c>
    </row>
    <row r="277" spans="1:14">
      <c r="A277" s="28">
        <v>188</v>
      </c>
      <c r="B277" t="s">
        <v>2432</v>
      </c>
      <c r="C277" t="s">
        <v>347</v>
      </c>
      <c r="D277">
        <v>136.5</v>
      </c>
      <c r="E277">
        <v>138.53</v>
      </c>
      <c r="F277">
        <v>58.94</v>
      </c>
      <c r="G277" t="s">
        <v>350</v>
      </c>
      <c r="H277">
        <v>2.1800000000000002</v>
      </c>
      <c r="I277">
        <v>5.7</v>
      </c>
      <c r="J277">
        <v>65.47</v>
      </c>
      <c r="K277">
        <v>1192.6300000000001</v>
      </c>
      <c r="L277">
        <v>24.36</v>
      </c>
      <c r="M277">
        <v>1.34</v>
      </c>
      <c r="N277">
        <v>19.71</v>
      </c>
    </row>
    <row r="278" spans="1:14">
      <c r="A278" s="28">
        <v>707</v>
      </c>
      <c r="B278" t="s">
        <v>1525</v>
      </c>
      <c r="C278" t="s">
        <v>347</v>
      </c>
      <c r="D278">
        <v>136.53</v>
      </c>
      <c r="E278">
        <v>717.35</v>
      </c>
      <c r="F278">
        <v>16.43</v>
      </c>
      <c r="G278" t="s">
        <v>349</v>
      </c>
      <c r="H278">
        <v>-25.61</v>
      </c>
      <c r="I278">
        <v>-49.61</v>
      </c>
      <c r="J278">
        <v>-1035.6099999999999</v>
      </c>
      <c r="K278">
        <v>1634.71</v>
      </c>
      <c r="M278">
        <v>0.53</v>
      </c>
    </row>
    <row r="279" spans="1:14">
      <c r="A279" s="28">
        <v>260</v>
      </c>
      <c r="B279" t="s">
        <v>126</v>
      </c>
      <c r="C279" t="s">
        <v>347</v>
      </c>
      <c r="D279">
        <v>1361.59</v>
      </c>
      <c r="E279">
        <v>546.42999999999995</v>
      </c>
      <c r="F279">
        <v>45.28</v>
      </c>
      <c r="G279">
        <v>21</v>
      </c>
      <c r="H279">
        <v>0.64</v>
      </c>
      <c r="I279">
        <v>9.3000000000000007</v>
      </c>
      <c r="J279">
        <v>3078.39</v>
      </c>
      <c r="K279">
        <v>34139.39</v>
      </c>
      <c r="L279">
        <v>3.19</v>
      </c>
      <c r="M279">
        <v>0.28999999999999998</v>
      </c>
    </row>
    <row r="280" spans="1:14">
      <c r="A280" s="28">
        <v>247</v>
      </c>
      <c r="B280" t="s">
        <v>1414</v>
      </c>
      <c r="C280" t="s">
        <v>347</v>
      </c>
      <c r="D280">
        <v>137.02000000000001</v>
      </c>
      <c r="E280">
        <v>6185.06</v>
      </c>
      <c r="F280">
        <v>46.56</v>
      </c>
      <c r="G280">
        <v>-72.02</v>
      </c>
      <c r="H280">
        <v>0.64</v>
      </c>
      <c r="I280">
        <v>1.32</v>
      </c>
      <c r="J280">
        <v>414.91</v>
      </c>
      <c r="K280">
        <v>31425.3</v>
      </c>
      <c r="L280">
        <v>865.25</v>
      </c>
      <c r="M280">
        <v>11.42</v>
      </c>
      <c r="N280">
        <v>189.74</v>
      </c>
    </row>
    <row r="281" spans="1:14">
      <c r="A281" s="28">
        <v>704</v>
      </c>
      <c r="B281" t="s">
        <v>669</v>
      </c>
      <c r="C281" t="s">
        <v>348</v>
      </c>
      <c r="D281">
        <v>137.51</v>
      </c>
      <c r="E281">
        <v>3269</v>
      </c>
      <c r="F281">
        <v>16.55</v>
      </c>
      <c r="G281">
        <v>0.67</v>
      </c>
      <c r="H281">
        <v>5.88</v>
      </c>
      <c r="I281">
        <v>13.1</v>
      </c>
      <c r="J281">
        <v>1852.27</v>
      </c>
      <c r="K281">
        <v>16845.02</v>
      </c>
      <c r="L281">
        <v>10.42</v>
      </c>
      <c r="M281">
        <v>1.1499999999999999</v>
      </c>
      <c r="N281">
        <v>10.82</v>
      </c>
    </row>
    <row r="282" spans="1:14">
      <c r="A282" s="28">
        <v>501</v>
      </c>
      <c r="B282" t="s">
        <v>2237</v>
      </c>
      <c r="C282" t="s">
        <v>348</v>
      </c>
      <c r="D282">
        <v>138.32</v>
      </c>
      <c r="E282">
        <v>225.05</v>
      </c>
      <c r="F282">
        <v>25.53</v>
      </c>
      <c r="G282" t="s">
        <v>2788</v>
      </c>
      <c r="H282">
        <v>-46.58</v>
      </c>
      <c r="I282">
        <v>-77.22</v>
      </c>
      <c r="J282">
        <v>-1503.59</v>
      </c>
      <c r="K282">
        <v>1625.27</v>
      </c>
      <c r="M282">
        <v>11.44</v>
      </c>
    </row>
    <row r="283" spans="1:14">
      <c r="A283" s="28">
        <v>935</v>
      </c>
      <c r="B283" t="s">
        <v>2160</v>
      </c>
      <c r="C283" t="s">
        <v>347</v>
      </c>
      <c r="D283">
        <v>138.34</v>
      </c>
      <c r="E283">
        <v>16.09</v>
      </c>
      <c r="F283">
        <v>10.41</v>
      </c>
      <c r="G283" t="s">
        <v>350</v>
      </c>
      <c r="H283">
        <v>0.65</v>
      </c>
      <c r="I283">
        <v>1.36</v>
      </c>
      <c r="J283">
        <v>78.94</v>
      </c>
      <c r="K283">
        <v>5804.26</v>
      </c>
      <c r="L283">
        <v>109.96</v>
      </c>
      <c r="M283">
        <v>1.5</v>
      </c>
      <c r="N283">
        <v>9.19</v>
      </c>
    </row>
    <row r="284" spans="1:14">
      <c r="A284" s="28">
        <v>111</v>
      </c>
      <c r="B284" t="s">
        <v>1432</v>
      </c>
      <c r="C284" t="s">
        <v>348</v>
      </c>
      <c r="D284">
        <v>138.55000000000001</v>
      </c>
      <c r="E284">
        <v>2135.63</v>
      </c>
      <c r="F284">
        <v>100.29</v>
      </c>
      <c r="G284" t="s">
        <v>350</v>
      </c>
      <c r="H284">
        <v>7.1</v>
      </c>
      <c r="I284">
        <v>16.57</v>
      </c>
      <c r="J284">
        <v>1688.15</v>
      </c>
      <c r="K284">
        <v>11178.16</v>
      </c>
      <c r="L284">
        <v>2.2200000000000002</v>
      </c>
      <c r="M284">
        <v>0.34</v>
      </c>
      <c r="N284">
        <v>3.16</v>
      </c>
    </row>
    <row r="285" spans="1:14">
      <c r="A285" s="28">
        <v>804</v>
      </c>
      <c r="B285" t="s">
        <v>1612</v>
      </c>
      <c r="C285" t="s">
        <v>348</v>
      </c>
      <c r="D285">
        <v>138.61000000000001</v>
      </c>
      <c r="E285">
        <v>2977.73</v>
      </c>
      <c r="F285">
        <v>13.96</v>
      </c>
      <c r="G285" t="s">
        <v>2788</v>
      </c>
      <c r="H285">
        <v>-5.13</v>
      </c>
      <c r="I285">
        <v>-11.51</v>
      </c>
      <c r="J285">
        <v>-372.87</v>
      </c>
      <c r="K285">
        <v>3077.73</v>
      </c>
      <c r="M285">
        <v>5.88</v>
      </c>
    </row>
    <row r="286" spans="1:14">
      <c r="A286" s="28">
        <v>1012</v>
      </c>
      <c r="B286" t="s">
        <v>1521</v>
      </c>
      <c r="C286" t="s">
        <v>348</v>
      </c>
      <c r="D286">
        <v>138.69</v>
      </c>
      <c r="E286">
        <v>1665.2</v>
      </c>
      <c r="F286">
        <v>8.91</v>
      </c>
      <c r="G286">
        <v>-52.57</v>
      </c>
      <c r="H286">
        <v>1.27</v>
      </c>
      <c r="I286">
        <v>3.07</v>
      </c>
      <c r="J286">
        <v>32.44</v>
      </c>
      <c r="K286">
        <v>1061.21</v>
      </c>
      <c r="N286">
        <v>13.24</v>
      </c>
    </row>
    <row r="287" spans="1:14">
      <c r="A287" s="28">
        <v>610</v>
      </c>
      <c r="B287" t="s">
        <v>2798</v>
      </c>
      <c r="C287" t="s">
        <v>348</v>
      </c>
      <c r="D287">
        <v>14</v>
      </c>
      <c r="E287">
        <v>359.9</v>
      </c>
      <c r="F287">
        <v>20.12</v>
      </c>
      <c r="G287">
        <v>-3.68</v>
      </c>
      <c r="H287">
        <v>8.8800000000000008</v>
      </c>
      <c r="I287">
        <v>10.23</v>
      </c>
      <c r="J287">
        <v>447.52</v>
      </c>
      <c r="K287">
        <v>4598.9799999999996</v>
      </c>
      <c r="L287">
        <v>11.17</v>
      </c>
      <c r="M287">
        <v>1.0900000000000001</v>
      </c>
      <c r="N287">
        <v>8.1199999999999992</v>
      </c>
    </row>
    <row r="288" spans="1:14">
      <c r="A288" s="28">
        <v>833</v>
      </c>
      <c r="B288" t="s">
        <v>2693</v>
      </c>
      <c r="C288" t="s">
        <v>348</v>
      </c>
      <c r="D288">
        <v>14.01</v>
      </c>
      <c r="E288">
        <v>2405.7399999999998</v>
      </c>
      <c r="F288">
        <v>13.17</v>
      </c>
      <c r="G288">
        <v>-33.61</v>
      </c>
      <c r="H288">
        <v>3.8</v>
      </c>
      <c r="I288">
        <v>4.26</v>
      </c>
      <c r="J288">
        <v>505.46</v>
      </c>
      <c r="K288">
        <v>12528.7</v>
      </c>
      <c r="L288">
        <v>15.41</v>
      </c>
      <c r="M288">
        <v>0.62</v>
      </c>
      <c r="N288">
        <v>10.14</v>
      </c>
    </row>
    <row r="289" spans="1:14">
      <c r="A289" s="28">
        <v>811</v>
      </c>
      <c r="B289" t="s">
        <v>994</v>
      </c>
      <c r="C289" t="s">
        <v>348</v>
      </c>
      <c r="D289">
        <v>14.13</v>
      </c>
      <c r="E289">
        <v>1282.43</v>
      </c>
      <c r="F289">
        <v>13.82</v>
      </c>
      <c r="G289" t="s">
        <v>2788</v>
      </c>
      <c r="H289">
        <v>-0.25</v>
      </c>
      <c r="I289">
        <v>-0.28000000000000003</v>
      </c>
      <c r="J289">
        <v>-17.53</v>
      </c>
      <c r="K289">
        <v>6912.17</v>
      </c>
      <c r="M289">
        <v>1.17</v>
      </c>
    </row>
    <row r="290" spans="1:14">
      <c r="A290" s="28">
        <v>490</v>
      </c>
      <c r="B290" t="s">
        <v>2608</v>
      </c>
      <c r="C290" t="s">
        <v>348</v>
      </c>
      <c r="D290">
        <v>14.14</v>
      </c>
      <c r="E290">
        <v>2600.58</v>
      </c>
      <c r="F290">
        <v>26.05</v>
      </c>
      <c r="G290">
        <v>-83.44</v>
      </c>
      <c r="H290">
        <v>1.56</v>
      </c>
      <c r="I290">
        <v>2.06</v>
      </c>
      <c r="J290">
        <v>29.73</v>
      </c>
      <c r="K290">
        <v>2700.58</v>
      </c>
      <c r="L290">
        <v>264.7</v>
      </c>
      <c r="M290">
        <v>2.91</v>
      </c>
    </row>
    <row r="291" spans="1:14">
      <c r="A291" s="28">
        <v>20</v>
      </c>
      <c r="B291" t="s">
        <v>1561</v>
      </c>
      <c r="C291" t="s">
        <v>348</v>
      </c>
      <c r="D291">
        <v>14.4</v>
      </c>
      <c r="E291">
        <v>16.850000000000001</v>
      </c>
      <c r="F291">
        <v>580.6</v>
      </c>
      <c r="G291" t="s">
        <v>2788</v>
      </c>
      <c r="H291">
        <v>-10.65</v>
      </c>
      <c r="I291">
        <v>-13.3</v>
      </c>
      <c r="J291">
        <v>-153.34</v>
      </c>
      <c r="K291">
        <v>1168.46</v>
      </c>
      <c r="M291">
        <v>10.08</v>
      </c>
      <c r="N291">
        <v>109.58</v>
      </c>
    </row>
    <row r="292" spans="1:14">
      <c r="A292" s="28">
        <v>378</v>
      </c>
      <c r="B292" t="s">
        <v>1723</v>
      </c>
      <c r="C292" t="s">
        <v>348</v>
      </c>
      <c r="D292">
        <v>14.46</v>
      </c>
      <c r="E292">
        <v>1326.18</v>
      </c>
      <c r="F292">
        <v>32.78</v>
      </c>
      <c r="G292" t="s">
        <v>2788</v>
      </c>
      <c r="H292">
        <v>-4.95</v>
      </c>
      <c r="I292">
        <v>-5.69</v>
      </c>
      <c r="J292">
        <v>-83.74</v>
      </c>
      <c r="K292">
        <v>1426.18</v>
      </c>
      <c r="M292">
        <v>1.18</v>
      </c>
      <c r="N292">
        <v>27.42</v>
      </c>
    </row>
    <row r="293" spans="1:14">
      <c r="A293" s="28">
        <v>659</v>
      </c>
      <c r="B293" t="s">
        <v>2117</v>
      </c>
      <c r="C293" t="s">
        <v>347</v>
      </c>
      <c r="D293">
        <v>14.49</v>
      </c>
      <c r="E293">
        <v>9308.98</v>
      </c>
      <c r="F293">
        <v>18.57</v>
      </c>
      <c r="G293">
        <v>-46.55</v>
      </c>
      <c r="H293">
        <v>2.1</v>
      </c>
      <c r="I293">
        <v>2.34</v>
      </c>
      <c r="J293">
        <v>1126.02</v>
      </c>
      <c r="K293">
        <v>50520.71</v>
      </c>
      <c r="L293">
        <v>20.74</v>
      </c>
      <c r="M293">
        <v>0.46</v>
      </c>
      <c r="N293">
        <v>7.7</v>
      </c>
    </row>
    <row r="294" spans="1:14">
      <c r="A294" s="28">
        <v>112</v>
      </c>
      <c r="B294" t="s">
        <v>1431</v>
      </c>
      <c r="C294" t="s">
        <v>348</v>
      </c>
      <c r="D294">
        <v>14.55</v>
      </c>
      <c r="E294">
        <v>628.86</v>
      </c>
      <c r="F294">
        <v>100.01</v>
      </c>
      <c r="G294" t="s">
        <v>2788</v>
      </c>
      <c r="H294">
        <v>-31.82</v>
      </c>
      <c r="I294">
        <v>-37.22</v>
      </c>
      <c r="J294">
        <v>-1457.2</v>
      </c>
      <c r="K294">
        <v>3644.3</v>
      </c>
      <c r="M294">
        <v>2.68</v>
      </c>
    </row>
    <row r="295" spans="1:14">
      <c r="A295" s="28">
        <v>357</v>
      </c>
      <c r="B295" t="s">
        <v>1216</v>
      </c>
      <c r="C295" t="s">
        <v>348</v>
      </c>
      <c r="D295">
        <v>14.58</v>
      </c>
      <c r="E295">
        <v>8424.16</v>
      </c>
      <c r="F295">
        <v>34.770000000000003</v>
      </c>
      <c r="G295">
        <v>85.03</v>
      </c>
      <c r="H295">
        <v>16.260000000000002</v>
      </c>
      <c r="I295">
        <v>19.5</v>
      </c>
      <c r="J295">
        <v>7406.25</v>
      </c>
      <c r="K295">
        <v>42620.79</v>
      </c>
      <c r="L295">
        <v>14.78</v>
      </c>
      <c r="M295">
        <v>2.57</v>
      </c>
      <c r="N295">
        <v>11.68</v>
      </c>
    </row>
    <row r="296" spans="1:14">
      <c r="A296" s="28">
        <v>59</v>
      </c>
      <c r="B296" t="s">
        <v>1482</v>
      </c>
      <c r="C296" t="s">
        <v>348</v>
      </c>
      <c r="D296">
        <v>14.59</v>
      </c>
      <c r="E296">
        <v>387.41</v>
      </c>
      <c r="F296">
        <v>171.77</v>
      </c>
      <c r="G296">
        <v>-35.71</v>
      </c>
      <c r="H296">
        <v>6.14</v>
      </c>
      <c r="I296">
        <v>6.71</v>
      </c>
      <c r="J296">
        <v>159.54</v>
      </c>
      <c r="K296">
        <v>2437.0300000000002</v>
      </c>
      <c r="L296">
        <v>7.87</v>
      </c>
      <c r="M296">
        <v>0.51</v>
      </c>
      <c r="N296">
        <v>9.64</v>
      </c>
    </row>
    <row r="297" spans="1:14">
      <c r="A297" s="28">
        <v>161</v>
      </c>
      <c r="B297" t="s">
        <v>2467</v>
      </c>
      <c r="C297" t="s">
        <v>348</v>
      </c>
      <c r="D297">
        <v>14.64</v>
      </c>
      <c r="E297">
        <v>179.62</v>
      </c>
      <c r="F297">
        <v>66.569999999999993</v>
      </c>
      <c r="G297" t="s">
        <v>349</v>
      </c>
      <c r="H297">
        <v>-5.33</v>
      </c>
      <c r="I297">
        <v>-6.36</v>
      </c>
      <c r="J297">
        <v>-83.94</v>
      </c>
      <c r="K297">
        <v>1319.86</v>
      </c>
      <c r="M297">
        <v>1.53</v>
      </c>
      <c r="N297">
        <v>315.01</v>
      </c>
    </row>
    <row r="298" spans="1:14">
      <c r="A298" s="28">
        <v>824</v>
      </c>
      <c r="B298" t="s">
        <v>2799</v>
      </c>
      <c r="C298" t="s">
        <v>348</v>
      </c>
      <c r="D298">
        <v>14.71</v>
      </c>
      <c r="E298">
        <v>9329.31</v>
      </c>
      <c r="F298">
        <v>13.51</v>
      </c>
      <c r="G298">
        <v>-9.2100000000000009</v>
      </c>
      <c r="H298">
        <v>2.57</v>
      </c>
      <c r="I298">
        <v>3.18</v>
      </c>
      <c r="J298">
        <v>50.34</v>
      </c>
      <c r="K298">
        <v>1792.46</v>
      </c>
      <c r="L298">
        <v>30.3</v>
      </c>
      <c r="M298">
        <v>0.85</v>
      </c>
      <c r="N298">
        <v>7.98</v>
      </c>
    </row>
    <row r="299" spans="1:14">
      <c r="A299" s="28">
        <v>350</v>
      </c>
      <c r="B299" t="s">
        <v>1385</v>
      </c>
      <c r="C299" t="s">
        <v>348</v>
      </c>
      <c r="D299">
        <v>14.75</v>
      </c>
      <c r="E299">
        <v>1849.19</v>
      </c>
      <c r="F299">
        <v>35.590000000000003</v>
      </c>
      <c r="G299">
        <v>-20.51</v>
      </c>
      <c r="H299">
        <v>8.77</v>
      </c>
      <c r="I299">
        <v>12.04</v>
      </c>
      <c r="J299">
        <v>185.97</v>
      </c>
      <c r="K299">
        <v>1949.19</v>
      </c>
      <c r="L299">
        <v>42.21</v>
      </c>
      <c r="M299">
        <v>4.03</v>
      </c>
      <c r="N299">
        <v>39.299999999999997</v>
      </c>
    </row>
    <row r="300" spans="1:14">
      <c r="A300" s="28">
        <v>525</v>
      </c>
      <c r="B300" t="s">
        <v>311</v>
      </c>
      <c r="C300" t="s">
        <v>348</v>
      </c>
      <c r="D300">
        <v>14.92</v>
      </c>
      <c r="E300">
        <v>1287.43</v>
      </c>
      <c r="F300">
        <v>24.48</v>
      </c>
      <c r="G300">
        <v>-35.24</v>
      </c>
      <c r="H300">
        <v>3.61</v>
      </c>
      <c r="I300">
        <v>4.18</v>
      </c>
      <c r="J300">
        <v>271.33</v>
      </c>
      <c r="K300">
        <v>6937.15</v>
      </c>
      <c r="L300">
        <v>19.46</v>
      </c>
      <c r="M300">
        <v>0.76</v>
      </c>
      <c r="N300">
        <v>17.91</v>
      </c>
    </row>
    <row r="301" spans="1:14">
      <c r="A301" s="28">
        <v>507</v>
      </c>
      <c r="B301" t="s">
        <v>1369</v>
      </c>
      <c r="C301" t="s">
        <v>348</v>
      </c>
      <c r="D301">
        <v>14.94</v>
      </c>
      <c r="E301">
        <v>9327.16</v>
      </c>
      <c r="F301">
        <v>25.4</v>
      </c>
      <c r="G301" t="s">
        <v>349</v>
      </c>
      <c r="H301">
        <v>-1.1599999999999999</v>
      </c>
      <c r="I301">
        <v>-1.29</v>
      </c>
      <c r="J301">
        <v>-607.57000000000005</v>
      </c>
      <c r="K301">
        <v>47135.8</v>
      </c>
      <c r="M301">
        <v>0.94</v>
      </c>
      <c r="N301">
        <v>61.55</v>
      </c>
    </row>
    <row r="302" spans="1:14">
      <c r="A302" s="28">
        <v>197</v>
      </c>
      <c r="B302" t="s">
        <v>1779</v>
      </c>
      <c r="C302" t="s">
        <v>347</v>
      </c>
      <c r="D302">
        <v>141.72</v>
      </c>
      <c r="E302">
        <v>101.45</v>
      </c>
      <c r="F302">
        <v>57.21</v>
      </c>
      <c r="G302" t="s">
        <v>350</v>
      </c>
      <c r="H302">
        <v>0.33</v>
      </c>
      <c r="I302">
        <v>0.79</v>
      </c>
      <c r="J302">
        <v>7.56</v>
      </c>
      <c r="K302">
        <v>1007.23</v>
      </c>
      <c r="L302">
        <v>132.06</v>
      </c>
      <c r="M302">
        <v>0.99</v>
      </c>
      <c r="N302">
        <v>8.76</v>
      </c>
    </row>
    <row r="303" spans="1:14">
      <c r="A303" s="28">
        <v>511</v>
      </c>
      <c r="B303" t="s">
        <v>1349</v>
      </c>
      <c r="C303" t="s">
        <v>347</v>
      </c>
      <c r="D303">
        <v>142.13</v>
      </c>
      <c r="E303">
        <v>472.03</v>
      </c>
      <c r="F303">
        <v>25.33</v>
      </c>
      <c r="G303">
        <v>88.95</v>
      </c>
      <c r="H303">
        <v>11.42</v>
      </c>
      <c r="I303">
        <v>28.45</v>
      </c>
      <c r="J303">
        <v>7142.97</v>
      </c>
      <c r="K303">
        <v>28601.27</v>
      </c>
      <c r="L303">
        <v>11.51</v>
      </c>
      <c r="M303">
        <v>2.87</v>
      </c>
      <c r="N303">
        <v>10.119999999999999</v>
      </c>
    </row>
    <row r="304" spans="1:14">
      <c r="A304" s="28">
        <v>199</v>
      </c>
      <c r="B304" t="s">
        <v>1558</v>
      </c>
      <c r="C304" t="s">
        <v>348</v>
      </c>
      <c r="D304">
        <v>142.27000000000001</v>
      </c>
      <c r="E304">
        <v>400.44</v>
      </c>
      <c r="F304">
        <v>57.03</v>
      </c>
      <c r="G304" t="s">
        <v>2788</v>
      </c>
      <c r="H304">
        <v>-7.67</v>
      </c>
      <c r="I304">
        <v>-17.7</v>
      </c>
      <c r="J304">
        <v>-493.19</v>
      </c>
      <c r="K304">
        <v>2502.2199999999998</v>
      </c>
      <c r="M304">
        <v>1.1000000000000001</v>
      </c>
    </row>
    <row r="305" spans="1:14">
      <c r="A305" s="28">
        <v>980</v>
      </c>
      <c r="B305" t="s">
        <v>2500</v>
      </c>
      <c r="C305" t="s">
        <v>348</v>
      </c>
      <c r="D305">
        <v>142.47</v>
      </c>
      <c r="E305">
        <v>344.36</v>
      </c>
      <c r="F305">
        <v>9.5399999999999991</v>
      </c>
      <c r="G305">
        <v>39.99</v>
      </c>
      <c r="H305">
        <v>3.68</v>
      </c>
      <c r="I305">
        <v>8.32</v>
      </c>
      <c r="J305">
        <v>169.32</v>
      </c>
      <c r="K305">
        <v>2221.8200000000002</v>
      </c>
      <c r="L305">
        <v>108.67</v>
      </c>
      <c r="M305">
        <v>8.2799999999999994</v>
      </c>
      <c r="N305">
        <v>32.61</v>
      </c>
    </row>
    <row r="306" spans="1:14">
      <c r="A306" s="28">
        <v>899</v>
      </c>
      <c r="B306" t="s">
        <v>683</v>
      </c>
      <c r="C306" t="s">
        <v>348</v>
      </c>
      <c r="D306">
        <v>142.88999999999999</v>
      </c>
      <c r="E306">
        <v>522.96</v>
      </c>
      <c r="F306">
        <v>11.22</v>
      </c>
      <c r="G306">
        <v>165.96</v>
      </c>
      <c r="H306">
        <v>0.37</v>
      </c>
      <c r="I306">
        <v>0.89</v>
      </c>
      <c r="J306">
        <v>27.51</v>
      </c>
      <c r="K306">
        <v>3114.78</v>
      </c>
      <c r="L306">
        <v>59.79</v>
      </c>
      <c r="M306">
        <v>0.53</v>
      </c>
      <c r="N306">
        <v>6.99</v>
      </c>
    </row>
    <row r="307" spans="1:14">
      <c r="A307" s="28">
        <v>435</v>
      </c>
      <c r="B307" t="s">
        <v>1725</v>
      </c>
      <c r="C307" t="s">
        <v>348</v>
      </c>
      <c r="D307">
        <v>143.08000000000001</v>
      </c>
      <c r="E307">
        <v>186.82</v>
      </c>
      <c r="F307">
        <v>29.02</v>
      </c>
      <c r="G307" t="s">
        <v>350</v>
      </c>
      <c r="H307">
        <v>2.25</v>
      </c>
      <c r="I307">
        <v>5.69</v>
      </c>
      <c r="J307">
        <v>76.7</v>
      </c>
      <c r="K307">
        <v>1434.09</v>
      </c>
      <c r="L307">
        <v>22.88</v>
      </c>
      <c r="M307">
        <v>1.22</v>
      </c>
      <c r="N307">
        <v>7.87</v>
      </c>
    </row>
    <row r="308" spans="1:14">
      <c r="A308" s="28">
        <v>92</v>
      </c>
      <c r="B308" t="s">
        <v>2350</v>
      </c>
      <c r="C308" t="s">
        <v>347</v>
      </c>
      <c r="D308">
        <v>144.02000000000001</v>
      </c>
      <c r="E308">
        <v>164.98</v>
      </c>
      <c r="F308">
        <v>118.73</v>
      </c>
      <c r="G308" t="s">
        <v>2788</v>
      </c>
      <c r="H308">
        <v>-11.24</v>
      </c>
      <c r="I308">
        <v>-24.05</v>
      </c>
      <c r="J308">
        <v>-252.95</v>
      </c>
      <c r="K308">
        <v>1324.91</v>
      </c>
      <c r="M308">
        <v>0.72</v>
      </c>
    </row>
    <row r="309" spans="1:14">
      <c r="A309" s="28">
        <v>1054</v>
      </c>
      <c r="B309" t="s">
        <v>2509</v>
      </c>
      <c r="C309" t="s">
        <v>348</v>
      </c>
      <c r="D309">
        <v>145.75</v>
      </c>
      <c r="E309">
        <v>367.16</v>
      </c>
      <c r="F309">
        <v>7.98</v>
      </c>
      <c r="G309" t="s">
        <v>350</v>
      </c>
      <c r="H309">
        <v>4.72</v>
      </c>
      <c r="I309">
        <v>12.01</v>
      </c>
      <c r="J309">
        <v>265.13</v>
      </c>
      <c r="K309">
        <v>2335.8200000000002</v>
      </c>
      <c r="L309">
        <v>9.6</v>
      </c>
      <c r="M309">
        <v>1.0900000000000001</v>
      </c>
      <c r="N309">
        <v>7.41</v>
      </c>
    </row>
    <row r="310" spans="1:14">
      <c r="A310" s="28">
        <v>499</v>
      </c>
      <c r="B310" t="s">
        <v>1469</v>
      </c>
      <c r="C310" t="s">
        <v>348</v>
      </c>
      <c r="D310">
        <v>146.06</v>
      </c>
      <c r="E310">
        <v>225.23</v>
      </c>
      <c r="F310">
        <v>25.6</v>
      </c>
      <c r="G310" t="s">
        <v>349</v>
      </c>
      <c r="H310">
        <v>-28.88</v>
      </c>
      <c r="I310">
        <v>-54.55</v>
      </c>
      <c r="J310">
        <v>-1173.31</v>
      </c>
      <c r="K310">
        <v>1571.14</v>
      </c>
      <c r="M310">
        <v>3.47</v>
      </c>
      <c r="N310">
        <v>68.11</v>
      </c>
    </row>
    <row r="311" spans="1:14">
      <c r="A311" s="28">
        <v>451</v>
      </c>
      <c r="B311" t="s">
        <v>284</v>
      </c>
      <c r="C311" t="s">
        <v>348</v>
      </c>
      <c r="D311">
        <v>146.33000000000001</v>
      </c>
      <c r="E311">
        <v>1626.96</v>
      </c>
      <c r="F311">
        <v>28.26</v>
      </c>
      <c r="G311">
        <v>104.46</v>
      </c>
      <c r="H311">
        <v>5.2</v>
      </c>
      <c r="I311">
        <v>12.63</v>
      </c>
      <c r="J311">
        <v>1086.51</v>
      </c>
      <c r="K311">
        <v>9000.14</v>
      </c>
      <c r="L311">
        <v>5.87</v>
      </c>
      <c r="M311">
        <v>0.71</v>
      </c>
      <c r="N311">
        <v>5.92</v>
      </c>
    </row>
    <row r="312" spans="1:14">
      <c r="A312" s="28">
        <v>639</v>
      </c>
      <c r="B312" t="s">
        <v>1023</v>
      </c>
      <c r="C312" t="s">
        <v>347</v>
      </c>
      <c r="D312">
        <v>146.99</v>
      </c>
      <c r="E312">
        <v>250.58</v>
      </c>
      <c r="F312">
        <v>19.22</v>
      </c>
      <c r="G312" t="s">
        <v>2788</v>
      </c>
      <c r="H312">
        <v>-8.14</v>
      </c>
      <c r="I312">
        <v>-17.86</v>
      </c>
      <c r="J312">
        <v>-351.88</v>
      </c>
      <c r="K312">
        <v>1752.9</v>
      </c>
      <c r="M312">
        <v>1.22</v>
      </c>
    </row>
    <row r="313" spans="1:14">
      <c r="A313" s="28">
        <v>893</v>
      </c>
      <c r="B313" t="s">
        <v>1596</v>
      </c>
      <c r="C313" t="s">
        <v>347</v>
      </c>
      <c r="D313">
        <v>1461.81</v>
      </c>
      <c r="F313">
        <v>11.32</v>
      </c>
      <c r="G313" t="s">
        <v>2788</v>
      </c>
      <c r="H313">
        <v>-4.57</v>
      </c>
      <c r="I313">
        <v>-72.39</v>
      </c>
      <c r="J313">
        <v>-348.14</v>
      </c>
      <c r="K313">
        <v>490.44</v>
      </c>
      <c r="M313">
        <v>2.23</v>
      </c>
      <c r="N313">
        <v>38.450000000000003</v>
      </c>
    </row>
    <row r="314" spans="1:14">
      <c r="A314" s="28">
        <v>821</v>
      </c>
      <c r="B314" t="s">
        <v>887</v>
      </c>
      <c r="C314" t="s">
        <v>347</v>
      </c>
      <c r="D314">
        <v>148.15</v>
      </c>
      <c r="E314">
        <v>90.7</v>
      </c>
      <c r="F314">
        <v>13.57</v>
      </c>
      <c r="G314">
        <v>-13.03</v>
      </c>
      <c r="H314">
        <v>1.21</v>
      </c>
      <c r="I314">
        <v>3.03</v>
      </c>
      <c r="J314">
        <v>280.49</v>
      </c>
      <c r="K314">
        <v>9535.0400000000009</v>
      </c>
      <c r="L314">
        <v>25.46</v>
      </c>
      <c r="M314">
        <v>0.75</v>
      </c>
    </row>
    <row r="315" spans="1:14">
      <c r="A315" s="28">
        <v>1025</v>
      </c>
      <c r="B315" t="s">
        <v>1155</v>
      </c>
      <c r="C315" t="s">
        <v>347</v>
      </c>
      <c r="D315">
        <v>148.63</v>
      </c>
      <c r="E315">
        <v>874.64</v>
      </c>
      <c r="F315">
        <v>8.58</v>
      </c>
      <c r="G315">
        <v>41.01</v>
      </c>
      <c r="H315">
        <v>3.66</v>
      </c>
      <c r="I315">
        <v>8.9700000000000006</v>
      </c>
      <c r="J315">
        <v>805.41</v>
      </c>
      <c r="K315">
        <v>9273.69</v>
      </c>
      <c r="L315">
        <v>13.21</v>
      </c>
      <c r="M315">
        <v>1.1499999999999999</v>
      </c>
      <c r="N315">
        <v>9.1199999999999992</v>
      </c>
    </row>
    <row r="316" spans="1:14">
      <c r="A316" s="28">
        <v>174</v>
      </c>
      <c r="B316" t="s">
        <v>686</v>
      </c>
      <c r="C316" t="s">
        <v>347</v>
      </c>
      <c r="D316">
        <v>148.85</v>
      </c>
      <c r="E316">
        <v>454.75</v>
      </c>
      <c r="F316">
        <v>63.8</v>
      </c>
      <c r="G316">
        <v>-40.78</v>
      </c>
      <c r="H316">
        <v>3.03</v>
      </c>
      <c r="I316">
        <v>7.95</v>
      </c>
      <c r="J316">
        <v>227.85</v>
      </c>
      <c r="K316">
        <v>3046.96</v>
      </c>
      <c r="L316">
        <v>22.6</v>
      </c>
      <c r="M316">
        <v>1.69</v>
      </c>
      <c r="N316">
        <v>15.5</v>
      </c>
    </row>
    <row r="317" spans="1:14">
      <c r="A317" s="28">
        <v>73</v>
      </c>
      <c r="B317" t="s">
        <v>2019</v>
      </c>
      <c r="C317" t="s">
        <v>348</v>
      </c>
      <c r="D317">
        <v>148.9</v>
      </c>
      <c r="E317">
        <v>352.75</v>
      </c>
      <c r="F317">
        <v>143.37</v>
      </c>
      <c r="G317" t="s">
        <v>2788</v>
      </c>
      <c r="H317">
        <v>-13.56</v>
      </c>
      <c r="I317">
        <v>-32.26</v>
      </c>
      <c r="J317">
        <v>-253.73</v>
      </c>
      <c r="K317">
        <v>757.78</v>
      </c>
      <c r="M317">
        <v>2.89</v>
      </c>
    </row>
    <row r="318" spans="1:14">
      <c r="A318" s="28">
        <v>332</v>
      </c>
      <c r="B318" t="s">
        <v>2684</v>
      </c>
      <c r="C318" t="s">
        <v>347</v>
      </c>
      <c r="D318">
        <v>1482.04</v>
      </c>
      <c r="E318">
        <v>113.8</v>
      </c>
      <c r="F318">
        <v>37.299999999999997</v>
      </c>
      <c r="G318" t="s">
        <v>350</v>
      </c>
      <c r="H318">
        <v>1.83</v>
      </c>
      <c r="I318">
        <v>34.75</v>
      </c>
      <c r="J318">
        <v>3065.6</v>
      </c>
      <c r="K318">
        <v>10689.99</v>
      </c>
      <c r="L318">
        <v>4.57</v>
      </c>
      <c r="M318">
        <v>1.31</v>
      </c>
      <c r="N318">
        <v>4.2699999999999996</v>
      </c>
    </row>
    <row r="319" spans="1:14">
      <c r="A319" s="28">
        <v>209</v>
      </c>
      <c r="B319" t="s">
        <v>2800</v>
      </c>
      <c r="C319" t="s">
        <v>348</v>
      </c>
      <c r="D319">
        <v>149.08000000000001</v>
      </c>
      <c r="E319">
        <v>61.04</v>
      </c>
      <c r="F319">
        <v>55.07</v>
      </c>
      <c r="G319">
        <v>384.9</v>
      </c>
      <c r="H319">
        <v>13.37</v>
      </c>
      <c r="I319">
        <v>33.99</v>
      </c>
      <c r="J319">
        <v>231.62</v>
      </c>
      <c r="K319">
        <v>805.21</v>
      </c>
      <c r="L319">
        <v>51.81</v>
      </c>
      <c r="M319">
        <v>14.9</v>
      </c>
      <c r="N319">
        <v>38</v>
      </c>
    </row>
    <row r="320" spans="1:14">
      <c r="A320" s="28">
        <v>1099</v>
      </c>
      <c r="B320" t="s">
        <v>154</v>
      </c>
      <c r="C320" t="s">
        <v>347</v>
      </c>
      <c r="D320">
        <v>1491.6</v>
      </c>
      <c r="E320">
        <v>19696.88</v>
      </c>
      <c r="F320">
        <v>7.04</v>
      </c>
      <c r="G320">
        <v>-27.61</v>
      </c>
      <c r="H320">
        <v>0.21</v>
      </c>
      <c r="I320">
        <v>2.38</v>
      </c>
      <c r="J320">
        <v>3083.48</v>
      </c>
      <c r="K320">
        <v>98984.38</v>
      </c>
      <c r="L320">
        <v>23.03</v>
      </c>
      <c r="M320">
        <v>0.72</v>
      </c>
    </row>
    <row r="321" spans="1:14">
      <c r="A321" s="28">
        <v>621</v>
      </c>
      <c r="B321" t="s">
        <v>2204</v>
      </c>
      <c r="C321" t="s">
        <v>348</v>
      </c>
      <c r="D321">
        <v>15.04</v>
      </c>
      <c r="E321">
        <v>407.78</v>
      </c>
      <c r="F321">
        <v>19.829999999999998</v>
      </c>
      <c r="G321" t="s">
        <v>350</v>
      </c>
      <c r="H321">
        <v>0.5</v>
      </c>
      <c r="I321">
        <v>0.63</v>
      </c>
      <c r="J321">
        <v>13.82</v>
      </c>
      <c r="K321">
        <v>2538.92</v>
      </c>
      <c r="L321">
        <v>317.19</v>
      </c>
      <c r="M321">
        <v>1.73</v>
      </c>
      <c r="N321">
        <v>35.64</v>
      </c>
    </row>
    <row r="322" spans="1:14">
      <c r="A322" s="28">
        <v>172</v>
      </c>
      <c r="B322" t="s">
        <v>1629</v>
      </c>
      <c r="C322" t="s">
        <v>348</v>
      </c>
      <c r="D322">
        <v>15.22</v>
      </c>
      <c r="E322">
        <v>1000.52</v>
      </c>
      <c r="F322">
        <v>64.3</v>
      </c>
      <c r="G322" t="s">
        <v>2788</v>
      </c>
      <c r="H322">
        <v>-15.6</v>
      </c>
      <c r="I322">
        <v>-18.690000000000001</v>
      </c>
      <c r="J322">
        <v>-1106.1400000000001</v>
      </c>
      <c r="K322">
        <v>5502.58</v>
      </c>
      <c r="M322">
        <v>1.92</v>
      </c>
    </row>
    <row r="323" spans="1:14">
      <c r="A323" s="28">
        <v>579</v>
      </c>
      <c r="B323" t="s">
        <v>872</v>
      </c>
      <c r="C323" t="s">
        <v>348</v>
      </c>
      <c r="D323">
        <v>15.27</v>
      </c>
      <c r="E323">
        <v>1393.15</v>
      </c>
      <c r="F323">
        <v>21.76</v>
      </c>
      <c r="G323" t="s">
        <v>349</v>
      </c>
      <c r="H323">
        <v>-4.34</v>
      </c>
      <c r="I323">
        <v>-5.72</v>
      </c>
      <c r="J323">
        <v>-293.7</v>
      </c>
      <c r="K323">
        <v>7502.63</v>
      </c>
      <c r="M323">
        <v>1.33</v>
      </c>
    </row>
    <row r="324" spans="1:14">
      <c r="A324" s="28">
        <v>671</v>
      </c>
      <c r="B324" t="s">
        <v>876</v>
      </c>
      <c r="C324" t="s">
        <v>348</v>
      </c>
      <c r="D324">
        <v>15.27</v>
      </c>
      <c r="E324">
        <v>7041.3</v>
      </c>
      <c r="F324">
        <v>18.02</v>
      </c>
      <c r="G324">
        <v>14.86</v>
      </c>
      <c r="H324">
        <v>21.62</v>
      </c>
      <c r="I324">
        <v>24.87</v>
      </c>
      <c r="J324">
        <v>8056.23</v>
      </c>
      <c r="K324">
        <v>35706.519999999997</v>
      </c>
      <c r="L324">
        <v>11.74</v>
      </c>
      <c r="M324">
        <v>2.65</v>
      </c>
      <c r="N324">
        <v>7.83</v>
      </c>
    </row>
    <row r="325" spans="1:14">
      <c r="A325" s="28">
        <v>686</v>
      </c>
      <c r="B325" t="s">
        <v>1087</v>
      </c>
      <c r="C325" t="s">
        <v>348</v>
      </c>
      <c r="D325">
        <v>15.41</v>
      </c>
      <c r="E325">
        <v>758.45</v>
      </c>
      <c r="F325">
        <v>17.23</v>
      </c>
      <c r="G325">
        <v>-4.2</v>
      </c>
      <c r="H325">
        <v>11.82</v>
      </c>
      <c r="I325">
        <v>13.36</v>
      </c>
      <c r="J325">
        <v>968.54</v>
      </c>
      <c r="K325">
        <v>8584.48</v>
      </c>
      <c r="L325">
        <v>21.17</v>
      </c>
      <c r="M325">
        <v>2.39</v>
      </c>
      <c r="N325">
        <v>13.69</v>
      </c>
    </row>
    <row r="326" spans="1:14">
      <c r="A326" s="28">
        <v>693</v>
      </c>
      <c r="B326" t="s">
        <v>1358</v>
      </c>
      <c r="C326" t="s">
        <v>348</v>
      </c>
      <c r="D326">
        <v>15.51</v>
      </c>
      <c r="E326">
        <v>1973.01</v>
      </c>
      <c r="F326">
        <v>16.989999999999998</v>
      </c>
      <c r="G326">
        <v>47.69</v>
      </c>
      <c r="H326">
        <v>10.78</v>
      </c>
      <c r="I326">
        <v>12.59</v>
      </c>
      <c r="J326">
        <v>1206.76</v>
      </c>
      <c r="K326">
        <v>10365.030000000001</v>
      </c>
      <c r="L326">
        <v>37.54</v>
      </c>
      <c r="M326">
        <v>4.37</v>
      </c>
      <c r="N326">
        <v>29.06</v>
      </c>
    </row>
    <row r="327" spans="1:14">
      <c r="A327" s="28">
        <v>806</v>
      </c>
      <c r="B327" t="s">
        <v>1111</v>
      </c>
      <c r="C327" t="s">
        <v>347</v>
      </c>
      <c r="D327">
        <v>15.55</v>
      </c>
      <c r="E327">
        <v>5744.67</v>
      </c>
      <c r="F327">
        <v>13.94</v>
      </c>
      <c r="G327">
        <v>129.04</v>
      </c>
      <c r="H327">
        <v>18.71</v>
      </c>
      <c r="I327">
        <v>22.76</v>
      </c>
      <c r="J327">
        <v>6062.96</v>
      </c>
      <c r="K327">
        <v>29223.35</v>
      </c>
      <c r="L327">
        <v>19.149999999999999</v>
      </c>
      <c r="M327">
        <v>3.97</v>
      </c>
      <c r="N327">
        <v>21.31</v>
      </c>
    </row>
    <row r="328" spans="1:14">
      <c r="A328" s="28">
        <v>559</v>
      </c>
      <c r="B328" t="s">
        <v>1109</v>
      </c>
      <c r="C328" t="s">
        <v>348</v>
      </c>
      <c r="D328">
        <v>15.56</v>
      </c>
      <c r="E328">
        <v>550.91999999999996</v>
      </c>
      <c r="F328">
        <v>22.77</v>
      </c>
      <c r="G328">
        <v>271.39999999999998</v>
      </c>
      <c r="H328">
        <v>5</v>
      </c>
      <c r="I328">
        <v>5.72</v>
      </c>
      <c r="J328">
        <v>189.17</v>
      </c>
      <c r="K328">
        <v>3390.34</v>
      </c>
      <c r="L328">
        <v>16.12</v>
      </c>
      <c r="M328">
        <v>0.9</v>
      </c>
      <c r="N328">
        <v>5.84</v>
      </c>
    </row>
    <row r="329" spans="1:14">
      <c r="A329" s="28">
        <v>581</v>
      </c>
      <c r="B329" t="s">
        <v>1625</v>
      </c>
      <c r="C329" t="s">
        <v>348</v>
      </c>
      <c r="D329">
        <v>15.84</v>
      </c>
      <c r="E329">
        <v>128.69</v>
      </c>
      <c r="F329">
        <v>21.73</v>
      </c>
      <c r="G329" t="s">
        <v>2788</v>
      </c>
      <c r="H329">
        <v>-23.72</v>
      </c>
      <c r="I329">
        <v>-27.24</v>
      </c>
      <c r="J329">
        <v>-355.61</v>
      </c>
      <c r="K329">
        <v>1143.46</v>
      </c>
      <c r="M329">
        <v>22.83</v>
      </c>
    </row>
    <row r="330" spans="1:14">
      <c r="A330" s="28">
        <v>896</v>
      </c>
      <c r="B330" t="s">
        <v>1746</v>
      </c>
      <c r="C330" t="s">
        <v>348</v>
      </c>
      <c r="D330">
        <v>15.88</v>
      </c>
      <c r="E330">
        <v>554.28</v>
      </c>
      <c r="F330">
        <v>11.23</v>
      </c>
      <c r="G330" t="s">
        <v>2788</v>
      </c>
      <c r="H330">
        <v>-1.31</v>
      </c>
      <c r="I330">
        <v>-1.59</v>
      </c>
      <c r="J330">
        <v>-9.8699999999999992</v>
      </c>
      <c r="K330">
        <v>654.28</v>
      </c>
      <c r="M330">
        <v>0.53</v>
      </c>
      <c r="N330">
        <v>27.27</v>
      </c>
    </row>
    <row r="331" spans="1:14">
      <c r="A331" s="28">
        <v>11</v>
      </c>
      <c r="B331" t="s">
        <v>2845</v>
      </c>
      <c r="C331" t="s">
        <v>348</v>
      </c>
      <c r="D331">
        <v>150.13</v>
      </c>
      <c r="F331">
        <v>1024.57</v>
      </c>
      <c r="G331" t="s">
        <v>2788</v>
      </c>
      <c r="H331">
        <v>-154.65</v>
      </c>
      <c r="I331">
        <v>-331.2</v>
      </c>
      <c r="J331">
        <v>-1441.41</v>
      </c>
      <c r="K331">
        <v>320.13</v>
      </c>
      <c r="M331">
        <v>26.86</v>
      </c>
    </row>
    <row r="332" spans="1:14">
      <c r="A332" s="28">
        <v>710</v>
      </c>
      <c r="B332" t="s">
        <v>2656</v>
      </c>
      <c r="C332" t="s">
        <v>347</v>
      </c>
      <c r="D332">
        <v>150.19999999999999</v>
      </c>
      <c r="F332">
        <v>16.37</v>
      </c>
      <c r="G332" t="s">
        <v>350</v>
      </c>
      <c r="H332">
        <v>0.94</v>
      </c>
      <c r="I332">
        <v>2.4900000000000002</v>
      </c>
      <c r="J332">
        <v>1.79</v>
      </c>
      <c r="K332">
        <v>75.12</v>
      </c>
      <c r="L332">
        <v>112.1</v>
      </c>
      <c r="M332">
        <v>2.68</v>
      </c>
      <c r="N332">
        <v>18.37</v>
      </c>
    </row>
    <row r="333" spans="1:14">
      <c r="A333" s="28">
        <v>324</v>
      </c>
      <c r="B333" t="s">
        <v>140</v>
      </c>
      <c r="C333" t="s">
        <v>347</v>
      </c>
      <c r="D333">
        <v>150.25</v>
      </c>
      <c r="E333">
        <v>414.66</v>
      </c>
      <c r="F333">
        <v>38.299999999999997</v>
      </c>
      <c r="G333">
        <v>-7.07</v>
      </c>
      <c r="H333">
        <v>3.13</v>
      </c>
      <c r="I333">
        <v>7.37</v>
      </c>
      <c r="J333">
        <v>1853.54</v>
      </c>
      <c r="K333">
        <v>25732.99</v>
      </c>
      <c r="L333">
        <v>3.17</v>
      </c>
      <c r="M333">
        <v>0.23</v>
      </c>
      <c r="N333">
        <v>3.88</v>
      </c>
    </row>
    <row r="334" spans="1:14">
      <c r="A334" s="28">
        <v>533</v>
      </c>
      <c r="B334" t="s">
        <v>2801</v>
      </c>
      <c r="C334" t="s">
        <v>348</v>
      </c>
      <c r="D334">
        <v>151.28</v>
      </c>
      <c r="E334">
        <v>479.65</v>
      </c>
      <c r="F334">
        <v>24.18</v>
      </c>
      <c r="G334" t="s">
        <v>350</v>
      </c>
      <c r="H334">
        <v>3.41</v>
      </c>
      <c r="I334">
        <v>8.9600000000000009</v>
      </c>
      <c r="J334">
        <v>78.83</v>
      </c>
      <c r="K334">
        <v>2898.26</v>
      </c>
      <c r="L334">
        <v>67.23</v>
      </c>
      <c r="M334">
        <v>1.83</v>
      </c>
      <c r="N334">
        <v>16.170000000000002</v>
      </c>
    </row>
    <row r="335" spans="1:14">
      <c r="A335" s="28">
        <v>1038</v>
      </c>
      <c r="B335" t="s">
        <v>1626</v>
      </c>
      <c r="C335" t="s">
        <v>347</v>
      </c>
      <c r="D335">
        <v>152.41</v>
      </c>
      <c r="E335">
        <v>881.75</v>
      </c>
      <c r="F335">
        <v>8.27</v>
      </c>
      <c r="G335" t="s">
        <v>2788</v>
      </c>
      <c r="H335">
        <v>-2.99</v>
      </c>
      <c r="I335">
        <v>-7.12</v>
      </c>
      <c r="J335">
        <v>-3634.89</v>
      </c>
      <c r="K335">
        <v>49087.72</v>
      </c>
      <c r="M335">
        <v>1.73</v>
      </c>
    </row>
    <row r="336" spans="1:14">
      <c r="A336" s="28">
        <v>463</v>
      </c>
      <c r="B336" t="s">
        <v>198</v>
      </c>
      <c r="C336" t="s">
        <v>347</v>
      </c>
      <c r="D336">
        <v>152.44</v>
      </c>
      <c r="E336">
        <v>4922.5600000000004</v>
      </c>
      <c r="F336">
        <v>27.59</v>
      </c>
      <c r="G336">
        <v>-94.46</v>
      </c>
      <c r="H336">
        <v>0.16</v>
      </c>
      <c r="I336">
        <v>0.43</v>
      </c>
      <c r="J336">
        <v>1093.53</v>
      </c>
      <c r="K336">
        <v>251128.1</v>
      </c>
      <c r="L336">
        <v>158.02000000000001</v>
      </c>
      <c r="M336">
        <v>0.69</v>
      </c>
      <c r="N336">
        <v>11.62</v>
      </c>
    </row>
    <row r="337" spans="1:14">
      <c r="A337" s="28">
        <v>1075</v>
      </c>
      <c r="B337" t="s">
        <v>2517</v>
      </c>
      <c r="C337" t="s">
        <v>347</v>
      </c>
      <c r="D337">
        <v>152.81</v>
      </c>
      <c r="F337">
        <v>7.57</v>
      </c>
      <c r="G337" t="s">
        <v>2788</v>
      </c>
      <c r="H337">
        <v>-1.8</v>
      </c>
      <c r="I337">
        <v>-4.32</v>
      </c>
      <c r="J337">
        <v>-21.19</v>
      </c>
      <c r="K337">
        <v>490.08</v>
      </c>
      <c r="M337">
        <v>4.34</v>
      </c>
      <c r="N337">
        <v>37.71</v>
      </c>
    </row>
    <row r="338" spans="1:14">
      <c r="A338" s="28">
        <v>130</v>
      </c>
      <c r="B338" t="s">
        <v>2802</v>
      </c>
      <c r="C338" t="s">
        <v>348</v>
      </c>
      <c r="D338">
        <v>154.41999999999999</v>
      </c>
      <c r="E338">
        <v>3.58</v>
      </c>
      <c r="F338">
        <v>81.42</v>
      </c>
      <c r="G338" t="s">
        <v>2788</v>
      </c>
      <c r="H338">
        <v>-10.210000000000001</v>
      </c>
      <c r="I338">
        <v>-22.76</v>
      </c>
      <c r="J338">
        <v>-266</v>
      </c>
      <c r="K338">
        <v>1035.81</v>
      </c>
      <c r="M338">
        <v>1.06</v>
      </c>
      <c r="N338">
        <v>10.42</v>
      </c>
    </row>
    <row r="339" spans="1:14">
      <c r="A339" s="28">
        <v>1011</v>
      </c>
      <c r="B339" t="s">
        <v>1242</v>
      </c>
      <c r="C339" t="s">
        <v>348</v>
      </c>
      <c r="D339">
        <v>154.69999999999999</v>
      </c>
      <c r="E339">
        <v>409.43</v>
      </c>
      <c r="F339">
        <v>8.92</v>
      </c>
      <c r="G339" t="s">
        <v>349</v>
      </c>
      <c r="H339">
        <v>-0.25</v>
      </c>
      <c r="I339">
        <v>-0.66</v>
      </c>
      <c r="J339">
        <v>-16.059999999999999</v>
      </c>
      <c r="K339">
        <v>2547.15</v>
      </c>
      <c r="M339">
        <v>1.27</v>
      </c>
      <c r="N339">
        <v>42.37</v>
      </c>
    </row>
    <row r="340" spans="1:14">
      <c r="A340" s="28">
        <v>856</v>
      </c>
      <c r="B340" t="s">
        <v>238</v>
      </c>
      <c r="C340" t="s">
        <v>347</v>
      </c>
      <c r="D340">
        <v>155.09</v>
      </c>
      <c r="E340">
        <v>800.9</v>
      </c>
      <c r="F340">
        <v>12.41</v>
      </c>
      <c r="G340">
        <v>6.59</v>
      </c>
      <c r="H340">
        <v>6.04</v>
      </c>
      <c r="I340">
        <v>16.690000000000001</v>
      </c>
      <c r="J340">
        <v>6338.8</v>
      </c>
      <c r="K340">
        <v>45045.25</v>
      </c>
      <c r="L340">
        <v>2.98</v>
      </c>
      <c r="M340">
        <v>0.42</v>
      </c>
      <c r="N340">
        <v>6.19</v>
      </c>
    </row>
    <row r="341" spans="1:14">
      <c r="A341" s="28">
        <v>707</v>
      </c>
      <c r="B341" t="s">
        <v>2750</v>
      </c>
      <c r="C341" t="s">
        <v>348</v>
      </c>
      <c r="D341">
        <v>156.1</v>
      </c>
      <c r="E341">
        <v>577.64</v>
      </c>
      <c r="F341">
        <v>16.43</v>
      </c>
      <c r="G341">
        <v>325.18</v>
      </c>
      <c r="H341">
        <v>8.8699999999999992</v>
      </c>
      <c r="I341">
        <v>23.31</v>
      </c>
      <c r="J341">
        <v>691.98</v>
      </c>
      <c r="K341">
        <v>3388.2</v>
      </c>
      <c r="L341">
        <v>17.05</v>
      </c>
      <c r="M341">
        <v>3.48</v>
      </c>
      <c r="N341">
        <v>15.66</v>
      </c>
    </row>
    <row r="342" spans="1:14">
      <c r="A342" s="28">
        <v>885</v>
      </c>
      <c r="B342" t="s">
        <v>203</v>
      </c>
      <c r="C342" t="s">
        <v>347</v>
      </c>
      <c r="D342">
        <v>157.47</v>
      </c>
      <c r="E342">
        <v>676.99</v>
      </c>
      <c r="F342">
        <v>11.5</v>
      </c>
      <c r="G342" t="s">
        <v>350</v>
      </c>
      <c r="H342">
        <v>1.92</v>
      </c>
      <c r="I342">
        <v>4.78</v>
      </c>
      <c r="J342">
        <v>1820.2</v>
      </c>
      <c r="K342">
        <v>38849.370000000003</v>
      </c>
      <c r="L342">
        <v>12.03</v>
      </c>
      <c r="M342">
        <v>0.56000000000000005</v>
      </c>
      <c r="N342">
        <v>25.01</v>
      </c>
    </row>
    <row r="343" spans="1:14">
      <c r="A343" s="28">
        <v>677</v>
      </c>
      <c r="B343" t="s">
        <v>2253</v>
      </c>
      <c r="C343" t="s">
        <v>347</v>
      </c>
      <c r="D343">
        <v>157.94</v>
      </c>
      <c r="E343">
        <v>368.03</v>
      </c>
      <c r="F343">
        <v>17.72</v>
      </c>
      <c r="G343">
        <v>-68.930000000000007</v>
      </c>
      <c r="H343">
        <v>2.23</v>
      </c>
      <c r="I343">
        <v>4.68</v>
      </c>
      <c r="J343">
        <v>105.42</v>
      </c>
      <c r="K343">
        <v>2340.16</v>
      </c>
      <c r="L343">
        <v>30.35</v>
      </c>
      <c r="M343">
        <v>1.37</v>
      </c>
      <c r="N343">
        <v>12.06</v>
      </c>
    </row>
    <row r="344" spans="1:14">
      <c r="A344" s="28">
        <v>393</v>
      </c>
      <c r="B344" t="s">
        <v>2599</v>
      </c>
      <c r="C344" t="s">
        <v>348</v>
      </c>
      <c r="D344">
        <v>158.22</v>
      </c>
      <c r="E344">
        <v>479.95</v>
      </c>
      <c r="F344">
        <v>31.95</v>
      </c>
      <c r="G344" t="s">
        <v>350</v>
      </c>
      <c r="H344">
        <v>5.72</v>
      </c>
      <c r="I344">
        <v>16.5</v>
      </c>
      <c r="J344">
        <v>327.73</v>
      </c>
      <c r="K344">
        <v>2899.76</v>
      </c>
      <c r="L344">
        <v>5.31</v>
      </c>
      <c r="M344">
        <v>0.6</v>
      </c>
      <c r="N344">
        <v>7.1</v>
      </c>
    </row>
    <row r="345" spans="1:14">
      <c r="A345" s="28">
        <v>932</v>
      </c>
      <c r="B345" t="s">
        <v>82</v>
      </c>
      <c r="C345" t="s">
        <v>347</v>
      </c>
      <c r="D345">
        <v>158.24</v>
      </c>
      <c r="E345">
        <v>1061.3599999999999</v>
      </c>
      <c r="F345">
        <v>10.49</v>
      </c>
      <c r="G345">
        <v>-24.12</v>
      </c>
      <c r="H345">
        <v>1.88</v>
      </c>
      <c r="I345">
        <v>4.93</v>
      </c>
      <c r="J345">
        <v>2812.2</v>
      </c>
      <c r="K345">
        <v>58067.839999999997</v>
      </c>
      <c r="L345">
        <v>7.52</v>
      </c>
      <c r="M345">
        <v>0.36</v>
      </c>
      <c r="N345">
        <v>7.86</v>
      </c>
    </row>
    <row r="346" spans="1:14">
      <c r="A346" s="28">
        <v>101</v>
      </c>
      <c r="B346" t="s">
        <v>2710</v>
      </c>
      <c r="C346" t="s">
        <v>348</v>
      </c>
      <c r="D346">
        <v>159.27000000000001</v>
      </c>
      <c r="E346">
        <v>2990.65</v>
      </c>
      <c r="F346">
        <v>111.48</v>
      </c>
      <c r="G346" t="s">
        <v>350</v>
      </c>
      <c r="H346">
        <v>6.8</v>
      </c>
      <c r="I346">
        <v>18.47</v>
      </c>
      <c r="J346">
        <v>2252.5500000000002</v>
      </c>
      <c r="K346">
        <v>14230.54</v>
      </c>
      <c r="N346">
        <v>2.0299999999999998</v>
      </c>
    </row>
    <row r="347" spans="1:14">
      <c r="A347" s="28">
        <v>698</v>
      </c>
      <c r="B347" t="s">
        <v>1201</v>
      </c>
      <c r="C347" t="s">
        <v>348</v>
      </c>
      <c r="D347">
        <v>16.2</v>
      </c>
      <c r="E347">
        <v>828.11</v>
      </c>
      <c r="F347">
        <v>16.760000000000002</v>
      </c>
      <c r="G347">
        <v>-31.05</v>
      </c>
      <c r="H347">
        <v>1.97</v>
      </c>
      <c r="I347">
        <v>2.27</v>
      </c>
      <c r="J347">
        <v>103.72</v>
      </c>
      <c r="K347">
        <v>4640.55</v>
      </c>
      <c r="L347">
        <v>95.93</v>
      </c>
      <c r="M347">
        <v>2.14</v>
      </c>
      <c r="N347">
        <v>70.61</v>
      </c>
    </row>
    <row r="348" spans="1:14">
      <c r="A348" s="28">
        <v>1022</v>
      </c>
      <c r="B348" t="s">
        <v>1440</v>
      </c>
      <c r="C348" t="s">
        <v>348</v>
      </c>
      <c r="D348">
        <v>16.48</v>
      </c>
      <c r="E348">
        <v>803.9</v>
      </c>
      <c r="F348">
        <v>8.65</v>
      </c>
      <c r="G348" t="s">
        <v>349</v>
      </c>
      <c r="H348">
        <v>-0.44</v>
      </c>
      <c r="I348">
        <v>-0.5</v>
      </c>
      <c r="J348">
        <v>-22.72</v>
      </c>
      <c r="K348">
        <v>4519.51</v>
      </c>
      <c r="M348">
        <v>1.21</v>
      </c>
      <c r="N348">
        <v>18.55</v>
      </c>
    </row>
    <row r="349" spans="1:14">
      <c r="A349" s="28">
        <v>282</v>
      </c>
      <c r="B349" t="s">
        <v>2306</v>
      </c>
      <c r="C349" t="s">
        <v>348</v>
      </c>
      <c r="D349">
        <v>16.72</v>
      </c>
      <c r="E349">
        <v>128.21</v>
      </c>
      <c r="F349">
        <v>42.98</v>
      </c>
      <c r="G349" t="s">
        <v>2788</v>
      </c>
      <c r="H349">
        <v>-13.22</v>
      </c>
      <c r="I349">
        <v>-14.72</v>
      </c>
      <c r="J349">
        <v>-151.85</v>
      </c>
      <c r="K349">
        <v>1141.07</v>
      </c>
      <c r="M349">
        <v>1.76</v>
      </c>
    </row>
    <row r="350" spans="1:14">
      <c r="A350" s="28">
        <v>1007</v>
      </c>
      <c r="B350" t="s">
        <v>1382</v>
      </c>
      <c r="C350" t="s">
        <v>347</v>
      </c>
      <c r="D350">
        <v>16.75</v>
      </c>
      <c r="E350">
        <v>61492.74</v>
      </c>
      <c r="F350">
        <v>9.02</v>
      </c>
      <c r="G350" t="s">
        <v>349</v>
      </c>
      <c r="H350">
        <v>-0.66</v>
      </c>
      <c r="I350">
        <v>-0.79</v>
      </c>
      <c r="J350">
        <v>-23557.97</v>
      </c>
      <c r="K350">
        <v>3079636.81</v>
      </c>
      <c r="M350">
        <v>0.24</v>
      </c>
    </row>
    <row r="351" spans="1:14">
      <c r="A351" s="28">
        <v>937</v>
      </c>
      <c r="B351" t="s">
        <v>2803</v>
      </c>
      <c r="C351" t="s">
        <v>348</v>
      </c>
      <c r="D351">
        <v>16.82</v>
      </c>
      <c r="E351">
        <v>551.91</v>
      </c>
      <c r="F351">
        <v>10.4</v>
      </c>
      <c r="G351">
        <v>32.950000000000003</v>
      </c>
      <c r="H351">
        <v>17.11</v>
      </c>
      <c r="I351">
        <v>19.690000000000001</v>
      </c>
      <c r="J351">
        <v>621.55999999999995</v>
      </c>
      <c r="K351">
        <v>3467.31</v>
      </c>
      <c r="L351">
        <v>4.66</v>
      </c>
      <c r="M351">
        <v>0.83</v>
      </c>
      <c r="N351">
        <v>3.88</v>
      </c>
    </row>
    <row r="352" spans="1:14">
      <c r="A352" s="28">
        <v>855</v>
      </c>
      <c r="B352" t="s">
        <v>1195</v>
      </c>
      <c r="C352" t="s">
        <v>347</v>
      </c>
      <c r="D352">
        <v>16.89</v>
      </c>
      <c r="E352">
        <v>4133.34</v>
      </c>
      <c r="F352">
        <v>12.43</v>
      </c>
      <c r="G352" t="s">
        <v>2788</v>
      </c>
      <c r="H352">
        <v>-1.9</v>
      </c>
      <c r="I352">
        <v>-2.19</v>
      </c>
      <c r="J352">
        <v>-5922.65</v>
      </c>
      <c r="K352">
        <v>267026.27</v>
      </c>
      <c r="M352">
        <v>0.56999999999999995</v>
      </c>
      <c r="N352">
        <v>9.6300000000000008</v>
      </c>
    </row>
    <row r="353" spans="1:14">
      <c r="A353" s="28">
        <v>690</v>
      </c>
      <c r="B353" t="s">
        <v>1429</v>
      </c>
      <c r="C353" t="s">
        <v>347</v>
      </c>
      <c r="D353">
        <v>16.93</v>
      </c>
      <c r="E353">
        <v>1059.5899999999999</v>
      </c>
      <c r="F353">
        <v>17.03</v>
      </c>
      <c r="G353">
        <v>-45.9</v>
      </c>
      <c r="H353">
        <v>1.37</v>
      </c>
      <c r="I353">
        <v>1.61</v>
      </c>
      <c r="J353">
        <v>911.59</v>
      </c>
      <c r="K353">
        <v>59723.55</v>
      </c>
      <c r="L353">
        <v>53.97</v>
      </c>
      <c r="M353">
        <v>0.82</v>
      </c>
      <c r="N353">
        <v>113.98</v>
      </c>
    </row>
    <row r="354" spans="1:14">
      <c r="A354" s="28">
        <v>745</v>
      </c>
      <c r="B354" t="s">
        <v>838</v>
      </c>
      <c r="C354" t="s">
        <v>348</v>
      </c>
      <c r="D354">
        <v>16.97</v>
      </c>
      <c r="E354">
        <v>2257.79</v>
      </c>
      <c r="F354">
        <v>15.67</v>
      </c>
      <c r="G354">
        <v>-70.58</v>
      </c>
      <c r="H354">
        <v>15.1</v>
      </c>
      <c r="I354">
        <v>17.510000000000002</v>
      </c>
      <c r="J354">
        <v>2573.5500000000002</v>
      </c>
      <c r="K354">
        <v>11788.97</v>
      </c>
      <c r="N354">
        <v>0</v>
      </c>
    </row>
    <row r="355" spans="1:14">
      <c r="A355" s="28">
        <v>455</v>
      </c>
      <c r="B355" t="s">
        <v>1607</v>
      </c>
      <c r="C355" t="s">
        <v>348</v>
      </c>
      <c r="D355">
        <v>16.98</v>
      </c>
      <c r="E355">
        <v>161.93</v>
      </c>
      <c r="F355">
        <v>27.81</v>
      </c>
      <c r="G355" t="s">
        <v>350</v>
      </c>
      <c r="H355">
        <v>21.4</v>
      </c>
      <c r="I355">
        <v>26.22</v>
      </c>
      <c r="J355">
        <v>285.11</v>
      </c>
      <c r="K355">
        <v>1309.6300000000001</v>
      </c>
      <c r="L355">
        <v>4.5599999999999996</v>
      </c>
      <c r="M355">
        <v>0.99</v>
      </c>
      <c r="N355">
        <v>17.649999999999999</v>
      </c>
    </row>
    <row r="356" spans="1:14">
      <c r="A356" s="28">
        <v>268</v>
      </c>
      <c r="B356" t="s">
        <v>2320</v>
      </c>
      <c r="C356" t="s">
        <v>348</v>
      </c>
      <c r="D356">
        <v>160.86000000000001</v>
      </c>
      <c r="E356">
        <v>62.37</v>
      </c>
      <c r="F356">
        <v>44.61</v>
      </c>
      <c r="G356" t="s">
        <v>2788</v>
      </c>
      <c r="H356">
        <v>-14.96</v>
      </c>
      <c r="I356">
        <v>-33.799999999999997</v>
      </c>
      <c r="J356">
        <v>-314.24</v>
      </c>
      <c r="K356">
        <v>811.86</v>
      </c>
      <c r="M356">
        <v>1.27</v>
      </c>
      <c r="N356">
        <v>17.46</v>
      </c>
    </row>
    <row r="357" spans="1:14">
      <c r="A357" s="28">
        <v>594</v>
      </c>
      <c r="B357" t="s">
        <v>272</v>
      </c>
      <c r="C357" t="s">
        <v>348</v>
      </c>
      <c r="D357">
        <v>161.55000000000001</v>
      </c>
      <c r="E357">
        <v>686.04</v>
      </c>
      <c r="F357">
        <v>20.85</v>
      </c>
      <c r="G357">
        <v>-14.75</v>
      </c>
      <c r="H357">
        <v>4.42</v>
      </c>
      <c r="I357">
        <v>10.44</v>
      </c>
      <c r="J357">
        <v>392.22</v>
      </c>
      <c r="K357">
        <v>3930.22</v>
      </c>
      <c r="L357">
        <v>2.88</v>
      </c>
      <c r="M357">
        <v>0.28999999999999998</v>
      </c>
      <c r="N357">
        <v>4.72</v>
      </c>
    </row>
    <row r="358" spans="1:14">
      <c r="A358" s="28">
        <v>27</v>
      </c>
      <c r="B358" t="s">
        <v>2232</v>
      </c>
      <c r="C358" t="s">
        <v>348</v>
      </c>
      <c r="D358">
        <v>163.4</v>
      </c>
      <c r="E358">
        <v>399.43</v>
      </c>
      <c r="F358">
        <v>363.53</v>
      </c>
      <c r="G358" t="s">
        <v>350</v>
      </c>
      <c r="H358">
        <v>5.81</v>
      </c>
      <c r="I358">
        <v>15.88</v>
      </c>
      <c r="J358">
        <v>359.73</v>
      </c>
      <c r="K358">
        <v>2497.14</v>
      </c>
      <c r="L358">
        <v>18.260000000000002</v>
      </c>
      <c r="M358">
        <v>2.63</v>
      </c>
      <c r="N358">
        <v>11.33</v>
      </c>
    </row>
    <row r="359" spans="1:14">
      <c r="A359" s="28">
        <v>341</v>
      </c>
      <c r="B359" t="s">
        <v>255</v>
      </c>
      <c r="C359" t="s">
        <v>348</v>
      </c>
      <c r="D359">
        <v>163.41999999999999</v>
      </c>
      <c r="E359">
        <v>2500.3200000000002</v>
      </c>
      <c r="F359">
        <v>36.56</v>
      </c>
      <c r="G359">
        <v>-3.2</v>
      </c>
      <c r="H359">
        <v>2.88</v>
      </c>
      <c r="I359">
        <v>8.01</v>
      </c>
      <c r="J359">
        <v>1075.31</v>
      </c>
      <c r="K359">
        <v>13546.98</v>
      </c>
      <c r="L359">
        <v>6.85</v>
      </c>
      <c r="M359">
        <v>0.54</v>
      </c>
      <c r="N359">
        <v>5.49</v>
      </c>
    </row>
    <row r="360" spans="1:14">
      <c r="A360" s="28">
        <v>554</v>
      </c>
      <c r="B360" t="s">
        <v>1642</v>
      </c>
      <c r="C360" t="s">
        <v>348</v>
      </c>
      <c r="D360">
        <v>163.88</v>
      </c>
      <c r="E360">
        <v>1521.6</v>
      </c>
      <c r="F360">
        <v>23.29</v>
      </c>
      <c r="G360" t="s">
        <v>350</v>
      </c>
      <c r="H360">
        <v>3.38</v>
      </c>
      <c r="I360">
        <v>8.6999999999999993</v>
      </c>
      <c r="J360">
        <v>657.51</v>
      </c>
      <c r="K360">
        <v>8108</v>
      </c>
      <c r="L360">
        <v>5.0199999999999996</v>
      </c>
      <c r="M360">
        <v>0.41</v>
      </c>
      <c r="N360">
        <v>28.82</v>
      </c>
    </row>
    <row r="361" spans="1:14">
      <c r="A361" s="28">
        <v>673</v>
      </c>
      <c r="B361" t="s">
        <v>2283</v>
      </c>
      <c r="C361" t="s">
        <v>348</v>
      </c>
      <c r="D361">
        <v>164.69</v>
      </c>
      <c r="E361">
        <v>284.02</v>
      </c>
      <c r="F361">
        <v>17.86</v>
      </c>
      <c r="G361" t="s">
        <v>2788</v>
      </c>
      <c r="H361">
        <v>-13.75</v>
      </c>
      <c r="I361">
        <v>-31.77</v>
      </c>
      <c r="J361">
        <v>-164.37</v>
      </c>
      <c r="K361">
        <v>434.48</v>
      </c>
      <c r="M361">
        <v>5.1100000000000003</v>
      </c>
    </row>
    <row r="362" spans="1:14">
      <c r="A362" s="28">
        <v>860</v>
      </c>
      <c r="B362" t="s">
        <v>1176</v>
      </c>
      <c r="C362" t="s">
        <v>347</v>
      </c>
      <c r="D362">
        <v>165.14</v>
      </c>
      <c r="E362">
        <v>291.7</v>
      </c>
      <c r="F362">
        <v>12.23</v>
      </c>
      <c r="G362">
        <v>11.38</v>
      </c>
      <c r="H362">
        <v>0.81</v>
      </c>
      <c r="I362">
        <v>2.13</v>
      </c>
      <c r="J362">
        <v>82.76</v>
      </c>
      <c r="K362">
        <v>3916.96</v>
      </c>
      <c r="L362">
        <v>37.94</v>
      </c>
      <c r="M362">
        <v>0.8</v>
      </c>
      <c r="N362">
        <v>16.059999999999999</v>
      </c>
    </row>
    <row r="363" spans="1:14">
      <c r="A363" s="28">
        <v>730</v>
      </c>
      <c r="B363" t="s">
        <v>2013</v>
      </c>
      <c r="C363" t="s">
        <v>348</v>
      </c>
      <c r="D363">
        <v>165.16</v>
      </c>
      <c r="E363">
        <v>817.43</v>
      </c>
      <c r="F363">
        <v>16</v>
      </c>
      <c r="G363" t="s">
        <v>2788</v>
      </c>
      <c r="H363">
        <v>-1.21</v>
      </c>
      <c r="I363">
        <v>-3.21</v>
      </c>
      <c r="J363">
        <v>-29.77</v>
      </c>
      <c r="K363">
        <v>917.43</v>
      </c>
      <c r="M363">
        <v>1.81</v>
      </c>
      <c r="N363">
        <v>35.14</v>
      </c>
    </row>
    <row r="364" spans="1:14">
      <c r="A364" s="28">
        <v>656</v>
      </c>
      <c r="B364" t="s">
        <v>584</v>
      </c>
      <c r="C364" t="s">
        <v>347</v>
      </c>
      <c r="D364">
        <v>165.83</v>
      </c>
      <c r="E364">
        <v>878.42</v>
      </c>
      <c r="F364">
        <v>18.62</v>
      </c>
      <c r="G364">
        <v>10.85</v>
      </c>
      <c r="H364">
        <v>4.7300000000000004</v>
      </c>
      <c r="I364">
        <v>13.05</v>
      </c>
      <c r="J364">
        <v>5322.53</v>
      </c>
      <c r="K364">
        <v>48921.22</v>
      </c>
      <c r="L364">
        <v>13.4</v>
      </c>
      <c r="M364">
        <v>1.46</v>
      </c>
      <c r="N364">
        <v>6.79</v>
      </c>
    </row>
    <row r="365" spans="1:14">
      <c r="A365" s="28">
        <v>513</v>
      </c>
      <c r="B365" t="s">
        <v>918</v>
      </c>
      <c r="C365" t="s">
        <v>347</v>
      </c>
      <c r="D365">
        <v>166.09</v>
      </c>
      <c r="E365">
        <v>870</v>
      </c>
      <c r="F365">
        <v>25.14</v>
      </c>
      <c r="G365">
        <v>332.27</v>
      </c>
      <c r="H365">
        <v>3.06</v>
      </c>
      <c r="I365">
        <v>8.89</v>
      </c>
      <c r="J365">
        <v>414.38</v>
      </c>
      <c r="K365">
        <v>5025.71</v>
      </c>
      <c r="L365">
        <v>4.1399999999999997</v>
      </c>
      <c r="M365">
        <v>0.34</v>
      </c>
      <c r="N365">
        <v>7.01</v>
      </c>
    </row>
    <row r="366" spans="1:14">
      <c r="A366" s="28">
        <v>714</v>
      </c>
      <c r="B366" t="s">
        <v>1740</v>
      </c>
      <c r="C366" t="s">
        <v>348</v>
      </c>
      <c r="D366">
        <v>166.76</v>
      </c>
      <c r="E366">
        <v>2523.66</v>
      </c>
      <c r="F366">
        <v>16.239999999999998</v>
      </c>
      <c r="G366">
        <v>-14.92</v>
      </c>
      <c r="H366">
        <v>5.74</v>
      </c>
      <c r="I366">
        <v>15.56</v>
      </c>
      <c r="J366">
        <v>1607.04</v>
      </c>
      <c r="K366">
        <v>13607.29</v>
      </c>
      <c r="L366">
        <v>11.14</v>
      </c>
      <c r="M366">
        <v>1.32</v>
      </c>
      <c r="N366">
        <v>6.09</v>
      </c>
    </row>
    <row r="367" spans="1:14">
      <c r="A367" s="28">
        <v>1024</v>
      </c>
      <c r="B367" t="s">
        <v>2815</v>
      </c>
      <c r="C367" t="s">
        <v>348</v>
      </c>
      <c r="D367">
        <v>167.28</v>
      </c>
      <c r="E367">
        <v>219.88</v>
      </c>
      <c r="F367">
        <v>8.61</v>
      </c>
      <c r="G367" t="s">
        <v>350</v>
      </c>
      <c r="H367">
        <v>0.62</v>
      </c>
      <c r="I367">
        <v>1.75</v>
      </c>
      <c r="J367">
        <v>28.74</v>
      </c>
      <c r="K367">
        <v>1599.42</v>
      </c>
      <c r="L367">
        <v>34.450000000000003</v>
      </c>
      <c r="M367">
        <v>0.62</v>
      </c>
      <c r="N367">
        <v>12.76</v>
      </c>
    </row>
    <row r="368" spans="1:14">
      <c r="A368" s="28">
        <v>655</v>
      </c>
      <c r="B368" t="s">
        <v>2804</v>
      </c>
      <c r="C368" t="s">
        <v>348</v>
      </c>
      <c r="D368">
        <v>167.84</v>
      </c>
      <c r="E368">
        <v>3606.04</v>
      </c>
      <c r="F368">
        <v>18.71</v>
      </c>
      <c r="G368">
        <v>170.22</v>
      </c>
      <c r="H368">
        <v>11.5</v>
      </c>
      <c r="I368">
        <v>35.93</v>
      </c>
      <c r="J368">
        <v>4218.74</v>
      </c>
      <c r="K368">
        <v>14407.99</v>
      </c>
      <c r="N368">
        <v>2.2200000000000002</v>
      </c>
    </row>
    <row r="369" spans="1:14">
      <c r="A369" s="28">
        <v>394</v>
      </c>
      <c r="B369" t="s">
        <v>1497</v>
      </c>
      <c r="C369" t="s">
        <v>348</v>
      </c>
      <c r="D369">
        <v>167.84</v>
      </c>
      <c r="E369">
        <v>346.03</v>
      </c>
      <c r="F369">
        <v>31.91</v>
      </c>
      <c r="G369" t="s">
        <v>350</v>
      </c>
      <c r="H369">
        <v>2.1</v>
      </c>
      <c r="I369">
        <v>5.0999999999999996</v>
      </c>
      <c r="J369">
        <v>107.93</v>
      </c>
      <c r="K369">
        <v>2230.13</v>
      </c>
      <c r="L369">
        <v>56.05</v>
      </c>
      <c r="M369">
        <v>2.71</v>
      </c>
      <c r="N369">
        <v>23.35</v>
      </c>
    </row>
    <row r="370" spans="1:14">
      <c r="A370" s="28">
        <v>972</v>
      </c>
      <c r="B370" t="s">
        <v>1000</v>
      </c>
      <c r="C370" t="s">
        <v>347</v>
      </c>
      <c r="D370">
        <v>167.95</v>
      </c>
      <c r="E370">
        <v>1511.56</v>
      </c>
      <c r="F370">
        <v>9.7100000000000009</v>
      </c>
      <c r="G370" t="s">
        <v>349</v>
      </c>
      <c r="H370">
        <v>-0.82</v>
      </c>
      <c r="I370">
        <v>-2.2400000000000002</v>
      </c>
      <c r="J370">
        <v>-178.83</v>
      </c>
      <c r="K370">
        <v>8057.79</v>
      </c>
      <c r="M370">
        <v>0.6</v>
      </c>
      <c r="N370">
        <v>11.07</v>
      </c>
    </row>
    <row r="371" spans="1:14">
      <c r="A371" s="28">
        <v>280</v>
      </c>
      <c r="B371" t="s">
        <v>1226</v>
      </c>
      <c r="C371" t="s">
        <v>348</v>
      </c>
      <c r="D371">
        <v>168.32</v>
      </c>
      <c r="E371">
        <v>2099.15</v>
      </c>
      <c r="F371">
        <v>43.09</v>
      </c>
      <c r="G371">
        <v>48.46</v>
      </c>
      <c r="H371">
        <v>0.85</v>
      </c>
      <c r="I371">
        <v>2.2999999999999998</v>
      </c>
      <c r="J371">
        <v>239.18</v>
      </c>
      <c r="K371">
        <v>10787.92</v>
      </c>
      <c r="L371">
        <v>29.56</v>
      </c>
      <c r="M371">
        <v>0.66</v>
      </c>
      <c r="N371">
        <v>32.47</v>
      </c>
    </row>
    <row r="372" spans="1:14">
      <c r="A372" s="28">
        <v>768</v>
      </c>
      <c r="B372" t="s">
        <v>845</v>
      </c>
      <c r="C372" t="s">
        <v>348</v>
      </c>
      <c r="D372">
        <v>168.79</v>
      </c>
      <c r="E372">
        <v>1113.24</v>
      </c>
      <c r="F372">
        <v>15.04</v>
      </c>
      <c r="G372">
        <v>-12.39</v>
      </c>
      <c r="H372">
        <v>1.32</v>
      </c>
      <c r="I372">
        <v>3.62</v>
      </c>
      <c r="J372">
        <v>177.66</v>
      </c>
      <c r="K372">
        <v>6066.2</v>
      </c>
      <c r="L372">
        <v>25.84</v>
      </c>
      <c r="M372">
        <v>0.76</v>
      </c>
      <c r="N372">
        <v>3.56</v>
      </c>
    </row>
    <row r="373" spans="1:14">
      <c r="A373" s="28">
        <v>86</v>
      </c>
      <c r="B373" t="s">
        <v>2805</v>
      </c>
      <c r="C373" t="s">
        <v>348</v>
      </c>
      <c r="D373">
        <v>1684.49</v>
      </c>
      <c r="F373">
        <v>125.98</v>
      </c>
      <c r="G373" t="s">
        <v>2788</v>
      </c>
      <c r="H373">
        <v>-12.05</v>
      </c>
      <c r="I373">
        <v>-104.99</v>
      </c>
      <c r="J373">
        <v>-533.02</v>
      </c>
      <c r="K373">
        <v>241.17</v>
      </c>
      <c r="M373">
        <v>93.3</v>
      </c>
    </row>
    <row r="374" spans="1:14">
      <c r="A374" s="28">
        <v>776</v>
      </c>
      <c r="B374" t="s">
        <v>1274</v>
      </c>
      <c r="C374" t="s">
        <v>348</v>
      </c>
      <c r="D374">
        <v>17.149999999999999</v>
      </c>
      <c r="E374">
        <v>7822.9</v>
      </c>
      <c r="F374">
        <v>14.79</v>
      </c>
      <c r="G374">
        <v>16.059999999999999</v>
      </c>
      <c r="H374">
        <v>14.52</v>
      </c>
      <c r="I374">
        <v>17.149999999999999</v>
      </c>
      <c r="J374">
        <v>6191.57</v>
      </c>
      <c r="K374">
        <v>39614.5</v>
      </c>
      <c r="L374">
        <v>10.76</v>
      </c>
      <c r="M374">
        <v>1.68</v>
      </c>
      <c r="N374">
        <v>9.2100000000000009</v>
      </c>
    </row>
    <row r="375" spans="1:14">
      <c r="A375" s="28">
        <v>271</v>
      </c>
      <c r="B375" t="s">
        <v>2427</v>
      </c>
      <c r="C375" t="s">
        <v>348</v>
      </c>
      <c r="D375">
        <v>17.149999999999999</v>
      </c>
      <c r="E375">
        <v>87.76</v>
      </c>
      <c r="F375">
        <v>44.2</v>
      </c>
      <c r="G375" t="s">
        <v>350</v>
      </c>
      <c r="H375">
        <v>6.5</v>
      </c>
      <c r="I375">
        <v>7.44</v>
      </c>
      <c r="J375">
        <v>66.95</v>
      </c>
      <c r="K375">
        <v>938.8</v>
      </c>
      <c r="L375">
        <v>6.23</v>
      </c>
      <c r="M375">
        <v>0.44</v>
      </c>
      <c r="N375">
        <v>21</v>
      </c>
    </row>
    <row r="376" spans="1:14">
      <c r="A376" s="28">
        <v>446</v>
      </c>
      <c r="B376" t="s">
        <v>1233</v>
      </c>
      <c r="C376" t="s">
        <v>347</v>
      </c>
      <c r="D376">
        <v>17.2</v>
      </c>
      <c r="E376">
        <v>10819.82</v>
      </c>
      <c r="F376">
        <v>28.56</v>
      </c>
      <c r="G376">
        <v>37.18</v>
      </c>
      <c r="H376">
        <v>3.83</v>
      </c>
      <c r="I376">
        <v>4.59</v>
      </c>
      <c r="J376">
        <v>25180.03</v>
      </c>
      <c r="K376">
        <v>545990.94999999995</v>
      </c>
      <c r="L376">
        <v>4.6500000000000004</v>
      </c>
      <c r="M376">
        <v>0.21</v>
      </c>
      <c r="N376">
        <v>21.11</v>
      </c>
    </row>
    <row r="377" spans="1:14">
      <c r="A377" s="28">
        <v>504</v>
      </c>
      <c r="B377" t="s">
        <v>111</v>
      </c>
      <c r="C377" t="s">
        <v>347</v>
      </c>
      <c r="D377">
        <v>17.25</v>
      </c>
      <c r="E377">
        <v>3648.12</v>
      </c>
      <c r="F377">
        <v>25.5</v>
      </c>
      <c r="G377">
        <v>140.01</v>
      </c>
      <c r="H377">
        <v>5.43</v>
      </c>
      <c r="I377">
        <v>6.5</v>
      </c>
      <c r="J377">
        <v>11466.63</v>
      </c>
      <c r="K377">
        <v>187406.05</v>
      </c>
      <c r="L377">
        <v>12.24</v>
      </c>
      <c r="M377">
        <v>0.75</v>
      </c>
      <c r="N377">
        <v>10.72</v>
      </c>
    </row>
    <row r="378" spans="1:14">
      <c r="A378" s="28">
        <v>818</v>
      </c>
      <c r="B378" t="s">
        <v>2806</v>
      </c>
      <c r="C378" t="s">
        <v>348</v>
      </c>
      <c r="D378">
        <v>17.27</v>
      </c>
      <c r="E378">
        <v>109.46</v>
      </c>
      <c r="F378">
        <v>13.63</v>
      </c>
      <c r="G378" t="s">
        <v>2788</v>
      </c>
      <c r="H378">
        <v>-33.840000000000003</v>
      </c>
      <c r="I378">
        <v>-38.29</v>
      </c>
      <c r="J378">
        <v>-494.31</v>
      </c>
      <c r="K378">
        <v>1047.28</v>
      </c>
      <c r="M378">
        <v>8.23</v>
      </c>
    </row>
    <row r="379" spans="1:14">
      <c r="A379" s="28">
        <v>1015</v>
      </c>
      <c r="B379" t="s">
        <v>1022</v>
      </c>
      <c r="C379" t="s">
        <v>348</v>
      </c>
      <c r="D379">
        <v>17.399999999999999</v>
      </c>
      <c r="E379">
        <v>840.16</v>
      </c>
      <c r="F379">
        <v>8.8800000000000008</v>
      </c>
      <c r="G379">
        <v>-16.02</v>
      </c>
      <c r="H379">
        <v>15.06</v>
      </c>
      <c r="I379">
        <v>18.309999999999999</v>
      </c>
      <c r="J379">
        <v>701.49</v>
      </c>
      <c r="K379">
        <v>4700.79</v>
      </c>
      <c r="N379">
        <v>0</v>
      </c>
    </row>
    <row r="380" spans="1:14">
      <c r="A380" s="28">
        <v>374</v>
      </c>
      <c r="B380" t="s">
        <v>1791</v>
      </c>
      <c r="C380" t="s">
        <v>347</v>
      </c>
      <c r="D380">
        <v>17.55</v>
      </c>
      <c r="E380">
        <v>148.05000000000001</v>
      </c>
      <c r="F380">
        <v>33.270000000000003</v>
      </c>
      <c r="G380" t="s">
        <v>2788</v>
      </c>
      <c r="H380">
        <v>-8.83</v>
      </c>
      <c r="I380">
        <v>-10.15</v>
      </c>
      <c r="J380">
        <v>-258.69</v>
      </c>
      <c r="K380">
        <v>2480.5100000000002</v>
      </c>
      <c r="M380">
        <v>2.88</v>
      </c>
    </row>
    <row r="381" spans="1:14">
      <c r="A381" s="28">
        <v>204</v>
      </c>
      <c r="B381" t="s">
        <v>328</v>
      </c>
      <c r="C381" t="s">
        <v>348</v>
      </c>
      <c r="D381">
        <v>17.8</v>
      </c>
      <c r="E381">
        <v>4172.3500000000004</v>
      </c>
      <c r="F381">
        <v>55.73</v>
      </c>
      <c r="G381">
        <v>88.36</v>
      </c>
      <c r="H381">
        <v>7.23</v>
      </c>
      <c r="I381">
        <v>8.6300000000000008</v>
      </c>
      <c r="J381">
        <v>1854.88</v>
      </c>
      <c r="K381">
        <v>21361.759999999998</v>
      </c>
      <c r="L381">
        <v>6.86</v>
      </c>
      <c r="M381">
        <v>0.6</v>
      </c>
      <c r="N381">
        <v>8.41</v>
      </c>
    </row>
    <row r="382" spans="1:14">
      <c r="A382" s="28">
        <v>548</v>
      </c>
      <c r="B382" t="s">
        <v>321</v>
      </c>
      <c r="C382" t="s">
        <v>348</v>
      </c>
      <c r="D382">
        <v>17.850000000000001</v>
      </c>
      <c r="E382">
        <v>952.39</v>
      </c>
      <c r="F382">
        <v>23.6</v>
      </c>
      <c r="G382">
        <v>53.9</v>
      </c>
      <c r="H382">
        <v>5.09</v>
      </c>
      <c r="I382">
        <v>5.99</v>
      </c>
      <c r="J382">
        <v>309.61</v>
      </c>
      <c r="K382">
        <v>5261.95</v>
      </c>
      <c r="L382">
        <v>13.34</v>
      </c>
      <c r="M382">
        <v>0.78</v>
      </c>
      <c r="N382">
        <v>15.68</v>
      </c>
    </row>
    <row r="383" spans="1:14">
      <c r="A383" s="28">
        <v>674</v>
      </c>
      <c r="B383" t="s">
        <v>365</v>
      </c>
      <c r="C383" t="s">
        <v>347</v>
      </c>
      <c r="D383">
        <v>17.86</v>
      </c>
      <c r="E383">
        <v>2817.6</v>
      </c>
      <c r="F383">
        <v>17.84</v>
      </c>
      <c r="G383">
        <v>-9.0500000000000007</v>
      </c>
      <c r="H383">
        <v>8.0500000000000007</v>
      </c>
      <c r="I383">
        <v>9.42</v>
      </c>
      <c r="J383">
        <v>1320.86</v>
      </c>
      <c r="K383">
        <v>14588</v>
      </c>
      <c r="L383">
        <v>5.28</v>
      </c>
      <c r="M383">
        <v>0.48</v>
      </c>
      <c r="N383">
        <v>3.95</v>
      </c>
    </row>
    <row r="384" spans="1:14">
      <c r="A384" s="28">
        <v>702</v>
      </c>
      <c r="B384" t="s">
        <v>1141</v>
      </c>
      <c r="C384" t="s">
        <v>348</v>
      </c>
      <c r="D384">
        <v>17.86</v>
      </c>
      <c r="E384">
        <v>656.21</v>
      </c>
      <c r="F384">
        <v>16.649999999999999</v>
      </c>
      <c r="G384" t="s">
        <v>349</v>
      </c>
      <c r="H384">
        <v>-11.38</v>
      </c>
      <c r="I384">
        <v>-13.57</v>
      </c>
      <c r="J384">
        <v>-540.80999999999995</v>
      </c>
      <c r="K384">
        <v>3781.06</v>
      </c>
      <c r="M384">
        <v>1.1200000000000001</v>
      </c>
      <c r="N384">
        <v>10.24</v>
      </c>
    </row>
    <row r="385" spans="1:14">
      <c r="A385" s="28">
        <v>790</v>
      </c>
      <c r="B385" t="s">
        <v>207</v>
      </c>
      <c r="C385" t="s">
        <v>347</v>
      </c>
      <c r="D385">
        <v>17.989999999999998</v>
      </c>
      <c r="E385">
        <v>28677.59</v>
      </c>
      <c r="F385">
        <v>14.45</v>
      </c>
      <c r="G385">
        <v>87.61</v>
      </c>
      <c r="H385">
        <v>15.82</v>
      </c>
      <c r="I385">
        <v>19.59</v>
      </c>
      <c r="J385">
        <v>5185.3</v>
      </c>
      <c r="K385">
        <v>28777.59</v>
      </c>
      <c r="L385">
        <v>5.67</v>
      </c>
      <c r="M385">
        <v>1.02</v>
      </c>
      <c r="N385">
        <v>3.83</v>
      </c>
    </row>
    <row r="386" spans="1:14">
      <c r="A386" s="28">
        <v>812</v>
      </c>
      <c r="B386" t="s">
        <v>1893</v>
      </c>
      <c r="C386" t="s">
        <v>348</v>
      </c>
      <c r="D386">
        <v>170.35</v>
      </c>
      <c r="E386">
        <v>785.45</v>
      </c>
      <c r="F386">
        <v>13.8</v>
      </c>
      <c r="G386" t="s">
        <v>2788</v>
      </c>
      <c r="H386">
        <v>-9.44</v>
      </c>
      <c r="I386">
        <v>-21.65</v>
      </c>
      <c r="J386">
        <v>-913.96</v>
      </c>
      <c r="K386">
        <v>4427.2700000000004</v>
      </c>
      <c r="M386">
        <v>4.3600000000000003</v>
      </c>
    </row>
    <row r="387" spans="1:14">
      <c r="A387" s="28">
        <v>189</v>
      </c>
      <c r="B387" t="s">
        <v>1499</v>
      </c>
      <c r="C387" t="s">
        <v>348</v>
      </c>
      <c r="D387">
        <v>173.42</v>
      </c>
      <c r="E387">
        <v>197.61</v>
      </c>
      <c r="F387">
        <v>58.53</v>
      </c>
      <c r="G387" t="s">
        <v>350</v>
      </c>
      <c r="H387">
        <v>9.44</v>
      </c>
      <c r="I387">
        <v>22.8</v>
      </c>
      <c r="J387">
        <v>310.82</v>
      </c>
      <c r="K387">
        <v>1488.07</v>
      </c>
      <c r="L387">
        <v>9.9700000000000006</v>
      </c>
      <c r="M387">
        <v>2.08</v>
      </c>
      <c r="N387">
        <v>23.56</v>
      </c>
    </row>
    <row r="388" spans="1:14">
      <c r="A388" s="28">
        <v>945</v>
      </c>
      <c r="B388" t="s">
        <v>429</v>
      </c>
      <c r="C388" t="s">
        <v>347</v>
      </c>
      <c r="D388">
        <v>173.65</v>
      </c>
      <c r="E388">
        <v>4614.21</v>
      </c>
      <c r="F388">
        <v>10.26</v>
      </c>
      <c r="G388">
        <v>136.91</v>
      </c>
      <c r="H388">
        <v>0.63</v>
      </c>
      <c r="I388">
        <v>1.73</v>
      </c>
      <c r="J388">
        <v>79.3</v>
      </c>
      <c r="K388">
        <v>4714.21</v>
      </c>
      <c r="L388">
        <v>91.93</v>
      </c>
      <c r="M388">
        <v>1.55</v>
      </c>
      <c r="N388">
        <v>29.64</v>
      </c>
    </row>
    <row r="389" spans="1:14">
      <c r="A389" s="28">
        <v>793</v>
      </c>
      <c r="B389" t="s">
        <v>1107</v>
      </c>
      <c r="C389" t="s">
        <v>348</v>
      </c>
      <c r="D389">
        <v>174.07</v>
      </c>
      <c r="E389">
        <v>897.01</v>
      </c>
      <c r="F389">
        <v>14.39</v>
      </c>
      <c r="G389">
        <v>-23</v>
      </c>
      <c r="H389">
        <v>2.4500000000000002</v>
      </c>
      <c r="I389">
        <v>6.58</v>
      </c>
      <c r="J389">
        <v>298.88</v>
      </c>
      <c r="K389">
        <v>4742.3599999999997</v>
      </c>
      <c r="L389">
        <v>8.52</v>
      </c>
      <c r="M389">
        <v>0.54</v>
      </c>
      <c r="N389">
        <v>3.83</v>
      </c>
    </row>
    <row r="390" spans="1:14">
      <c r="A390" s="28">
        <v>69</v>
      </c>
      <c r="B390" t="s">
        <v>1827</v>
      </c>
      <c r="C390" t="s">
        <v>347</v>
      </c>
      <c r="D390">
        <v>1744.08</v>
      </c>
      <c r="F390">
        <v>145.27000000000001</v>
      </c>
      <c r="G390" t="s">
        <v>2788</v>
      </c>
      <c r="H390">
        <v>-13.49</v>
      </c>
      <c r="I390">
        <v>-233.61</v>
      </c>
      <c r="J390">
        <v>-667.24</v>
      </c>
      <c r="K390">
        <v>299.94</v>
      </c>
      <c r="M390">
        <v>8.25</v>
      </c>
    </row>
    <row r="391" spans="1:14">
      <c r="A391" s="28">
        <v>163</v>
      </c>
      <c r="B391" t="s">
        <v>2270</v>
      </c>
      <c r="C391" t="s">
        <v>348</v>
      </c>
      <c r="D391">
        <v>177.2</v>
      </c>
      <c r="E391">
        <v>1268.49</v>
      </c>
      <c r="F391">
        <v>66.3</v>
      </c>
      <c r="G391" t="s">
        <v>350</v>
      </c>
      <c r="H391">
        <v>1.58</v>
      </c>
      <c r="I391">
        <v>4.5199999999999996</v>
      </c>
      <c r="J391">
        <v>301.67</v>
      </c>
      <c r="K391">
        <v>6842.44</v>
      </c>
      <c r="L391">
        <v>46.24</v>
      </c>
      <c r="M391">
        <v>2.04</v>
      </c>
      <c r="N391">
        <v>17.11</v>
      </c>
    </row>
    <row r="392" spans="1:14">
      <c r="A392" s="28">
        <v>620</v>
      </c>
      <c r="B392" t="s">
        <v>2807</v>
      </c>
      <c r="C392" t="s">
        <v>348</v>
      </c>
      <c r="D392">
        <v>178.45</v>
      </c>
      <c r="E392">
        <v>1392.19</v>
      </c>
      <c r="F392">
        <v>19.84</v>
      </c>
      <c r="G392">
        <v>-77.040000000000006</v>
      </c>
      <c r="H392">
        <v>6.16</v>
      </c>
      <c r="I392">
        <v>18.43</v>
      </c>
      <c r="J392">
        <v>1259.1099999999999</v>
      </c>
      <c r="K392">
        <v>7460.97</v>
      </c>
      <c r="L392">
        <v>1.58</v>
      </c>
      <c r="M392">
        <v>0.27</v>
      </c>
      <c r="N392">
        <v>5.41</v>
      </c>
    </row>
    <row r="393" spans="1:14">
      <c r="A393" s="28">
        <v>728</v>
      </c>
      <c r="B393" t="s">
        <v>2615</v>
      </c>
      <c r="C393" t="s">
        <v>348</v>
      </c>
      <c r="D393">
        <v>178.68</v>
      </c>
      <c r="E393">
        <v>66.5</v>
      </c>
      <c r="F393">
        <v>16.02</v>
      </c>
      <c r="G393" t="s">
        <v>350</v>
      </c>
      <c r="H393">
        <v>7.53</v>
      </c>
      <c r="I393">
        <v>27.62</v>
      </c>
      <c r="J393">
        <v>198.59</v>
      </c>
      <c r="K393">
        <v>832.51</v>
      </c>
      <c r="L393">
        <v>10.78</v>
      </c>
      <c r="M393">
        <v>2.57</v>
      </c>
      <c r="N393">
        <v>3.83</v>
      </c>
    </row>
    <row r="394" spans="1:14">
      <c r="A394" s="28">
        <v>397</v>
      </c>
      <c r="B394" t="s">
        <v>1780</v>
      </c>
      <c r="C394" t="s">
        <v>348</v>
      </c>
      <c r="D394">
        <v>179.76</v>
      </c>
      <c r="E394">
        <v>201.02</v>
      </c>
      <c r="F394">
        <v>31.8</v>
      </c>
      <c r="G394" t="s">
        <v>350</v>
      </c>
      <c r="H394">
        <v>7.36</v>
      </c>
      <c r="I394">
        <v>24.45</v>
      </c>
      <c r="J394">
        <v>318.33999999999997</v>
      </c>
      <c r="K394">
        <v>1505.08</v>
      </c>
      <c r="L394">
        <v>3.39</v>
      </c>
      <c r="M394">
        <v>0.72</v>
      </c>
      <c r="N394">
        <v>7.29</v>
      </c>
    </row>
    <row r="395" spans="1:14">
      <c r="A395" s="28">
        <v>1017</v>
      </c>
      <c r="B395" t="s">
        <v>848</v>
      </c>
      <c r="C395" t="s">
        <v>347</v>
      </c>
      <c r="D395">
        <v>179.9</v>
      </c>
      <c r="E395">
        <v>918.82</v>
      </c>
      <c r="F395">
        <v>8.8000000000000007</v>
      </c>
      <c r="G395">
        <v>-6.39</v>
      </c>
      <c r="H395">
        <v>7.43</v>
      </c>
      <c r="I395">
        <v>22.78</v>
      </c>
      <c r="J395">
        <v>1046.1400000000001</v>
      </c>
      <c r="K395">
        <v>5094.1000000000004</v>
      </c>
      <c r="L395">
        <v>3.37</v>
      </c>
      <c r="M395">
        <v>0.69</v>
      </c>
      <c r="N395">
        <v>4.95</v>
      </c>
    </row>
    <row r="396" spans="1:14">
      <c r="A396" s="28">
        <v>822</v>
      </c>
      <c r="B396" t="s">
        <v>2808</v>
      </c>
      <c r="C396" t="s">
        <v>348</v>
      </c>
      <c r="D396">
        <v>18.010000000000002</v>
      </c>
      <c r="E396">
        <v>56.25</v>
      </c>
      <c r="F396">
        <v>13.53</v>
      </c>
      <c r="G396">
        <v>1557.06</v>
      </c>
      <c r="H396">
        <v>8.84</v>
      </c>
      <c r="I396">
        <v>10.67</v>
      </c>
      <c r="J396">
        <v>395.89</v>
      </c>
      <c r="K396">
        <v>3906.18</v>
      </c>
      <c r="L396">
        <v>17.18</v>
      </c>
      <c r="M396">
        <v>1.74</v>
      </c>
      <c r="N396">
        <v>14.39</v>
      </c>
    </row>
    <row r="397" spans="1:14">
      <c r="A397" s="28">
        <v>719</v>
      </c>
      <c r="B397" t="s">
        <v>1003</v>
      </c>
      <c r="C397" t="s">
        <v>348</v>
      </c>
      <c r="D397">
        <v>18.12</v>
      </c>
      <c r="E397">
        <v>3274.65</v>
      </c>
      <c r="F397">
        <v>16.170000000000002</v>
      </c>
      <c r="G397">
        <v>82.81</v>
      </c>
      <c r="H397">
        <v>14.36</v>
      </c>
      <c r="I397">
        <v>16.77</v>
      </c>
      <c r="J397">
        <v>2629.39</v>
      </c>
      <c r="K397">
        <v>16873.259999999998</v>
      </c>
      <c r="L397">
        <v>12.93</v>
      </c>
      <c r="M397">
        <v>2.02</v>
      </c>
      <c r="N397">
        <v>12.97</v>
      </c>
    </row>
    <row r="398" spans="1:14">
      <c r="A398" s="28">
        <v>108</v>
      </c>
      <c r="B398" t="s">
        <v>2809</v>
      </c>
      <c r="C398" t="s">
        <v>348</v>
      </c>
      <c r="D398">
        <v>18.3</v>
      </c>
      <c r="E398">
        <v>3596.71</v>
      </c>
      <c r="F398">
        <v>103.37</v>
      </c>
      <c r="G398" t="s">
        <v>350</v>
      </c>
      <c r="H398">
        <v>2.44</v>
      </c>
      <c r="I398">
        <v>2.9</v>
      </c>
      <c r="J398">
        <v>518.66</v>
      </c>
      <c r="K398">
        <v>18483.53</v>
      </c>
      <c r="L398">
        <v>77.12</v>
      </c>
      <c r="M398">
        <v>2.16</v>
      </c>
      <c r="N398">
        <v>44.64</v>
      </c>
    </row>
    <row r="399" spans="1:14">
      <c r="A399" s="28">
        <v>1098</v>
      </c>
      <c r="B399" t="s">
        <v>2721</v>
      </c>
      <c r="C399" t="s">
        <v>347</v>
      </c>
      <c r="D399">
        <v>18.420000000000002</v>
      </c>
      <c r="F399">
        <v>7.09</v>
      </c>
      <c r="G399" t="s">
        <v>2788</v>
      </c>
      <c r="H399">
        <v>-41.41</v>
      </c>
      <c r="I399">
        <v>-63.67</v>
      </c>
      <c r="J399">
        <v>-415.17</v>
      </c>
      <c r="K399">
        <v>445.03</v>
      </c>
      <c r="M399">
        <v>0.71</v>
      </c>
    </row>
    <row r="400" spans="1:14">
      <c r="A400" s="28">
        <v>569</v>
      </c>
      <c r="B400" t="s">
        <v>212</v>
      </c>
      <c r="C400" t="s">
        <v>347</v>
      </c>
      <c r="D400">
        <v>18.43</v>
      </c>
      <c r="E400">
        <v>2789.78</v>
      </c>
      <c r="F400">
        <v>22.25</v>
      </c>
      <c r="G400">
        <v>109.99</v>
      </c>
      <c r="H400">
        <v>3.03</v>
      </c>
      <c r="I400">
        <v>3.49</v>
      </c>
      <c r="J400">
        <v>396.86</v>
      </c>
      <c r="K400">
        <v>14970.08</v>
      </c>
      <c r="L400">
        <v>22.05</v>
      </c>
      <c r="M400">
        <v>0.57999999999999996</v>
      </c>
      <c r="N400">
        <v>20.37</v>
      </c>
    </row>
    <row r="401" spans="1:14">
      <c r="A401" s="28">
        <v>487</v>
      </c>
      <c r="B401" t="s">
        <v>729</v>
      </c>
      <c r="C401" t="s">
        <v>347</v>
      </c>
      <c r="D401">
        <v>18.43</v>
      </c>
      <c r="E401">
        <v>1562.67</v>
      </c>
      <c r="F401">
        <v>26.21</v>
      </c>
      <c r="G401">
        <v>12.33</v>
      </c>
      <c r="H401">
        <v>3.28</v>
      </c>
      <c r="I401">
        <v>3.81</v>
      </c>
      <c r="J401">
        <v>3004.12</v>
      </c>
      <c r="K401">
        <v>83473.100000000006</v>
      </c>
      <c r="L401">
        <v>27.99</v>
      </c>
      <c r="M401">
        <v>1.01</v>
      </c>
      <c r="N401">
        <v>25.72</v>
      </c>
    </row>
    <row r="402" spans="1:14">
      <c r="A402" s="28">
        <v>290</v>
      </c>
      <c r="B402" t="s">
        <v>1077</v>
      </c>
      <c r="C402" t="s">
        <v>347</v>
      </c>
      <c r="D402">
        <v>18.45</v>
      </c>
      <c r="E402">
        <v>3267.69</v>
      </c>
      <c r="F402">
        <v>41.85</v>
      </c>
      <c r="G402">
        <v>14.01</v>
      </c>
      <c r="H402">
        <v>3.05</v>
      </c>
      <c r="I402">
        <v>3.59</v>
      </c>
      <c r="J402">
        <v>5965.64</v>
      </c>
      <c r="K402">
        <v>168384.45</v>
      </c>
      <c r="L402">
        <v>40.229999999999997</v>
      </c>
      <c r="M402">
        <v>1.43</v>
      </c>
      <c r="N402">
        <v>35.61</v>
      </c>
    </row>
    <row r="403" spans="1:14">
      <c r="A403" s="28">
        <v>94</v>
      </c>
      <c r="B403" t="s">
        <v>2450</v>
      </c>
      <c r="C403" t="s">
        <v>347</v>
      </c>
      <c r="D403">
        <v>18.47</v>
      </c>
      <c r="F403">
        <v>116.06</v>
      </c>
      <c r="G403" t="s">
        <v>2788</v>
      </c>
      <c r="H403">
        <v>-18.23</v>
      </c>
      <c r="I403">
        <v>-33.869999999999997</v>
      </c>
      <c r="J403">
        <v>-145.85</v>
      </c>
      <c r="K403">
        <v>438.22</v>
      </c>
      <c r="M403">
        <v>2.4300000000000002</v>
      </c>
    </row>
    <row r="404" spans="1:14">
      <c r="A404" s="28">
        <v>272</v>
      </c>
      <c r="B404" t="s">
        <v>2279</v>
      </c>
      <c r="C404" t="s">
        <v>348</v>
      </c>
      <c r="D404">
        <v>18.600000000000001</v>
      </c>
      <c r="E404">
        <v>601.85</v>
      </c>
      <c r="F404">
        <v>44.07</v>
      </c>
      <c r="G404" t="s">
        <v>2788</v>
      </c>
      <c r="H404">
        <v>-5.25</v>
      </c>
      <c r="I404">
        <v>-6.47</v>
      </c>
      <c r="J404">
        <v>-176.28</v>
      </c>
      <c r="K404">
        <v>2631.95</v>
      </c>
      <c r="M404">
        <v>1.69</v>
      </c>
    </row>
    <row r="405" spans="1:14">
      <c r="A405" s="28">
        <v>752</v>
      </c>
      <c r="B405" t="s">
        <v>1575</v>
      </c>
      <c r="C405" t="s">
        <v>348</v>
      </c>
      <c r="D405">
        <v>18.84</v>
      </c>
      <c r="E405">
        <v>2665.54</v>
      </c>
      <c r="F405">
        <v>15.43</v>
      </c>
      <c r="G405" t="s">
        <v>2788</v>
      </c>
      <c r="H405">
        <v>-25.42</v>
      </c>
      <c r="I405">
        <v>-38.29</v>
      </c>
      <c r="J405">
        <v>-683.1</v>
      </c>
      <c r="K405">
        <v>2756.58</v>
      </c>
      <c r="M405">
        <v>1.69</v>
      </c>
    </row>
    <row r="406" spans="1:14">
      <c r="A406" s="28">
        <v>42</v>
      </c>
      <c r="B406" t="s">
        <v>1980</v>
      </c>
      <c r="C406" t="s">
        <v>348</v>
      </c>
      <c r="D406">
        <v>18.89</v>
      </c>
      <c r="F406">
        <v>235.86</v>
      </c>
      <c r="G406" t="s">
        <v>2788</v>
      </c>
      <c r="H406">
        <v>-59.82</v>
      </c>
      <c r="I406">
        <v>-67.92</v>
      </c>
      <c r="J406">
        <v>-441.29</v>
      </c>
      <c r="K406">
        <v>427.45</v>
      </c>
      <c r="M406">
        <v>1.48</v>
      </c>
    </row>
    <row r="407" spans="1:14">
      <c r="A407" s="28">
        <v>572</v>
      </c>
      <c r="B407" t="s">
        <v>2660</v>
      </c>
      <c r="C407" t="s">
        <v>348</v>
      </c>
      <c r="D407">
        <v>180.71</v>
      </c>
      <c r="E407">
        <v>779.04</v>
      </c>
      <c r="F407">
        <v>22.1</v>
      </c>
      <c r="G407">
        <v>-67.13</v>
      </c>
      <c r="H407">
        <v>0.6</v>
      </c>
      <c r="I407">
        <v>1.66</v>
      </c>
      <c r="J407">
        <v>73.3</v>
      </c>
      <c r="K407">
        <v>4395.2</v>
      </c>
      <c r="L407">
        <v>105.18</v>
      </c>
      <c r="M407">
        <v>1.75</v>
      </c>
      <c r="N407">
        <v>19.760000000000002</v>
      </c>
    </row>
    <row r="408" spans="1:14">
      <c r="A408" s="28">
        <v>519</v>
      </c>
      <c r="B408" t="s">
        <v>1919</v>
      </c>
      <c r="C408" t="s">
        <v>348</v>
      </c>
      <c r="D408">
        <v>181</v>
      </c>
      <c r="E408">
        <v>537.74</v>
      </c>
      <c r="F408">
        <v>24.72</v>
      </c>
      <c r="G408" t="s">
        <v>2788</v>
      </c>
      <c r="H408">
        <v>-12.28</v>
      </c>
      <c r="I408">
        <v>-25.32</v>
      </c>
      <c r="J408">
        <v>-927.53</v>
      </c>
      <c r="K408">
        <v>3188.72</v>
      </c>
      <c r="M408">
        <v>8.15</v>
      </c>
    </row>
    <row r="409" spans="1:14">
      <c r="A409" s="28">
        <v>417</v>
      </c>
      <c r="B409" t="s">
        <v>1060</v>
      </c>
      <c r="C409" t="s">
        <v>348</v>
      </c>
      <c r="D409">
        <v>182.11</v>
      </c>
      <c r="E409">
        <v>1719.49</v>
      </c>
      <c r="F409">
        <v>30.47</v>
      </c>
      <c r="G409" t="s">
        <v>349</v>
      </c>
      <c r="H409">
        <v>-7.32</v>
      </c>
      <c r="I409">
        <v>-17.36</v>
      </c>
      <c r="J409">
        <v>-1896</v>
      </c>
      <c r="K409">
        <v>9097.44</v>
      </c>
      <c r="M409">
        <v>1.45</v>
      </c>
    </row>
    <row r="410" spans="1:14">
      <c r="A410" s="28">
        <v>719</v>
      </c>
      <c r="B410" t="s">
        <v>1340</v>
      </c>
      <c r="C410" t="s">
        <v>348</v>
      </c>
      <c r="D410">
        <v>182.81</v>
      </c>
      <c r="E410">
        <v>1837.29</v>
      </c>
      <c r="F410">
        <v>16.170000000000002</v>
      </c>
      <c r="G410">
        <v>-34.42</v>
      </c>
      <c r="H410">
        <v>1.1299999999999999</v>
      </c>
      <c r="I410">
        <v>3.43</v>
      </c>
      <c r="J410">
        <v>308.32</v>
      </c>
      <c r="K410">
        <v>9686.4699999999993</v>
      </c>
      <c r="L410">
        <v>36.909999999999997</v>
      </c>
      <c r="M410">
        <v>1.17</v>
      </c>
      <c r="N410">
        <v>12.03</v>
      </c>
    </row>
    <row r="411" spans="1:14">
      <c r="A411" s="28">
        <v>994</v>
      </c>
      <c r="B411" t="s">
        <v>2622</v>
      </c>
      <c r="C411" t="s">
        <v>347</v>
      </c>
      <c r="D411">
        <v>183.67</v>
      </c>
      <c r="E411">
        <v>1551.65</v>
      </c>
      <c r="F411">
        <v>9.32</v>
      </c>
      <c r="G411" t="s">
        <v>2788</v>
      </c>
      <c r="H411">
        <v>-0.33</v>
      </c>
      <c r="I411">
        <v>-0.91</v>
      </c>
      <c r="J411">
        <v>-72.150000000000006</v>
      </c>
      <c r="K411">
        <v>8258.23</v>
      </c>
      <c r="M411">
        <v>0.81</v>
      </c>
      <c r="N411">
        <v>15.55</v>
      </c>
    </row>
    <row r="412" spans="1:14">
      <c r="A412" s="28">
        <v>781</v>
      </c>
      <c r="B412" t="s">
        <v>1134</v>
      </c>
      <c r="C412" t="s">
        <v>348</v>
      </c>
      <c r="D412">
        <v>183.73</v>
      </c>
      <c r="E412">
        <v>1372.91</v>
      </c>
      <c r="F412">
        <v>14.63</v>
      </c>
      <c r="G412">
        <v>-62.74</v>
      </c>
      <c r="H412">
        <v>1.18</v>
      </c>
      <c r="I412">
        <v>3.42</v>
      </c>
      <c r="J412">
        <v>234.43</v>
      </c>
      <c r="K412">
        <v>7364.57</v>
      </c>
      <c r="L412">
        <v>21.33</v>
      </c>
      <c r="M412">
        <v>0.68</v>
      </c>
      <c r="N412">
        <v>11.56</v>
      </c>
    </row>
    <row r="413" spans="1:14">
      <c r="A413" s="28">
        <v>127</v>
      </c>
      <c r="B413" t="s">
        <v>2810</v>
      </c>
      <c r="C413" t="s">
        <v>348</v>
      </c>
      <c r="D413">
        <v>183.77</v>
      </c>
      <c r="E413">
        <v>242.33</v>
      </c>
      <c r="F413">
        <v>83.63</v>
      </c>
      <c r="G413" t="s">
        <v>350</v>
      </c>
      <c r="H413">
        <v>8</v>
      </c>
      <c r="I413">
        <v>33.65</v>
      </c>
      <c r="J413">
        <v>197.63</v>
      </c>
      <c r="K413">
        <v>855.83</v>
      </c>
      <c r="L413">
        <v>12.14</v>
      </c>
      <c r="M413">
        <v>2.8</v>
      </c>
      <c r="N413">
        <v>9.8000000000000007</v>
      </c>
    </row>
    <row r="414" spans="1:14">
      <c r="A414" s="28">
        <v>121</v>
      </c>
      <c r="B414" t="s">
        <v>1995</v>
      </c>
      <c r="C414" t="s">
        <v>347</v>
      </c>
      <c r="D414">
        <v>1837.34</v>
      </c>
      <c r="E414">
        <v>147.04</v>
      </c>
      <c r="F414">
        <v>87.66</v>
      </c>
      <c r="G414">
        <v>-64.81</v>
      </c>
      <c r="H414">
        <v>0.26</v>
      </c>
      <c r="I414">
        <v>3.9</v>
      </c>
      <c r="J414">
        <v>601.32000000000005</v>
      </c>
      <c r="K414">
        <v>12351.78</v>
      </c>
      <c r="L414">
        <v>8.08</v>
      </c>
      <c r="M414">
        <v>0.39</v>
      </c>
    </row>
    <row r="415" spans="1:14">
      <c r="A415" s="28">
        <v>1105</v>
      </c>
      <c r="B415" t="s">
        <v>980</v>
      </c>
      <c r="C415" t="s">
        <v>347</v>
      </c>
      <c r="D415">
        <v>184.34</v>
      </c>
      <c r="E415">
        <v>1123.1500000000001</v>
      </c>
      <c r="F415">
        <v>6.86</v>
      </c>
      <c r="G415">
        <v>-10.11</v>
      </c>
      <c r="H415">
        <v>2</v>
      </c>
      <c r="I415">
        <v>5.9</v>
      </c>
      <c r="J415">
        <v>341.51</v>
      </c>
      <c r="K415">
        <v>6115.76</v>
      </c>
      <c r="L415">
        <v>10.23</v>
      </c>
      <c r="M415">
        <v>0.56999999999999995</v>
      </c>
      <c r="N415">
        <v>5.86</v>
      </c>
    </row>
    <row r="416" spans="1:14">
      <c r="A416" s="28">
        <v>314</v>
      </c>
      <c r="B416" t="s">
        <v>1465</v>
      </c>
      <c r="C416" t="s">
        <v>348</v>
      </c>
      <c r="D416">
        <v>184.48</v>
      </c>
      <c r="E416">
        <v>346.65</v>
      </c>
      <c r="F416">
        <v>39.19</v>
      </c>
      <c r="G416" t="s">
        <v>350</v>
      </c>
      <c r="H416">
        <v>1.25</v>
      </c>
      <c r="I416">
        <v>3.68</v>
      </c>
      <c r="J416">
        <v>14.96</v>
      </c>
      <c r="K416">
        <v>419.15</v>
      </c>
      <c r="L416">
        <v>99.63</v>
      </c>
      <c r="M416">
        <v>3.56</v>
      </c>
      <c r="N416">
        <v>36.369999999999997</v>
      </c>
    </row>
    <row r="417" spans="1:14">
      <c r="A417" s="28">
        <v>260</v>
      </c>
      <c r="B417" t="s">
        <v>2860</v>
      </c>
      <c r="C417" t="s">
        <v>348</v>
      </c>
      <c r="D417">
        <v>185.48</v>
      </c>
      <c r="E417">
        <v>203.68</v>
      </c>
      <c r="F417">
        <v>45.28</v>
      </c>
      <c r="G417" t="s">
        <v>350</v>
      </c>
      <c r="H417">
        <v>5.31</v>
      </c>
      <c r="I417">
        <v>17.41</v>
      </c>
      <c r="J417">
        <v>243.99</v>
      </c>
      <c r="K417">
        <v>1518.42</v>
      </c>
      <c r="L417">
        <v>19.22</v>
      </c>
      <c r="M417">
        <v>3.09</v>
      </c>
      <c r="N417">
        <v>28.83</v>
      </c>
    </row>
    <row r="418" spans="1:14">
      <c r="A418" s="28">
        <v>723</v>
      </c>
      <c r="B418" t="s">
        <v>263</v>
      </c>
      <c r="C418" t="s">
        <v>348</v>
      </c>
      <c r="D418">
        <v>185.61</v>
      </c>
      <c r="E418">
        <v>1179</v>
      </c>
      <c r="F418">
        <v>16.149999999999999</v>
      </c>
      <c r="G418">
        <v>21.46</v>
      </c>
      <c r="H418">
        <v>5.22</v>
      </c>
      <c r="I418">
        <v>14.9</v>
      </c>
      <c r="J418">
        <v>844.44</v>
      </c>
      <c r="K418">
        <v>6394.99</v>
      </c>
      <c r="L418">
        <v>6.73</v>
      </c>
      <c r="M418">
        <v>0.89</v>
      </c>
      <c r="N418">
        <v>7.51</v>
      </c>
    </row>
    <row r="419" spans="1:14">
      <c r="A419" s="28">
        <v>521</v>
      </c>
      <c r="B419" t="s">
        <v>2811</v>
      </c>
      <c r="C419" t="s">
        <v>348</v>
      </c>
      <c r="D419">
        <v>186.02</v>
      </c>
      <c r="E419">
        <v>344.34</v>
      </c>
      <c r="F419">
        <v>24.62</v>
      </c>
      <c r="G419">
        <v>-17.37</v>
      </c>
      <c r="H419">
        <v>2</v>
      </c>
      <c r="I419">
        <v>5.93</v>
      </c>
      <c r="J419">
        <v>127.98</v>
      </c>
      <c r="K419">
        <v>2221.6999999999998</v>
      </c>
      <c r="L419">
        <v>9.1</v>
      </c>
      <c r="M419">
        <v>0.52</v>
      </c>
      <c r="N419">
        <v>7.74</v>
      </c>
    </row>
    <row r="420" spans="1:14">
      <c r="A420" s="28">
        <v>736</v>
      </c>
      <c r="B420" t="s">
        <v>2225</v>
      </c>
      <c r="C420" t="s">
        <v>348</v>
      </c>
      <c r="D420">
        <v>187.85</v>
      </c>
      <c r="E420">
        <v>780.31</v>
      </c>
      <c r="F420">
        <v>15.85</v>
      </c>
      <c r="G420" t="s">
        <v>2788</v>
      </c>
      <c r="H420">
        <v>-7.38</v>
      </c>
      <c r="I420">
        <v>-21.92</v>
      </c>
      <c r="J420">
        <v>-156.76</v>
      </c>
      <c r="K420">
        <v>880.31</v>
      </c>
      <c r="M420">
        <v>1.7</v>
      </c>
    </row>
    <row r="421" spans="1:14">
      <c r="A421" s="28">
        <v>662</v>
      </c>
      <c r="B421" t="s">
        <v>1481</v>
      </c>
      <c r="C421" t="s">
        <v>348</v>
      </c>
      <c r="D421">
        <v>188.42</v>
      </c>
      <c r="E421">
        <v>334.52</v>
      </c>
      <c r="F421">
        <v>18.440000000000001</v>
      </c>
      <c r="G421" t="s">
        <v>2788</v>
      </c>
      <c r="H421">
        <v>-8.86</v>
      </c>
      <c r="I421">
        <v>-34.76</v>
      </c>
      <c r="J421">
        <v>-581.76</v>
      </c>
      <c r="K421">
        <v>2172.62</v>
      </c>
    </row>
    <row r="422" spans="1:14">
      <c r="A422" s="28">
        <v>18</v>
      </c>
      <c r="B422" t="s">
        <v>87</v>
      </c>
      <c r="C422" t="s">
        <v>347</v>
      </c>
      <c r="D422">
        <v>189.52</v>
      </c>
      <c r="E422">
        <v>852.18</v>
      </c>
      <c r="F422">
        <v>598.4</v>
      </c>
      <c r="G422">
        <v>53.88</v>
      </c>
      <c r="H422">
        <v>5.03</v>
      </c>
      <c r="I422">
        <v>11.55</v>
      </c>
      <c r="J422">
        <v>846.49</v>
      </c>
      <c r="K422">
        <v>10098.84</v>
      </c>
      <c r="L422">
        <v>7.36</v>
      </c>
      <c r="M422">
        <v>0.62</v>
      </c>
      <c r="N422">
        <v>4.53</v>
      </c>
    </row>
    <row r="423" spans="1:14">
      <c r="A423" s="28">
        <v>629</v>
      </c>
      <c r="B423" t="s">
        <v>273</v>
      </c>
      <c r="C423" t="s">
        <v>348</v>
      </c>
      <c r="D423">
        <v>189.82</v>
      </c>
      <c r="E423">
        <v>1090.21</v>
      </c>
      <c r="F423">
        <v>19.600000000000001</v>
      </c>
      <c r="G423">
        <v>73.459999999999994</v>
      </c>
      <c r="H423">
        <v>6.93</v>
      </c>
      <c r="I423">
        <v>21.59</v>
      </c>
      <c r="J423">
        <v>1191.06</v>
      </c>
      <c r="K423">
        <v>5951.06</v>
      </c>
      <c r="L423">
        <v>4.53</v>
      </c>
      <c r="M423">
        <v>0.91</v>
      </c>
      <c r="N423">
        <v>3.97</v>
      </c>
    </row>
    <row r="424" spans="1:14">
      <c r="A424" s="28">
        <v>863</v>
      </c>
      <c r="B424" t="s">
        <v>283</v>
      </c>
      <c r="C424" t="s">
        <v>348</v>
      </c>
      <c r="D424">
        <v>19.05</v>
      </c>
      <c r="E424">
        <v>10085.16</v>
      </c>
      <c r="F424">
        <v>12.13</v>
      </c>
      <c r="G424">
        <v>34.590000000000003</v>
      </c>
      <c r="H424">
        <v>10.49</v>
      </c>
      <c r="I424">
        <v>12.76</v>
      </c>
      <c r="J424">
        <v>6149.85</v>
      </c>
      <c r="K424">
        <v>50925.82</v>
      </c>
      <c r="L424">
        <v>4.24</v>
      </c>
      <c r="M424">
        <v>0.51</v>
      </c>
      <c r="N424">
        <v>3.87</v>
      </c>
    </row>
    <row r="425" spans="1:14">
      <c r="A425" s="28">
        <v>563</v>
      </c>
      <c r="B425" t="s">
        <v>902</v>
      </c>
      <c r="C425" t="s">
        <v>348</v>
      </c>
      <c r="D425">
        <v>19.13</v>
      </c>
      <c r="E425">
        <v>3505.39</v>
      </c>
      <c r="F425">
        <v>22.56</v>
      </c>
      <c r="G425">
        <v>25.69</v>
      </c>
      <c r="H425">
        <v>9.52</v>
      </c>
      <c r="I425">
        <v>11.25</v>
      </c>
      <c r="J425">
        <v>1915.23</v>
      </c>
      <c r="K425">
        <v>18026.939999999999</v>
      </c>
      <c r="L425">
        <v>12.51</v>
      </c>
      <c r="M425">
        <v>1.33</v>
      </c>
      <c r="N425">
        <v>8.44</v>
      </c>
    </row>
    <row r="426" spans="1:14">
      <c r="A426" s="28">
        <v>48</v>
      </c>
      <c r="B426" t="s">
        <v>1424</v>
      </c>
      <c r="C426" t="s">
        <v>348</v>
      </c>
      <c r="D426">
        <v>19.170000000000002</v>
      </c>
      <c r="E426">
        <v>345.46</v>
      </c>
      <c r="F426">
        <v>196.85</v>
      </c>
      <c r="G426" t="s">
        <v>2788</v>
      </c>
      <c r="H426">
        <v>-31.22</v>
      </c>
      <c r="I426">
        <v>-43.73</v>
      </c>
      <c r="J426">
        <v>-971.28</v>
      </c>
      <c r="K426">
        <v>2225.4</v>
      </c>
      <c r="M426">
        <v>2.98</v>
      </c>
    </row>
    <row r="427" spans="1:14">
      <c r="A427" s="28">
        <v>796</v>
      </c>
      <c r="B427" t="s">
        <v>2481</v>
      </c>
      <c r="C427" t="s">
        <v>348</v>
      </c>
      <c r="D427">
        <v>19.32</v>
      </c>
      <c r="E427">
        <v>98.58</v>
      </c>
      <c r="F427">
        <v>14.33</v>
      </c>
      <c r="G427" t="s">
        <v>349</v>
      </c>
      <c r="H427">
        <v>-1.07</v>
      </c>
      <c r="I427">
        <v>-1.31</v>
      </c>
      <c r="J427">
        <v>-12.96</v>
      </c>
      <c r="K427">
        <v>992.91</v>
      </c>
      <c r="M427">
        <v>0.63</v>
      </c>
      <c r="N427">
        <v>17.239999999999998</v>
      </c>
    </row>
    <row r="428" spans="1:14">
      <c r="A428" s="28">
        <v>1087</v>
      </c>
      <c r="B428" t="s">
        <v>852</v>
      </c>
      <c r="C428" t="s">
        <v>347</v>
      </c>
      <c r="D428">
        <v>19.39</v>
      </c>
      <c r="E428">
        <v>330.54</v>
      </c>
      <c r="F428">
        <v>7.35</v>
      </c>
      <c r="G428">
        <v>291.56</v>
      </c>
      <c r="H428">
        <v>9.39</v>
      </c>
      <c r="I428">
        <v>11.51</v>
      </c>
      <c r="J428">
        <v>250.03</v>
      </c>
      <c r="K428">
        <v>2223.34</v>
      </c>
      <c r="L428">
        <v>10.5</v>
      </c>
      <c r="M428">
        <v>1.18</v>
      </c>
      <c r="N428">
        <v>8.35</v>
      </c>
    </row>
    <row r="429" spans="1:14">
      <c r="A429" s="28">
        <v>1055</v>
      </c>
      <c r="B429" t="s">
        <v>2569</v>
      </c>
      <c r="C429" t="s">
        <v>348</v>
      </c>
      <c r="D429">
        <v>19.489999999999998</v>
      </c>
      <c r="E429">
        <v>355.39</v>
      </c>
      <c r="F429">
        <v>7.97</v>
      </c>
      <c r="G429" t="s">
        <v>2788</v>
      </c>
      <c r="H429">
        <v>-19.54</v>
      </c>
      <c r="I429">
        <v>-22.86</v>
      </c>
      <c r="J429">
        <v>-587.55999999999995</v>
      </c>
      <c r="K429">
        <v>2276.94</v>
      </c>
      <c r="M429">
        <v>2.5499999999999998</v>
      </c>
    </row>
    <row r="430" spans="1:14">
      <c r="A430" s="28">
        <v>236</v>
      </c>
      <c r="B430" t="s">
        <v>182</v>
      </c>
      <c r="C430" t="s">
        <v>347</v>
      </c>
      <c r="D430">
        <v>19.52</v>
      </c>
      <c r="E430">
        <v>7128.3</v>
      </c>
      <c r="F430">
        <v>48.71</v>
      </c>
      <c r="G430">
        <v>49.64</v>
      </c>
      <c r="H430">
        <v>10.84</v>
      </c>
      <c r="I430">
        <v>13.85</v>
      </c>
      <c r="J430">
        <v>4608.62</v>
      </c>
      <c r="K430">
        <v>36141.5</v>
      </c>
      <c r="L430">
        <v>10.19</v>
      </c>
      <c r="M430">
        <v>1.3</v>
      </c>
      <c r="N430">
        <v>8.2799999999999994</v>
      </c>
    </row>
    <row r="431" spans="1:14">
      <c r="A431" s="28">
        <v>422</v>
      </c>
      <c r="B431" t="s">
        <v>2511</v>
      </c>
      <c r="C431" t="s">
        <v>348</v>
      </c>
      <c r="D431">
        <v>19.54</v>
      </c>
      <c r="E431">
        <v>1257.77</v>
      </c>
      <c r="F431">
        <v>30.24</v>
      </c>
      <c r="G431" t="s">
        <v>350</v>
      </c>
      <c r="H431">
        <v>4.47</v>
      </c>
      <c r="I431">
        <v>5.23</v>
      </c>
      <c r="J431">
        <v>339.81</v>
      </c>
      <c r="K431">
        <v>6788.87</v>
      </c>
      <c r="L431">
        <v>86.08</v>
      </c>
      <c r="M431">
        <v>4.3099999999999996</v>
      </c>
      <c r="N431">
        <v>51.93</v>
      </c>
    </row>
    <row r="432" spans="1:14">
      <c r="A432" s="28">
        <v>2</v>
      </c>
      <c r="B432" t="s">
        <v>2531</v>
      </c>
      <c r="C432" t="s">
        <v>348</v>
      </c>
      <c r="D432">
        <v>19.57</v>
      </c>
      <c r="E432">
        <v>858.48</v>
      </c>
      <c r="F432" t="s">
        <v>349</v>
      </c>
      <c r="G432" t="s">
        <v>349</v>
      </c>
      <c r="H432">
        <v>-46.85</v>
      </c>
      <c r="I432">
        <v>-58.06</v>
      </c>
      <c r="J432">
        <v>-3895.71</v>
      </c>
      <c r="K432">
        <v>4792.3900000000003</v>
      </c>
      <c r="M432">
        <v>0.78</v>
      </c>
    </row>
    <row r="433" spans="1:14">
      <c r="A433" s="28">
        <v>281</v>
      </c>
      <c r="B433" t="s">
        <v>2342</v>
      </c>
      <c r="C433" t="s">
        <v>348</v>
      </c>
      <c r="D433">
        <v>19.57</v>
      </c>
      <c r="E433">
        <v>27.59</v>
      </c>
      <c r="F433">
        <v>43.04</v>
      </c>
      <c r="G433" t="s">
        <v>350</v>
      </c>
      <c r="H433">
        <v>3.17</v>
      </c>
      <c r="I433">
        <v>3.88</v>
      </c>
      <c r="J433">
        <v>22.83</v>
      </c>
      <c r="K433">
        <v>637.96</v>
      </c>
      <c r="L433">
        <v>27.25</v>
      </c>
      <c r="M433">
        <v>0.97</v>
      </c>
      <c r="N433">
        <v>37.270000000000003</v>
      </c>
    </row>
    <row r="434" spans="1:14">
      <c r="A434" s="28">
        <v>192</v>
      </c>
      <c r="B434" t="s">
        <v>2812</v>
      </c>
      <c r="C434" t="s">
        <v>348</v>
      </c>
      <c r="D434">
        <v>19.59</v>
      </c>
      <c r="E434">
        <v>355.62</v>
      </c>
      <c r="F434">
        <v>58.2</v>
      </c>
      <c r="H434">
        <v>37.83</v>
      </c>
      <c r="I434">
        <v>46.8</v>
      </c>
      <c r="N434">
        <v>0</v>
      </c>
    </row>
    <row r="435" spans="1:14">
      <c r="A435" s="28">
        <v>166</v>
      </c>
      <c r="B435" t="s">
        <v>1360</v>
      </c>
      <c r="C435" t="s">
        <v>348</v>
      </c>
      <c r="D435">
        <v>19.649999999999999</v>
      </c>
      <c r="E435">
        <v>379.79</v>
      </c>
      <c r="F435">
        <v>65.42</v>
      </c>
      <c r="G435" t="s">
        <v>350</v>
      </c>
      <c r="H435">
        <v>8.6999999999999993</v>
      </c>
      <c r="I435">
        <v>9.89</v>
      </c>
      <c r="J435">
        <v>447.91</v>
      </c>
      <c r="K435">
        <v>4797.91</v>
      </c>
      <c r="L435">
        <v>24.4</v>
      </c>
      <c r="M435">
        <v>2.2799999999999998</v>
      </c>
      <c r="N435">
        <v>14.5</v>
      </c>
    </row>
    <row r="436" spans="1:14">
      <c r="A436" s="28">
        <v>605</v>
      </c>
      <c r="B436" t="s">
        <v>1040</v>
      </c>
      <c r="C436" t="s">
        <v>348</v>
      </c>
      <c r="D436">
        <v>19.73</v>
      </c>
      <c r="E436">
        <v>4266.01</v>
      </c>
      <c r="F436">
        <v>20.399999999999999</v>
      </c>
      <c r="G436">
        <v>20.58</v>
      </c>
      <c r="H436">
        <v>11.91</v>
      </c>
      <c r="I436">
        <v>14.24</v>
      </c>
      <c r="J436">
        <v>2924.69</v>
      </c>
      <c r="K436">
        <v>21830.05</v>
      </c>
      <c r="L436">
        <v>5.95</v>
      </c>
      <c r="M436">
        <v>0.8</v>
      </c>
      <c r="N436">
        <v>4.84</v>
      </c>
    </row>
    <row r="437" spans="1:14">
      <c r="A437" s="28">
        <v>358</v>
      </c>
      <c r="B437" t="s">
        <v>2181</v>
      </c>
      <c r="C437" t="s">
        <v>348</v>
      </c>
      <c r="D437">
        <v>19.8</v>
      </c>
      <c r="E437">
        <v>1535.08</v>
      </c>
      <c r="F437">
        <v>34.75</v>
      </c>
      <c r="G437" t="s">
        <v>2788</v>
      </c>
      <c r="H437">
        <v>-23.51</v>
      </c>
      <c r="I437">
        <v>-33.4</v>
      </c>
      <c r="J437">
        <v>-2781.57</v>
      </c>
      <c r="K437">
        <v>8175.4</v>
      </c>
      <c r="M437">
        <v>1.97</v>
      </c>
    </row>
    <row r="438" spans="1:14">
      <c r="A438" s="28">
        <v>1114</v>
      </c>
      <c r="B438" t="s">
        <v>1135</v>
      </c>
      <c r="C438" t="s">
        <v>348</v>
      </c>
      <c r="D438">
        <v>19.829999999999998</v>
      </c>
      <c r="E438">
        <v>1904.1</v>
      </c>
      <c r="F438">
        <v>6.54</v>
      </c>
      <c r="G438">
        <v>48.43</v>
      </c>
      <c r="H438">
        <v>5.12</v>
      </c>
      <c r="I438">
        <v>6.15</v>
      </c>
      <c r="J438">
        <v>602.72</v>
      </c>
      <c r="K438">
        <v>10333.1</v>
      </c>
      <c r="L438">
        <v>18.27</v>
      </c>
      <c r="M438">
        <v>1.07</v>
      </c>
      <c r="N438">
        <v>8.77</v>
      </c>
    </row>
    <row r="439" spans="1:14">
      <c r="A439" s="28">
        <v>2</v>
      </c>
      <c r="B439" t="s">
        <v>2073</v>
      </c>
      <c r="C439" t="s">
        <v>348</v>
      </c>
      <c r="D439">
        <v>19.899999999999999</v>
      </c>
      <c r="F439" t="s">
        <v>349</v>
      </c>
      <c r="G439" t="s">
        <v>2788</v>
      </c>
      <c r="H439">
        <v>-5.81</v>
      </c>
      <c r="I439">
        <v>-6.94</v>
      </c>
      <c r="J439">
        <v>-25.2</v>
      </c>
      <c r="K439">
        <v>355.24</v>
      </c>
      <c r="M439">
        <v>0.95</v>
      </c>
    </row>
    <row r="440" spans="1:14">
      <c r="A440" s="28">
        <v>637</v>
      </c>
      <c r="B440" t="s">
        <v>1553</v>
      </c>
      <c r="C440" t="s">
        <v>348</v>
      </c>
      <c r="D440">
        <v>19.940000000000001</v>
      </c>
      <c r="E440">
        <v>1039.53</v>
      </c>
      <c r="F440">
        <v>19.25</v>
      </c>
      <c r="G440">
        <v>-17.899999999999999</v>
      </c>
      <c r="H440">
        <v>7.29</v>
      </c>
      <c r="I440">
        <v>8.75</v>
      </c>
      <c r="J440">
        <v>479.44</v>
      </c>
      <c r="K440">
        <v>5697.66</v>
      </c>
      <c r="L440">
        <v>20.96</v>
      </c>
      <c r="M440">
        <v>1.76</v>
      </c>
      <c r="N440">
        <v>20.51</v>
      </c>
    </row>
    <row r="441" spans="1:14">
      <c r="A441" s="28">
        <v>415</v>
      </c>
      <c r="B441" t="s">
        <v>1693</v>
      </c>
      <c r="C441" t="s">
        <v>348</v>
      </c>
      <c r="D441">
        <v>190.01</v>
      </c>
      <c r="E441">
        <v>228.9</v>
      </c>
      <c r="F441">
        <v>30.5</v>
      </c>
      <c r="G441" t="s">
        <v>2788</v>
      </c>
      <c r="H441">
        <v>-6.18</v>
      </c>
      <c r="I441">
        <v>-16.84</v>
      </c>
      <c r="J441">
        <v>-286.33999999999997</v>
      </c>
      <c r="K441">
        <v>1644.48</v>
      </c>
      <c r="M441">
        <v>0.72</v>
      </c>
      <c r="N441">
        <v>51.84</v>
      </c>
    </row>
    <row r="442" spans="1:14">
      <c r="A442" s="28">
        <v>303</v>
      </c>
      <c r="B442" t="s">
        <v>1689</v>
      </c>
      <c r="C442" t="s">
        <v>347</v>
      </c>
      <c r="D442">
        <v>1907.45</v>
      </c>
      <c r="E442">
        <v>66.709999999999994</v>
      </c>
      <c r="F442">
        <v>40.61</v>
      </c>
      <c r="G442">
        <v>-13.69</v>
      </c>
      <c r="H442">
        <v>0.28000000000000003</v>
      </c>
      <c r="I442">
        <v>4.29</v>
      </c>
      <c r="J442">
        <v>407.98</v>
      </c>
      <c r="K442">
        <v>8335.44</v>
      </c>
      <c r="L442">
        <v>6.79</v>
      </c>
      <c r="M442">
        <v>0.33</v>
      </c>
    </row>
    <row r="443" spans="1:14">
      <c r="A443" s="28">
        <v>631</v>
      </c>
      <c r="B443" t="s">
        <v>1659</v>
      </c>
      <c r="C443" t="s">
        <v>347</v>
      </c>
      <c r="D443">
        <v>191.45</v>
      </c>
      <c r="E443">
        <v>2415.87</v>
      </c>
      <c r="F443">
        <v>19.559999999999999</v>
      </c>
      <c r="G443">
        <v>70.400000000000006</v>
      </c>
      <c r="H443">
        <v>2.4900000000000002</v>
      </c>
      <c r="I443">
        <v>7.58</v>
      </c>
      <c r="J443">
        <v>9215.9699999999993</v>
      </c>
      <c r="K443">
        <v>125793.26</v>
      </c>
      <c r="L443">
        <v>17.57</v>
      </c>
      <c r="M443">
        <v>1.29</v>
      </c>
      <c r="N443">
        <v>9.85</v>
      </c>
    </row>
    <row r="444" spans="1:14">
      <c r="A444" s="28">
        <v>49</v>
      </c>
      <c r="B444" t="s">
        <v>2813</v>
      </c>
      <c r="C444" t="s">
        <v>348</v>
      </c>
      <c r="D444">
        <v>191.87</v>
      </c>
      <c r="E444">
        <v>47.48</v>
      </c>
      <c r="F444">
        <v>195.16</v>
      </c>
      <c r="G444" t="s">
        <v>349</v>
      </c>
      <c r="H444">
        <v>-5.09</v>
      </c>
      <c r="I444">
        <v>-15.09</v>
      </c>
      <c r="J444">
        <v>-104.77</v>
      </c>
      <c r="K444">
        <v>757.86</v>
      </c>
      <c r="M444">
        <v>6.53</v>
      </c>
      <c r="N444">
        <v>17.88</v>
      </c>
    </row>
    <row r="445" spans="1:14">
      <c r="A445" s="28">
        <v>201</v>
      </c>
      <c r="B445" t="s">
        <v>2418</v>
      </c>
      <c r="C445" t="s">
        <v>347</v>
      </c>
      <c r="D445">
        <v>192.76</v>
      </c>
      <c r="E445">
        <v>83.98</v>
      </c>
      <c r="F445">
        <v>56.39</v>
      </c>
      <c r="G445" t="s">
        <v>2788</v>
      </c>
      <c r="H445">
        <v>-25.34</v>
      </c>
      <c r="I445">
        <v>-68.52</v>
      </c>
      <c r="J445">
        <v>-873.41</v>
      </c>
      <c r="K445">
        <v>919.89</v>
      </c>
      <c r="M445">
        <v>1.75</v>
      </c>
    </row>
    <row r="446" spans="1:14">
      <c r="A446" s="28">
        <v>140</v>
      </c>
      <c r="B446" t="s">
        <v>2814</v>
      </c>
      <c r="C446" t="s">
        <v>348</v>
      </c>
      <c r="D446">
        <v>193.28</v>
      </c>
      <c r="E446">
        <v>40.619999999999997</v>
      </c>
      <c r="F446">
        <v>76.39</v>
      </c>
      <c r="G446">
        <v>512.27</v>
      </c>
      <c r="H446">
        <v>15.49</v>
      </c>
      <c r="I446">
        <v>54.09</v>
      </c>
      <c r="J446">
        <v>299.33999999999997</v>
      </c>
      <c r="K446">
        <v>703.12</v>
      </c>
      <c r="N446">
        <v>0</v>
      </c>
    </row>
    <row r="447" spans="1:14">
      <c r="A447" s="28">
        <v>691</v>
      </c>
      <c r="B447" t="s">
        <v>1297</v>
      </c>
      <c r="C447" t="s">
        <v>348</v>
      </c>
      <c r="D447">
        <v>194.13</v>
      </c>
      <c r="E447">
        <v>484.92</v>
      </c>
      <c r="F447">
        <v>17.02</v>
      </c>
      <c r="G447" t="s">
        <v>350</v>
      </c>
      <c r="H447">
        <v>1.39</v>
      </c>
      <c r="I447">
        <v>4.0599999999999996</v>
      </c>
      <c r="J447">
        <v>116.16</v>
      </c>
      <c r="K447">
        <v>2924.59</v>
      </c>
      <c r="L447">
        <v>35.729999999999997</v>
      </c>
      <c r="M447">
        <v>1.42</v>
      </c>
      <c r="N447">
        <v>22.06</v>
      </c>
    </row>
    <row r="448" spans="1:14">
      <c r="A448" s="28">
        <v>840</v>
      </c>
      <c r="B448" t="s">
        <v>2250</v>
      </c>
      <c r="C448" t="s">
        <v>347</v>
      </c>
      <c r="D448">
        <v>197.32</v>
      </c>
      <c r="E448">
        <v>57.26</v>
      </c>
      <c r="F448">
        <v>12.93</v>
      </c>
      <c r="G448">
        <v>0.1</v>
      </c>
      <c r="H448">
        <v>2.67</v>
      </c>
      <c r="I448">
        <v>8.2799999999999994</v>
      </c>
      <c r="J448">
        <v>613.51</v>
      </c>
      <c r="K448">
        <v>7863.13</v>
      </c>
      <c r="L448">
        <v>6.76</v>
      </c>
      <c r="M448">
        <v>0.53</v>
      </c>
      <c r="N448">
        <v>6.73</v>
      </c>
    </row>
    <row r="449" spans="1:14">
      <c r="A449" s="28">
        <v>477</v>
      </c>
      <c r="B449" t="s">
        <v>849</v>
      </c>
      <c r="C449" t="s">
        <v>348</v>
      </c>
      <c r="D449">
        <v>197.64</v>
      </c>
      <c r="E449">
        <v>48.77</v>
      </c>
      <c r="F449">
        <v>26.54</v>
      </c>
      <c r="G449" t="s">
        <v>349</v>
      </c>
      <c r="H449">
        <v>-0.06</v>
      </c>
      <c r="I449">
        <v>-0.17</v>
      </c>
      <c r="J449">
        <v>-1.26</v>
      </c>
      <c r="K449">
        <v>743.85</v>
      </c>
      <c r="M449">
        <v>1.49</v>
      </c>
      <c r="N449">
        <v>7.47</v>
      </c>
    </row>
    <row r="450" spans="1:14">
      <c r="A450" s="28">
        <v>663</v>
      </c>
      <c r="B450" t="s">
        <v>1362</v>
      </c>
      <c r="C450" t="s">
        <v>347</v>
      </c>
      <c r="D450">
        <v>198.66</v>
      </c>
      <c r="E450">
        <v>6038.86</v>
      </c>
      <c r="F450">
        <v>18.37</v>
      </c>
      <c r="G450" t="s">
        <v>349</v>
      </c>
      <c r="H450">
        <v>-6.13</v>
      </c>
      <c r="I450">
        <v>-16.100000000000001</v>
      </c>
      <c r="J450">
        <v>-5319.26</v>
      </c>
      <c r="K450">
        <v>30694.31</v>
      </c>
      <c r="M450">
        <v>6.65</v>
      </c>
    </row>
    <row r="451" spans="1:14">
      <c r="A451" s="28">
        <v>30</v>
      </c>
      <c r="B451" t="s">
        <v>1639</v>
      </c>
      <c r="C451" t="s">
        <v>348</v>
      </c>
      <c r="D451">
        <v>2</v>
      </c>
      <c r="E451">
        <v>447.53</v>
      </c>
      <c r="F451">
        <v>328.23</v>
      </c>
      <c r="G451" t="s">
        <v>349</v>
      </c>
      <c r="H451">
        <v>-0.38</v>
      </c>
      <c r="I451">
        <v>-0.4</v>
      </c>
      <c r="J451">
        <v>-11.08</v>
      </c>
      <c r="K451">
        <v>2776.71</v>
      </c>
      <c r="M451">
        <v>1.59</v>
      </c>
      <c r="N451">
        <v>47.48</v>
      </c>
    </row>
    <row r="452" spans="1:14">
      <c r="A452" s="28">
        <v>229</v>
      </c>
      <c r="B452" t="s">
        <v>2214</v>
      </c>
      <c r="C452" t="s">
        <v>347</v>
      </c>
      <c r="D452">
        <v>2.12</v>
      </c>
      <c r="E452">
        <v>3161.16</v>
      </c>
      <c r="F452">
        <v>49.53</v>
      </c>
      <c r="G452">
        <v>-19.71</v>
      </c>
      <c r="H452">
        <v>2.6</v>
      </c>
      <c r="I452">
        <v>2.66</v>
      </c>
      <c r="J452">
        <v>4259.4799999999996</v>
      </c>
      <c r="K452">
        <v>163058.10999999999</v>
      </c>
      <c r="L452">
        <v>28.38</v>
      </c>
      <c r="M452">
        <v>0.74</v>
      </c>
      <c r="N452">
        <v>643.69000000000005</v>
      </c>
    </row>
    <row r="453" spans="1:14">
      <c r="A453" s="28">
        <v>586</v>
      </c>
      <c r="B453" t="s">
        <v>658</v>
      </c>
      <c r="C453" t="s">
        <v>347</v>
      </c>
      <c r="D453">
        <v>2.9</v>
      </c>
      <c r="E453">
        <v>1257.42</v>
      </c>
      <c r="F453">
        <v>21.55</v>
      </c>
      <c r="G453" t="s">
        <v>2788</v>
      </c>
      <c r="H453">
        <v>-0.63</v>
      </c>
      <c r="I453">
        <v>-0.65</v>
      </c>
      <c r="J453">
        <v>-44.48</v>
      </c>
      <c r="K453">
        <v>6787.1</v>
      </c>
      <c r="M453">
        <v>0.47</v>
      </c>
      <c r="N453">
        <v>207.77</v>
      </c>
    </row>
    <row r="454" spans="1:14">
      <c r="A454" s="28">
        <v>1031</v>
      </c>
      <c r="B454" t="s">
        <v>1302</v>
      </c>
      <c r="C454" t="s">
        <v>348</v>
      </c>
      <c r="D454">
        <v>2.91</v>
      </c>
      <c r="E454">
        <v>1919.4</v>
      </c>
      <c r="F454">
        <v>8.43</v>
      </c>
      <c r="G454" t="s">
        <v>350</v>
      </c>
      <c r="H454">
        <v>2.68</v>
      </c>
      <c r="I454">
        <v>2.75</v>
      </c>
      <c r="J454">
        <v>274.85000000000002</v>
      </c>
      <c r="K454">
        <v>10096.98</v>
      </c>
      <c r="L454">
        <v>44.57</v>
      </c>
      <c r="M454">
        <v>1.21</v>
      </c>
      <c r="N454">
        <v>25.64</v>
      </c>
    </row>
    <row r="455" spans="1:14">
      <c r="A455" s="28">
        <v>38</v>
      </c>
      <c r="B455" t="s">
        <v>2633</v>
      </c>
      <c r="C455" t="s">
        <v>348</v>
      </c>
      <c r="D455">
        <v>20.05</v>
      </c>
      <c r="E455">
        <v>160.53</v>
      </c>
      <c r="F455">
        <v>282.52999999999997</v>
      </c>
      <c r="G455" t="s">
        <v>2788</v>
      </c>
      <c r="H455">
        <v>-34.33</v>
      </c>
      <c r="I455">
        <v>-39.76</v>
      </c>
      <c r="J455">
        <v>-532.02</v>
      </c>
      <c r="K455">
        <v>1302.67</v>
      </c>
      <c r="M455">
        <v>5.45</v>
      </c>
    </row>
    <row r="456" spans="1:14">
      <c r="A456" s="28">
        <v>77</v>
      </c>
      <c r="B456" t="s">
        <v>2816</v>
      </c>
      <c r="C456" t="s">
        <v>348</v>
      </c>
      <c r="D456">
        <v>20.11</v>
      </c>
      <c r="E456">
        <v>2826243.28</v>
      </c>
      <c r="F456">
        <v>136.22</v>
      </c>
      <c r="G456" t="s">
        <v>2788</v>
      </c>
      <c r="H456">
        <v>-13</v>
      </c>
      <c r="I456">
        <v>-17.11</v>
      </c>
      <c r="J456">
        <v>-168.07</v>
      </c>
      <c r="K456">
        <v>1328.04</v>
      </c>
      <c r="M456">
        <v>6.69</v>
      </c>
    </row>
    <row r="457" spans="1:14">
      <c r="A457" s="28">
        <v>703</v>
      </c>
      <c r="B457" t="s">
        <v>2295</v>
      </c>
      <c r="C457" t="s">
        <v>348</v>
      </c>
      <c r="D457">
        <v>20.239999999999998</v>
      </c>
      <c r="F457">
        <v>16.59</v>
      </c>
      <c r="G457" t="s">
        <v>349</v>
      </c>
      <c r="H457">
        <v>-28.59</v>
      </c>
      <c r="I457">
        <v>-41.82</v>
      </c>
      <c r="J457">
        <v>-135.29</v>
      </c>
      <c r="K457">
        <v>315.22000000000003</v>
      </c>
      <c r="M457">
        <v>17.07</v>
      </c>
      <c r="N457">
        <v>679.14</v>
      </c>
    </row>
    <row r="458" spans="1:14">
      <c r="A458" s="28">
        <v>1074</v>
      </c>
      <c r="B458" t="s">
        <v>2738</v>
      </c>
      <c r="C458" t="s">
        <v>348</v>
      </c>
      <c r="D458">
        <v>20.3</v>
      </c>
      <c r="E458">
        <v>921.24</v>
      </c>
      <c r="F458">
        <v>7.58</v>
      </c>
      <c r="G458" t="s">
        <v>349</v>
      </c>
      <c r="H458">
        <v>-0.1</v>
      </c>
      <c r="I458">
        <v>-0.12</v>
      </c>
      <c r="J458">
        <v>-5.28</v>
      </c>
      <c r="K458">
        <v>5258.76</v>
      </c>
      <c r="M458">
        <v>2.2200000000000002</v>
      </c>
      <c r="N458">
        <v>23.4</v>
      </c>
    </row>
    <row r="459" spans="1:14">
      <c r="A459" s="28">
        <v>813</v>
      </c>
      <c r="B459" t="s">
        <v>2536</v>
      </c>
      <c r="C459" t="s">
        <v>347</v>
      </c>
      <c r="D459">
        <v>20.309999999999999</v>
      </c>
      <c r="E459">
        <v>11.14</v>
      </c>
      <c r="F459">
        <v>13.79</v>
      </c>
      <c r="G459" t="s">
        <v>2788</v>
      </c>
      <c r="H459">
        <v>-1.29</v>
      </c>
      <c r="I459">
        <v>-1.72</v>
      </c>
      <c r="J459">
        <v>-43.33</v>
      </c>
      <c r="K459">
        <v>2778.44</v>
      </c>
      <c r="M459">
        <v>1</v>
      </c>
      <c r="N459">
        <v>19.170000000000002</v>
      </c>
    </row>
    <row r="460" spans="1:14">
      <c r="A460" s="28">
        <v>852</v>
      </c>
      <c r="B460" t="s">
        <v>966</v>
      </c>
      <c r="C460" t="s">
        <v>347</v>
      </c>
      <c r="D460">
        <v>20.58</v>
      </c>
      <c r="E460">
        <v>5045.5600000000004</v>
      </c>
      <c r="F460">
        <v>12.55</v>
      </c>
      <c r="G460">
        <v>2.67</v>
      </c>
      <c r="H460">
        <v>3.19</v>
      </c>
      <c r="I460">
        <v>3.88</v>
      </c>
      <c r="J460">
        <v>1805.15</v>
      </c>
      <c r="K460">
        <v>47339.12</v>
      </c>
      <c r="L460">
        <v>10.8</v>
      </c>
      <c r="M460">
        <v>0.41</v>
      </c>
      <c r="N460">
        <v>9.56</v>
      </c>
    </row>
    <row r="461" spans="1:14">
      <c r="A461" s="28">
        <v>974</v>
      </c>
      <c r="B461" t="s">
        <v>623</v>
      </c>
      <c r="C461" t="s">
        <v>348</v>
      </c>
      <c r="D461">
        <v>20.58</v>
      </c>
      <c r="E461">
        <v>3941.84</v>
      </c>
      <c r="F461">
        <v>9.68</v>
      </c>
      <c r="G461">
        <v>1.52</v>
      </c>
      <c r="H461">
        <v>7.17</v>
      </c>
      <c r="I461">
        <v>8.9</v>
      </c>
      <c r="J461">
        <v>1730.13</v>
      </c>
      <c r="K461">
        <v>20209.21</v>
      </c>
      <c r="L461">
        <v>3.38</v>
      </c>
      <c r="M461">
        <v>0.28999999999999998</v>
      </c>
      <c r="N461">
        <v>2.06</v>
      </c>
    </row>
    <row r="462" spans="1:14">
      <c r="A462" s="28">
        <v>838</v>
      </c>
      <c r="B462" t="s">
        <v>695</v>
      </c>
      <c r="C462" t="s">
        <v>348</v>
      </c>
      <c r="D462">
        <v>20.76</v>
      </c>
      <c r="E462">
        <v>1172.1500000000001</v>
      </c>
      <c r="F462">
        <v>13.02</v>
      </c>
      <c r="G462">
        <v>10.71</v>
      </c>
      <c r="H462">
        <v>14.48</v>
      </c>
      <c r="I462">
        <v>17.829999999999998</v>
      </c>
      <c r="J462">
        <v>1001.93</v>
      </c>
      <c r="K462">
        <v>6360.76</v>
      </c>
      <c r="L462">
        <v>7.73</v>
      </c>
      <c r="M462">
        <v>1.22</v>
      </c>
      <c r="N462">
        <v>5.92</v>
      </c>
    </row>
    <row r="463" spans="1:14">
      <c r="A463" s="28">
        <v>658</v>
      </c>
      <c r="B463" t="s">
        <v>497</v>
      </c>
      <c r="C463" t="s">
        <v>347</v>
      </c>
      <c r="D463">
        <v>20.84</v>
      </c>
      <c r="E463">
        <v>653.66</v>
      </c>
      <c r="F463">
        <v>18.59</v>
      </c>
      <c r="G463" t="s">
        <v>349</v>
      </c>
      <c r="H463">
        <v>-2.2000000000000002</v>
      </c>
      <c r="I463">
        <v>-2.68</v>
      </c>
      <c r="J463">
        <v>-87.18</v>
      </c>
      <c r="K463">
        <v>3768.28</v>
      </c>
      <c r="M463">
        <v>0.27</v>
      </c>
      <c r="N463">
        <v>8.76</v>
      </c>
    </row>
    <row r="464" spans="1:14">
      <c r="A464" s="28">
        <v>941</v>
      </c>
      <c r="B464" t="s">
        <v>874</v>
      </c>
      <c r="C464" t="s">
        <v>347</v>
      </c>
      <c r="D464">
        <v>20.88</v>
      </c>
      <c r="E464">
        <v>1374.19</v>
      </c>
      <c r="F464">
        <v>10.32</v>
      </c>
      <c r="G464">
        <v>53.28</v>
      </c>
      <c r="H464">
        <v>5.98</v>
      </c>
      <c r="I464">
        <v>7.33</v>
      </c>
      <c r="J464">
        <v>517.15</v>
      </c>
      <c r="K464">
        <v>7370.95</v>
      </c>
      <c r="L464">
        <v>17.98</v>
      </c>
      <c r="M464">
        <v>1.26</v>
      </c>
      <c r="N464">
        <v>16.05</v>
      </c>
    </row>
    <row r="465" spans="1:14">
      <c r="A465" s="28">
        <v>464</v>
      </c>
      <c r="B465" t="s">
        <v>1721</v>
      </c>
      <c r="C465" t="s">
        <v>348</v>
      </c>
      <c r="D465">
        <v>201.73</v>
      </c>
      <c r="E465">
        <v>3057.87</v>
      </c>
      <c r="F465">
        <v>27.58</v>
      </c>
      <c r="G465" t="s">
        <v>2788</v>
      </c>
      <c r="H465">
        <v>-6.82</v>
      </c>
      <c r="I465">
        <v>-18.12</v>
      </c>
      <c r="J465">
        <v>-2977.37</v>
      </c>
      <c r="K465">
        <v>15789.33</v>
      </c>
      <c r="M465">
        <v>2.4500000000000002</v>
      </c>
      <c r="N465">
        <v>42.83</v>
      </c>
    </row>
    <row r="466" spans="1:14">
      <c r="A466" s="28">
        <v>448</v>
      </c>
      <c r="B466" t="s">
        <v>2817</v>
      </c>
      <c r="C466" t="s">
        <v>348</v>
      </c>
      <c r="D466">
        <v>201.82</v>
      </c>
      <c r="E466">
        <v>281.72000000000003</v>
      </c>
      <c r="F466">
        <v>28.32</v>
      </c>
      <c r="G466">
        <v>35.409999999999997</v>
      </c>
      <c r="H466">
        <v>4.51</v>
      </c>
      <c r="I466">
        <v>14</v>
      </c>
      <c r="J466">
        <v>246.06</v>
      </c>
      <c r="K466">
        <v>1908.62</v>
      </c>
      <c r="L466">
        <v>26.86</v>
      </c>
      <c r="M466">
        <v>3.46</v>
      </c>
      <c r="N466">
        <v>19.93</v>
      </c>
    </row>
    <row r="467" spans="1:14">
      <c r="A467" s="28">
        <v>1021</v>
      </c>
      <c r="B467" t="s">
        <v>136</v>
      </c>
      <c r="C467" t="s">
        <v>347</v>
      </c>
      <c r="D467">
        <v>202.09</v>
      </c>
      <c r="E467">
        <v>423.91</v>
      </c>
      <c r="F467">
        <v>8.67</v>
      </c>
      <c r="G467">
        <v>-48.49</v>
      </c>
      <c r="H467">
        <v>3.2</v>
      </c>
      <c r="I467">
        <v>9.6999999999999993</v>
      </c>
      <c r="J467">
        <v>2482.27</v>
      </c>
      <c r="K467">
        <v>26195.51</v>
      </c>
      <c r="L467">
        <v>9.6300000000000008</v>
      </c>
      <c r="M467">
        <v>0.91</v>
      </c>
      <c r="N467">
        <v>4.37</v>
      </c>
    </row>
    <row r="468" spans="1:14">
      <c r="A468" s="28">
        <v>1089</v>
      </c>
      <c r="B468" t="s">
        <v>545</v>
      </c>
      <c r="C468" t="s">
        <v>347</v>
      </c>
      <c r="D468">
        <v>202.41</v>
      </c>
      <c r="E468">
        <v>5888.84</v>
      </c>
      <c r="F468">
        <v>7.31</v>
      </c>
      <c r="G468">
        <v>-3.03</v>
      </c>
      <c r="H468">
        <v>6.18</v>
      </c>
      <c r="I468">
        <v>18.82</v>
      </c>
      <c r="J468">
        <v>10698.7</v>
      </c>
      <c r="K468">
        <v>59888.38</v>
      </c>
      <c r="L468">
        <v>12.27</v>
      </c>
      <c r="M468">
        <v>2.19</v>
      </c>
      <c r="N468">
        <v>3.7</v>
      </c>
    </row>
    <row r="469" spans="1:14">
      <c r="A469" s="28">
        <v>951</v>
      </c>
      <c r="B469" t="s">
        <v>1905</v>
      </c>
      <c r="C469" t="s">
        <v>348</v>
      </c>
      <c r="D469">
        <v>204.56</v>
      </c>
      <c r="E469">
        <v>12.56</v>
      </c>
      <c r="F469">
        <v>10.16</v>
      </c>
      <c r="G469" t="s">
        <v>349</v>
      </c>
      <c r="H469">
        <v>-5.58</v>
      </c>
      <c r="I469">
        <v>-17.100000000000001</v>
      </c>
      <c r="J469">
        <v>-101.21</v>
      </c>
      <c r="K469">
        <v>562.79</v>
      </c>
      <c r="M469">
        <v>1.7</v>
      </c>
    </row>
    <row r="470" spans="1:14">
      <c r="A470" s="28">
        <v>317</v>
      </c>
      <c r="B470" t="s">
        <v>2749</v>
      </c>
      <c r="C470" t="s">
        <v>348</v>
      </c>
      <c r="D470">
        <v>205.02</v>
      </c>
      <c r="E470">
        <v>547.95000000000005</v>
      </c>
      <c r="F470">
        <v>38.79</v>
      </c>
      <c r="G470" t="s">
        <v>2788</v>
      </c>
      <c r="H470">
        <v>-1.41</v>
      </c>
      <c r="I470">
        <v>-3.84</v>
      </c>
      <c r="J470">
        <v>-126.81</v>
      </c>
      <c r="K470">
        <v>3248.16</v>
      </c>
      <c r="M470">
        <v>3.59</v>
      </c>
      <c r="N470">
        <v>33.5</v>
      </c>
    </row>
    <row r="471" spans="1:14">
      <c r="A471" s="28">
        <v>454</v>
      </c>
      <c r="B471" t="s">
        <v>1836</v>
      </c>
      <c r="C471" t="s">
        <v>348</v>
      </c>
      <c r="D471">
        <v>205.92</v>
      </c>
      <c r="E471">
        <v>278.13</v>
      </c>
      <c r="F471">
        <v>27.87</v>
      </c>
      <c r="G471" t="s">
        <v>350</v>
      </c>
      <c r="H471">
        <v>1.34</v>
      </c>
      <c r="I471">
        <v>4.0999999999999996</v>
      </c>
      <c r="J471">
        <v>70.34</v>
      </c>
      <c r="K471">
        <v>1763.83</v>
      </c>
      <c r="L471">
        <v>85.3</v>
      </c>
      <c r="M471">
        <v>3.4</v>
      </c>
      <c r="N471">
        <v>32.229999999999997</v>
      </c>
    </row>
    <row r="472" spans="1:14">
      <c r="A472" s="28">
        <v>509</v>
      </c>
      <c r="B472" t="s">
        <v>1514</v>
      </c>
      <c r="C472" t="s">
        <v>348</v>
      </c>
      <c r="D472">
        <v>206.21</v>
      </c>
      <c r="E472">
        <v>64.31</v>
      </c>
      <c r="F472">
        <v>25.37</v>
      </c>
      <c r="G472" t="s">
        <v>2788</v>
      </c>
      <c r="H472">
        <v>-0.12</v>
      </c>
      <c r="I472">
        <v>-0.37</v>
      </c>
      <c r="J472">
        <v>-2.77</v>
      </c>
      <c r="K472">
        <v>821.57</v>
      </c>
      <c r="M472">
        <v>0.66</v>
      </c>
      <c r="N472">
        <v>11.88</v>
      </c>
    </row>
    <row r="473" spans="1:14">
      <c r="A473" s="28">
        <v>5</v>
      </c>
      <c r="B473" t="s">
        <v>1602</v>
      </c>
      <c r="C473" t="s">
        <v>348</v>
      </c>
      <c r="D473">
        <v>206.36</v>
      </c>
      <c r="E473">
        <v>226.64</v>
      </c>
      <c r="F473">
        <v>11015.87</v>
      </c>
      <c r="G473" t="s">
        <v>2788</v>
      </c>
      <c r="H473">
        <v>-6.38</v>
      </c>
      <c r="I473">
        <v>-16.54</v>
      </c>
      <c r="J473">
        <v>-294.23</v>
      </c>
      <c r="K473">
        <v>1633.22</v>
      </c>
      <c r="M473">
        <v>2.73</v>
      </c>
    </row>
    <row r="474" spans="1:14">
      <c r="A474" s="28">
        <v>886</v>
      </c>
      <c r="B474" t="s">
        <v>795</v>
      </c>
      <c r="C474" t="s">
        <v>348</v>
      </c>
      <c r="D474">
        <v>207.97</v>
      </c>
      <c r="E474">
        <v>1329.38</v>
      </c>
      <c r="F474">
        <v>11.49</v>
      </c>
      <c r="G474">
        <v>-17.489999999999998</v>
      </c>
      <c r="H474">
        <v>6.57</v>
      </c>
      <c r="I474">
        <v>18.77</v>
      </c>
      <c r="J474">
        <v>249.41</v>
      </c>
      <c r="K474">
        <v>1429.38</v>
      </c>
      <c r="L474">
        <v>16.14</v>
      </c>
      <c r="M474">
        <v>2.82</v>
      </c>
      <c r="N474">
        <v>10.67</v>
      </c>
    </row>
    <row r="475" spans="1:14">
      <c r="A475" s="28">
        <v>103</v>
      </c>
      <c r="B475" t="s">
        <v>509</v>
      </c>
      <c r="C475" t="s">
        <v>348</v>
      </c>
      <c r="D475">
        <v>21.15</v>
      </c>
      <c r="E475">
        <v>3240.93</v>
      </c>
      <c r="F475">
        <v>110.75</v>
      </c>
      <c r="G475" t="s">
        <v>349</v>
      </c>
      <c r="H475">
        <v>-12.11</v>
      </c>
      <c r="I475">
        <v>-15.71</v>
      </c>
      <c r="J475">
        <v>-2052.89</v>
      </c>
      <c r="K475">
        <v>16704.63</v>
      </c>
      <c r="M475">
        <v>1.07</v>
      </c>
      <c r="N475">
        <v>21.68</v>
      </c>
    </row>
    <row r="476" spans="1:14">
      <c r="A476" s="28">
        <v>110</v>
      </c>
      <c r="B476" t="s">
        <v>1219</v>
      </c>
      <c r="C476" t="s">
        <v>348</v>
      </c>
      <c r="D476">
        <v>21.27</v>
      </c>
      <c r="E476">
        <v>2005.24</v>
      </c>
      <c r="F476">
        <v>101.27</v>
      </c>
      <c r="G476">
        <v>133.52000000000001</v>
      </c>
      <c r="H476">
        <v>44.41</v>
      </c>
      <c r="I476">
        <v>52.85</v>
      </c>
      <c r="J476">
        <v>4450.57</v>
      </c>
      <c r="K476">
        <v>10526.18</v>
      </c>
      <c r="L476">
        <v>11.2</v>
      </c>
      <c r="M476">
        <v>4.74</v>
      </c>
      <c r="N476">
        <v>8.5</v>
      </c>
    </row>
    <row r="477" spans="1:14">
      <c r="A477" s="28">
        <v>359</v>
      </c>
      <c r="B477" t="s">
        <v>666</v>
      </c>
      <c r="C477" t="s">
        <v>348</v>
      </c>
      <c r="D477">
        <v>21.45</v>
      </c>
      <c r="E477">
        <v>2280.8000000000002</v>
      </c>
      <c r="F477">
        <v>34.659999999999997</v>
      </c>
      <c r="G477">
        <v>54.07</v>
      </c>
      <c r="H477">
        <v>8.59</v>
      </c>
      <c r="I477">
        <v>10.36</v>
      </c>
      <c r="J477">
        <v>1176.99</v>
      </c>
      <c r="K477">
        <v>11904.01</v>
      </c>
      <c r="L477">
        <v>7.46</v>
      </c>
      <c r="M477">
        <v>0.74</v>
      </c>
      <c r="N477">
        <v>5.01</v>
      </c>
    </row>
    <row r="478" spans="1:14">
      <c r="A478" s="28">
        <v>494</v>
      </c>
      <c r="B478" t="s">
        <v>221</v>
      </c>
      <c r="C478" t="s">
        <v>347</v>
      </c>
      <c r="D478">
        <v>21.45</v>
      </c>
      <c r="E478">
        <v>1313.58</v>
      </c>
      <c r="F478">
        <v>25.83</v>
      </c>
      <c r="G478">
        <v>6.11</v>
      </c>
      <c r="H478">
        <v>7.81</v>
      </c>
      <c r="I478">
        <v>9.41</v>
      </c>
      <c r="J478">
        <v>636.13</v>
      </c>
      <c r="K478">
        <v>7067.91</v>
      </c>
      <c r="L478">
        <v>4.97</v>
      </c>
      <c r="M478">
        <v>0.45</v>
      </c>
    </row>
    <row r="479" spans="1:14">
      <c r="A479" s="28">
        <v>988</v>
      </c>
      <c r="B479" t="s">
        <v>1671</v>
      </c>
      <c r="C479" t="s">
        <v>348</v>
      </c>
      <c r="D479">
        <v>21.47</v>
      </c>
      <c r="E479">
        <v>2506.3200000000002</v>
      </c>
      <c r="F479">
        <v>9.4</v>
      </c>
      <c r="G479">
        <v>293.62</v>
      </c>
      <c r="H479">
        <v>14.79</v>
      </c>
      <c r="I479">
        <v>18.09</v>
      </c>
      <c r="J479">
        <v>2147.6</v>
      </c>
      <c r="K479">
        <v>13715.19</v>
      </c>
      <c r="L479">
        <v>5.73</v>
      </c>
      <c r="M479">
        <v>0.9</v>
      </c>
      <c r="N479">
        <v>5.83</v>
      </c>
    </row>
    <row r="480" spans="1:14">
      <c r="A480" s="28">
        <v>351</v>
      </c>
      <c r="B480" t="s">
        <v>2466</v>
      </c>
      <c r="C480" t="s">
        <v>348</v>
      </c>
      <c r="D480">
        <v>21.66</v>
      </c>
      <c r="E480">
        <v>807.5</v>
      </c>
      <c r="F480">
        <v>35.47</v>
      </c>
      <c r="G480" t="s">
        <v>350</v>
      </c>
      <c r="H480">
        <v>5.64</v>
      </c>
      <c r="I480">
        <v>6.7</v>
      </c>
      <c r="J480">
        <v>72.81</v>
      </c>
      <c r="K480">
        <v>1134.3800000000001</v>
      </c>
      <c r="L480">
        <v>59.24</v>
      </c>
      <c r="M480">
        <v>3.8</v>
      </c>
      <c r="N480">
        <v>278.60000000000002</v>
      </c>
    </row>
    <row r="481" spans="1:14">
      <c r="A481" s="28">
        <v>104</v>
      </c>
      <c r="B481" t="s">
        <v>1727</v>
      </c>
      <c r="C481" t="s">
        <v>348</v>
      </c>
      <c r="D481">
        <v>21.84</v>
      </c>
      <c r="E481">
        <v>233.87</v>
      </c>
      <c r="F481">
        <v>109.61</v>
      </c>
      <c r="G481" t="s">
        <v>2788</v>
      </c>
      <c r="H481">
        <v>-17.62</v>
      </c>
      <c r="I481">
        <v>-21.4</v>
      </c>
      <c r="J481">
        <v>-361.03</v>
      </c>
      <c r="K481">
        <v>1669.34</v>
      </c>
      <c r="M481">
        <v>4.3899999999999997</v>
      </c>
    </row>
    <row r="482" spans="1:14">
      <c r="A482" s="28">
        <v>180</v>
      </c>
      <c r="B482" t="s">
        <v>372</v>
      </c>
      <c r="C482" t="s">
        <v>347</v>
      </c>
      <c r="D482">
        <v>21.86</v>
      </c>
      <c r="E482">
        <v>3252.19</v>
      </c>
      <c r="F482">
        <v>61.22</v>
      </c>
      <c r="G482" t="s">
        <v>350</v>
      </c>
      <c r="H482">
        <v>2.91</v>
      </c>
      <c r="I482">
        <v>3.48</v>
      </c>
      <c r="J482">
        <v>541.67999999999995</v>
      </c>
      <c r="K482">
        <v>16760.939999999999</v>
      </c>
      <c r="L482">
        <v>42.83</v>
      </c>
      <c r="M482">
        <v>1.38</v>
      </c>
      <c r="N482">
        <v>16.8</v>
      </c>
    </row>
    <row r="483" spans="1:14">
      <c r="A483" s="28">
        <v>957</v>
      </c>
      <c r="B483" t="s">
        <v>599</v>
      </c>
      <c r="C483" t="s">
        <v>348</v>
      </c>
      <c r="D483">
        <v>21.9</v>
      </c>
      <c r="E483">
        <v>2000.09</v>
      </c>
      <c r="F483">
        <v>9.94</v>
      </c>
      <c r="G483">
        <v>-64.84</v>
      </c>
      <c r="H483">
        <v>3.58</v>
      </c>
      <c r="I483">
        <v>4.3</v>
      </c>
      <c r="J483">
        <v>493.8</v>
      </c>
      <c r="K483">
        <v>11205.99</v>
      </c>
      <c r="L483">
        <v>42.43</v>
      </c>
      <c r="M483">
        <v>1.87</v>
      </c>
      <c r="N483">
        <v>23.47</v>
      </c>
    </row>
    <row r="484" spans="1:14">
      <c r="A484" s="28">
        <v>169</v>
      </c>
      <c r="B484" t="s">
        <v>1272</v>
      </c>
      <c r="C484" t="s">
        <v>348</v>
      </c>
      <c r="D484">
        <v>21.92</v>
      </c>
      <c r="E484">
        <v>2202.3200000000002</v>
      </c>
      <c r="F484">
        <v>64.5</v>
      </c>
      <c r="G484">
        <v>28.94</v>
      </c>
      <c r="H484">
        <v>6.77</v>
      </c>
      <c r="I484">
        <v>8.4</v>
      </c>
      <c r="J484">
        <v>931.61</v>
      </c>
      <c r="K484">
        <v>11511.61</v>
      </c>
      <c r="L484">
        <v>18.54</v>
      </c>
      <c r="M484">
        <v>1.5</v>
      </c>
      <c r="N484">
        <v>21.21</v>
      </c>
    </row>
    <row r="485" spans="1:14">
      <c r="A485" s="28">
        <v>430</v>
      </c>
      <c r="B485" t="s">
        <v>2818</v>
      </c>
      <c r="C485" t="s">
        <v>348</v>
      </c>
      <c r="D485">
        <v>210.61</v>
      </c>
      <c r="E485">
        <v>455.97</v>
      </c>
      <c r="F485">
        <v>29.58</v>
      </c>
      <c r="G485" t="s">
        <v>349</v>
      </c>
      <c r="H485">
        <v>-3.08</v>
      </c>
      <c r="I485">
        <v>-10.14</v>
      </c>
      <c r="J485">
        <v>-278.7</v>
      </c>
      <c r="K485">
        <v>2787.44</v>
      </c>
      <c r="M485">
        <v>1.49</v>
      </c>
      <c r="N485">
        <v>39.33</v>
      </c>
    </row>
    <row r="486" spans="1:14">
      <c r="A486" s="28">
        <v>266</v>
      </c>
      <c r="B486" t="s">
        <v>1194</v>
      </c>
      <c r="C486" t="s">
        <v>348</v>
      </c>
      <c r="D486">
        <v>210.69</v>
      </c>
      <c r="E486">
        <v>1250.05</v>
      </c>
      <c r="F486">
        <v>44.7</v>
      </c>
      <c r="G486">
        <v>17.899999999999999</v>
      </c>
      <c r="H486">
        <v>11.23</v>
      </c>
      <c r="I486">
        <v>28.34</v>
      </c>
      <c r="J486">
        <v>1458.98</v>
      </c>
      <c r="K486">
        <v>6750.23</v>
      </c>
      <c r="L486">
        <v>5.41</v>
      </c>
      <c r="M486">
        <v>1.17</v>
      </c>
      <c r="N486">
        <v>3.81</v>
      </c>
    </row>
    <row r="487" spans="1:14">
      <c r="A487" s="28">
        <v>986</v>
      </c>
      <c r="B487" t="s">
        <v>2183</v>
      </c>
      <c r="C487" t="s">
        <v>347</v>
      </c>
      <c r="D487">
        <v>212.15</v>
      </c>
      <c r="E487">
        <v>926.63</v>
      </c>
      <c r="F487">
        <v>9.44</v>
      </c>
      <c r="G487" t="s">
        <v>2788</v>
      </c>
      <c r="H487">
        <v>-7.55</v>
      </c>
      <c r="I487">
        <v>-24.91</v>
      </c>
      <c r="J487">
        <v>-1938.07</v>
      </c>
      <c r="K487">
        <v>5133.1400000000003</v>
      </c>
      <c r="M487">
        <v>1.1299999999999999</v>
      </c>
      <c r="N487">
        <v>10.1</v>
      </c>
    </row>
    <row r="488" spans="1:14">
      <c r="A488" s="28">
        <v>732</v>
      </c>
      <c r="B488" t="s">
        <v>2757</v>
      </c>
      <c r="C488" t="s">
        <v>347</v>
      </c>
      <c r="D488">
        <v>214.28</v>
      </c>
      <c r="E488">
        <v>1790.58</v>
      </c>
      <c r="F488">
        <v>15.93</v>
      </c>
      <c r="G488" t="s">
        <v>2788</v>
      </c>
      <c r="H488">
        <v>-6.43</v>
      </c>
      <c r="I488">
        <v>-18.36</v>
      </c>
      <c r="J488">
        <v>-1930.95</v>
      </c>
      <c r="K488">
        <v>9452.9</v>
      </c>
      <c r="M488">
        <v>1.3</v>
      </c>
      <c r="N488">
        <v>18.600000000000001</v>
      </c>
    </row>
    <row r="489" spans="1:14">
      <c r="A489" s="28">
        <v>506</v>
      </c>
      <c r="B489" t="s">
        <v>2819</v>
      </c>
      <c r="C489" t="s">
        <v>348</v>
      </c>
      <c r="D489">
        <v>215.2</v>
      </c>
      <c r="E489">
        <v>241.44</v>
      </c>
      <c r="F489">
        <v>25.41</v>
      </c>
      <c r="G489">
        <v>-18.64</v>
      </c>
      <c r="H489">
        <v>1.01</v>
      </c>
      <c r="I489">
        <v>3.19</v>
      </c>
      <c r="J489">
        <v>53.51</v>
      </c>
      <c r="K489">
        <v>1693.84</v>
      </c>
      <c r="L489">
        <v>50.46</v>
      </c>
      <c r="M489">
        <v>1.59</v>
      </c>
      <c r="N489">
        <v>9.4700000000000006</v>
      </c>
    </row>
    <row r="490" spans="1:14">
      <c r="A490" s="28">
        <v>205</v>
      </c>
      <c r="B490" t="s">
        <v>2417</v>
      </c>
      <c r="C490" t="s">
        <v>348</v>
      </c>
      <c r="D490">
        <v>2155.52</v>
      </c>
      <c r="E490">
        <v>14.23</v>
      </c>
      <c r="F490">
        <v>55.5</v>
      </c>
      <c r="G490">
        <v>48.24</v>
      </c>
      <c r="H490">
        <v>8.69</v>
      </c>
      <c r="I490">
        <v>1786.29</v>
      </c>
      <c r="J490">
        <v>200.71</v>
      </c>
      <c r="K490">
        <v>412.55</v>
      </c>
      <c r="N490">
        <v>0</v>
      </c>
    </row>
    <row r="491" spans="1:14">
      <c r="A491" s="28">
        <v>675</v>
      </c>
      <c r="B491" t="s">
        <v>1293</v>
      </c>
      <c r="C491" t="s">
        <v>348</v>
      </c>
      <c r="D491">
        <v>217.62</v>
      </c>
      <c r="E491">
        <v>376.1</v>
      </c>
      <c r="F491">
        <v>17.8</v>
      </c>
      <c r="G491" t="s">
        <v>350</v>
      </c>
      <c r="H491">
        <v>1.27</v>
      </c>
      <c r="I491">
        <v>4.08</v>
      </c>
      <c r="J491">
        <v>92.64</v>
      </c>
      <c r="K491">
        <v>2380.4899999999998</v>
      </c>
      <c r="L491">
        <v>13.17</v>
      </c>
      <c r="M491">
        <v>0.51</v>
      </c>
      <c r="N491">
        <v>4.8</v>
      </c>
    </row>
    <row r="492" spans="1:14">
      <c r="A492" s="28">
        <v>849</v>
      </c>
      <c r="B492" t="s">
        <v>1628</v>
      </c>
      <c r="C492" t="s">
        <v>347</v>
      </c>
      <c r="D492">
        <v>218.08</v>
      </c>
      <c r="E492">
        <v>196.87</v>
      </c>
      <c r="F492">
        <v>12.65</v>
      </c>
      <c r="G492">
        <v>-22.02</v>
      </c>
      <c r="H492">
        <v>3.39</v>
      </c>
      <c r="I492">
        <v>10.81</v>
      </c>
      <c r="J492">
        <v>1526.94</v>
      </c>
      <c r="K492">
        <v>14843.31</v>
      </c>
      <c r="L492">
        <v>17.420000000000002</v>
      </c>
      <c r="M492">
        <v>1.79</v>
      </c>
      <c r="N492">
        <v>11.92</v>
      </c>
    </row>
    <row r="493" spans="1:14">
      <c r="A493" s="28">
        <v>225</v>
      </c>
      <c r="B493" t="s">
        <v>2493</v>
      </c>
      <c r="C493" t="s">
        <v>348</v>
      </c>
      <c r="D493">
        <v>219.65</v>
      </c>
      <c r="E493">
        <v>389.67</v>
      </c>
      <c r="F493">
        <v>50.2</v>
      </c>
      <c r="G493" t="s">
        <v>2788</v>
      </c>
      <c r="H493">
        <v>-1.93</v>
      </c>
      <c r="I493">
        <v>-6.15</v>
      </c>
      <c r="J493">
        <v>-132.6</v>
      </c>
      <c r="K493">
        <v>2114.23</v>
      </c>
      <c r="M493">
        <v>1.41</v>
      </c>
      <c r="N493">
        <v>43.08</v>
      </c>
    </row>
    <row r="494" spans="1:14">
      <c r="A494" s="28">
        <v>381</v>
      </c>
      <c r="B494" t="s">
        <v>2820</v>
      </c>
      <c r="C494" t="s">
        <v>348</v>
      </c>
      <c r="D494">
        <v>219.89</v>
      </c>
      <c r="E494">
        <v>839.75</v>
      </c>
      <c r="F494">
        <v>32.6</v>
      </c>
      <c r="G494" t="s">
        <v>350</v>
      </c>
      <c r="H494">
        <v>1.47</v>
      </c>
      <c r="I494">
        <v>4.74</v>
      </c>
      <c r="J494">
        <v>212.6</v>
      </c>
      <c r="K494">
        <v>4698.7299999999996</v>
      </c>
      <c r="L494">
        <v>87.73</v>
      </c>
      <c r="M494">
        <v>3.97</v>
      </c>
      <c r="N494">
        <v>20.85</v>
      </c>
    </row>
    <row r="495" spans="1:14">
      <c r="A495" s="28">
        <v>51</v>
      </c>
      <c r="B495" t="s">
        <v>1367</v>
      </c>
      <c r="C495" t="s">
        <v>347</v>
      </c>
      <c r="D495">
        <v>22.14</v>
      </c>
      <c r="E495">
        <v>1414.24</v>
      </c>
      <c r="F495">
        <v>192.7</v>
      </c>
      <c r="G495">
        <v>-42.78</v>
      </c>
      <c r="H495">
        <v>6.78</v>
      </c>
      <c r="I495">
        <v>8.92</v>
      </c>
      <c r="J495">
        <v>3224.16</v>
      </c>
      <c r="K495">
        <v>37855.919999999998</v>
      </c>
      <c r="L495">
        <v>22.58</v>
      </c>
      <c r="M495">
        <v>1.92</v>
      </c>
      <c r="N495">
        <v>50.86</v>
      </c>
    </row>
    <row r="496" spans="1:14">
      <c r="A496" s="28">
        <v>958</v>
      </c>
      <c r="B496" t="s">
        <v>1062</v>
      </c>
      <c r="C496" t="s">
        <v>348</v>
      </c>
      <c r="D496">
        <v>22.15</v>
      </c>
      <c r="E496">
        <v>1773.25</v>
      </c>
      <c r="F496">
        <v>9.92</v>
      </c>
      <c r="G496" t="s">
        <v>350</v>
      </c>
      <c r="H496">
        <v>1.46</v>
      </c>
      <c r="I496">
        <v>1.78</v>
      </c>
      <c r="J496">
        <v>165.33</v>
      </c>
      <c r="K496">
        <v>9366.26</v>
      </c>
      <c r="L496">
        <v>28.61</v>
      </c>
      <c r="M496">
        <v>0.51</v>
      </c>
      <c r="N496">
        <v>12.58</v>
      </c>
    </row>
    <row r="497" spans="1:14">
      <c r="A497" s="28">
        <v>128</v>
      </c>
      <c r="B497" t="s">
        <v>300</v>
      </c>
      <c r="C497" t="s">
        <v>348</v>
      </c>
      <c r="D497">
        <v>22.18</v>
      </c>
      <c r="E497">
        <v>1488.45</v>
      </c>
      <c r="F497">
        <v>82.34</v>
      </c>
      <c r="G497">
        <v>80.8</v>
      </c>
      <c r="H497">
        <v>5.44</v>
      </c>
      <c r="I497">
        <v>6.79</v>
      </c>
      <c r="J497">
        <v>466.12</v>
      </c>
      <c r="K497">
        <v>7942.26</v>
      </c>
      <c r="L497">
        <v>8.1999999999999993</v>
      </c>
      <c r="M497">
        <v>0.48</v>
      </c>
      <c r="N497">
        <v>6.23</v>
      </c>
    </row>
    <row r="498" spans="1:14">
      <c r="A498" s="28">
        <v>618</v>
      </c>
      <c r="B498" t="s">
        <v>2238</v>
      </c>
      <c r="C498" t="s">
        <v>348</v>
      </c>
      <c r="D498">
        <v>22.32</v>
      </c>
      <c r="E498">
        <v>1080.04</v>
      </c>
      <c r="F498">
        <v>19.95</v>
      </c>
      <c r="G498" t="s">
        <v>2788</v>
      </c>
      <c r="H498">
        <v>-1.3</v>
      </c>
      <c r="I498">
        <v>-1.68</v>
      </c>
      <c r="J498">
        <v>-20.329999999999998</v>
      </c>
      <c r="K498">
        <v>1212.55</v>
      </c>
      <c r="M498">
        <v>0.47</v>
      </c>
      <c r="N498">
        <v>19.02</v>
      </c>
    </row>
    <row r="499" spans="1:14">
      <c r="A499" s="28">
        <v>147</v>
      </c>
      <c r="B499" t="s">
        <v>1605</v>
      </c>
      <c r="C499" t="s">
        <v>348</v>
      </c>
      <c r="D499">
        <v>22.54</v>
      </c>
      <c r="E499">
        <v>1095.07</v>
      </c>
      <c r="F499">
        <v>73.010000000000005</v>
      </c>
      <c r="G499">
        <v>260.73</v>
      </c>
      <c r="H499">
        <v>13.79</v>
      </c>
      <c r="I499">
        <v>17.2</v>
      </c>
      <c r="J499">
        <v>922.54</v>
      </c>
      <c r="K499">
        <v>5991.97</v>
      </c>
      <c r="L499">
        <v>36.200000000000003</v>
      </c>
      <c r="M499">
        <v>5.57</v>
      </c>
      <c r="N499">
        <v>33.18</v>
      </c>
    </row>
    <row r="500" spans="1:14">
      <c r="A500" s="28">
        <v>1005</v>
      </c>
      <c r="B500" t="s">
        <v>1015</v>
      </c>
      <c r="C500" t="s">
        <v>348</v>
      </c>
      <c r="D500">
        <v>22.54</v>
      </c>
      <c r="E500">
        <v>2099.23</v>
      </c>
      <c r="F500">
        <v>9.06</v>
      </c>
      <c r="G500">
        <v>318.77999999999997</v>
      </c>
      <c r="H500">
        <v>9.61</v>
      </c>
      <c r="I500">
        <v>11.7</v>
      </c>
      <c r="J500">
        <v>1221.6600000000001</v>
      </c>
      <c r="K500">
        <v>10996.13</v>
      </c>
      <c r="L500">
        <v>6.85</v>
      </c>
      <c r="M500">
        <v>0.76</v>
      </c>
      <c r="N500">
        <v>11.56</v>
      </c>
    </row>
    <row r="501" spans="1:14">
      <c r="A501" s="28">
        <v>365</v>
      </c>
      <c r="B501" t="s">
        <v>1269</v>
      </c>
      <c r="C501" t="s">
        <v>348</v>
      </c>
      <c r="D501">
        <v>22.6</v>
      </c>
      <c r="E501">
        <v>4267.68</v>
      </c>
      <c r="F501">
        <v>33.9</v>
      </c>
      <c r="G501">
        <v>20.11</v>
      </c>
      <c r="H501">
        <v>6.23</v>
      </c>
      <c r="I501">
        <v>7.38</v>
      </c>
      <c r="J501">
        <v>1563.63</v>
      </c>
      <c r="K501">
        <v>22213.47</v>
      </c>
      <c r="L501">
        <v>28.04</v>
      </c>
      <c r="M501">
        <v>1.97</v>
      </c>
      <c r="N501">
        <v>16.68</v>
      </c>
    </row>
    <row r="502" spans="1:14">
      <c r="A502" s="28">
        <v>917</v>
      </c>
      <c r="B502" t="s">
        <v>137</v>
      </c>
      <c r="C502" t="s">
        <v>347</v>
      </c>
      <c r="D502">
        <v>22.67</v>
      </c>
      <c r="E502">
        <v>801.84</v>
      </c>
      <c r="F502">
        <v>10.91</v>
      </c>
      <c r="G502">
        <v>32.159999999999997</v>
      </c>
      <c r="H502">
        <v>8.8000000000000007</v>
      </c>
      <c r="I502">
        <v>10.97</v>
      </c>
      <c r="J502">
        <v>574.29999999999995</v>
      </c>
      <c r="K502">
        <v>5479.64</v>
      </c>
      <c r="L502">
        <v>3.81</v>
      </c>
      <c r="M502">
        <v>0.4</v>
      </c>
      <c r="N502">
        <v>2.63</v>
      </c>
    </row>
    <row r="503" spans="1:14">
      <c r="A503" s="28">
        <v>486</v>
      </c>
      <c r="B503" t="s">
        <v>2309</v>
      </c>
      <c r="C503" t="s">
        <v>347</v>
      </c>
      <c r="D503">
        <v>223.16</v>
      </c>
      <c r="E503">
        <v>118.07</v>
      </c>
      <c r="F503">
        <v>26.25</v>
      </c>
      <c r="G503">
        <v>-10.83</v>
      </c>
      <c r="H503">
        <v>6.24</v>
      </c>
      <c r="I503">
        <v>19.850000000000001</v>
      </c>
      <c r="J503">
        <v>1966.89</v>
      </c>
      <c r="K503">
        <v>10903.57</v>
      </c>
      <c r="L503">
        <v>4.46</v>
      </c>
      <c r="M503">
        <v>0.81</v>
      </c>
      <c r="N503">
        <v>6.24</v>
      </c>
    </row>
    <row r="504" spans="1:14">
      <c r="A504" s="28">
        <v>457</v>
      </c>
      <c r="B504" t="s">
        <v>1501</v>
      </c>
      <c r="C504" t="s">
        <v>348</v>
      </c>
      <c r="D504">
        <v>224.11</v>
      </c>
      <c r="E504">
        <v>726.12</v>
      </c>
      <c r="F504">
        <v>27.73</v>
      </c>
      <c r="G504">
        <v>711.95</v>
      </c>
      <c r="H504">
        <v>7.47</v>
      </c>
      <c r="I504">
        <v>24.38</v>
      </c>
      <c r="J504">
        <v>895.84</v>
      </c>
      <c r="K504">
        <v>4130.59</v>
      </c>
      <c r="L504">
        <v>17.36</v>
      </c>
      <c r="M504">
        <v>3.76</v>
      </c>
      <c r="N504">
        <v>26.72</v>
      </c>
    </row>
    <row r="505" spans="1:14">
      <c r="A505" s="28">
        <v>729</v>
      </c>
      <c r="B505" t="s">
        <v>2540</v>
      </c>
      <c r="C505" t="s">
        <v>348</v>
      </c>
      <c r="D505">
        <v>226.49</v>
      </c>
      <c r="E505">
        <v>326.43</v>
      </c>
      <c r="F505">
        <v>16.010000000000002</v>
      </c>
      <c r="G505">
        <v>-33.11</v>
      </c>
      <c r="H505">
        <v>1</v>
      </c>
      <c r="I505">
        <v>3.38</v>
      </c>
      <c r="J505">
        <v>70.11</v>
      </c>
      <c r="K505">
        <v>2132.15</v>
      </c>
      <c r="L505">
        <v>39.01</v>
      </c>
      <c r="M505">
        <v>1.28</v>
      </c>
      <c r="N505">
        <v>12.16</v>
      </c>
    </row>
    <row r="506" spans="1:14">
      <c r="A506" s="28">
        <v>1040</v>
      </c>
      <c r="B506" t="s">
        <v>2358</v>
      </c>
      <c r="C506" t="s">
        <v>348</v>
      </c>
      <c r="D506">
        <v>227.97</v>
      </c>
      <c r="E506">
        <v>385.55</v>
      </c>
      <c r="F506">
        <v>8.23</v>
      </c>
      <c r="G506" t="s">
        <v>349</v>
      </c>
      <c r="H506">
        <v>-33.770000000000003</v>
      </c>
      <c r="I506">
        <v>-70.55</v>
      </c>
      <c r="J506">
        <v>-2432.1</v>
      </c>
      <c r="K506">
        <v>2427.7399999999998</v>
      </c>
      <c r="M506">
        <v>28.42</v>
      </c>
      <c r="N506">
        <v>106.8</v>
      </c>
    </row>
    <row r="507" spans="1:14">
      <c r="A507" s="28">
        <v>394</v>
      </c>
      <c r="B507" t="s">
        <v>2213</v>
      </c>
      <c r="C507" t="s">
        <v>347</v>
      </c>
      <c r="D507">
        <v>228.74</v>
      </c>
      <c r="E507">
        <v>1073.55</v>
      </c>
      <c r="F507">
        <v>31.91</v>
      </c>
      <c r="G507" t="s">
        <v>350</v>
      </c>
      <c r="H507">
        <v>0.13</v>
      </c>
      <c r="I507">
        <v>0.41</v>
      </c>
      <c r="J507">
        <v>240.27</v>
      </c>
      <c r="K507">
        <v>58677.51</v>
      </c>
      <c r="L507">
        <v>536.9</v>
      </c>
      <c r="M507">
        <v>2.2000000000000002</v>
      </c>
      <c r="N507">
        <v>29.26</v>
      </c>
    </row>
    <row r="508" spans="1:14">
      <c r="A508" s="28">
        <v>337</v>
      </c>
      <c r="B508" t="s">
        <v>1946</v>
      </c>
      <c r="C508" t="s">
        <v>348</v>
      </c>
      <c r="D508">
        <v>229.84</v>
      </c>
      <c r="E508">
        <v>465.55</v>
      </c>
      <c r="F508">
        <v>36.86</v>
      </c>
      <c r="G508" t="s">
        <v>350</v>
      </c>
      <c r="H508">
        <v>2.34</v>
      </c>
      <c r="I508">
        <v>7.61</v>
      </c>
      <c r="J508">
        <v>180.22</v>
      </c>
      <c r="K508">
        <v>2827.73</v>
      </c>
      <c r="L508">
        <v>45.11</v>
      </c>
      <c r="M508">
        <v>2.88</v>
      </c>
      <c r="N508">
        <v>13.46</v>
      </c>
    </row>
    <row r="509" spans="1:14">
      <c r="A509" s="28">
        <v>78</v>
      </c>
      <c r="B509" t="s">
        <v>1218</v>
      </c>
      <c r="C509" t="s">
        <v>348</v>
      </c>
      <c r="D509">
        <v>23.03</v>
      </c>
      <c r="E509">
        <v>967.2</v>
      </c>
      <c r="F509">
        <v>136.21</v>
      </c>
      <c r="G509">
        <v>-97.99</v>
      </c>
      <c r="H509">
        <v>7.0000000000000007E-2</v>
      </c>
      <c r="I509">
        <v>0.09</v>
      </c>
      <c r="J509">
        <v>4.2</v>
      </c>
      <c r="K509">
        <v>5336</v>
      </c>
      <c r="L509">
        <v>975.03</v>
      </c>
      <c r="M509">
        <v>0.77</v>
      </c>
    </row>
    <row r="510" spans="1:14">
      <c r="A510" s="28">
        <v>762</v>
      </c>
      <c r="B510" t="s">
        <v>236</v>
      </c>
      <c r="C510" t="s">
        <v>347</v>
      </c>
      <c r="D510">
        <v>23.22</v>
      </c>
      <c r="E510">
        <v>3057.83</v>
      </c>
      <c r="F510">
        <v>15.13</v>
      </c>
      <c r="G510">
        <v>29.03</v>
      </c>
      <c r="H510">
        <v>4.37</v>
      </c>
      <c r="I510">
        <v>5.35</v>
      </c>
      <c r="J510">
        <v>801.83</v>
      </c>
      <c r="K510">
        <v>15789.17</v>
      </c>
      <c r="L510">
        <v>5.53</v>
      </c>
      <c r="M510">
        <v>0.28000000000000003</v>
      </c>
      <c r="N510">
        <v>6.76</v>
      </c>
    </row>
    <row r="511" spans="1:14">
      <c r="A511" s="28">
        <v>979</v>
      </c>
      <c r="B511" t="s">
        <v>791</v>
      </c>
      <c r="C511" t="s">
        <v>347</v>
      </c>
      <c r="D511">
        <v>23.24</v>
      </c>
      <c r="E511">
        <v>1425.28</v>
      </c>
      <c r="F511">
        <v>9.56</v>
      </c>
      <c r="G511">
        <v>182.52</v>
      </c>
      <c r="H511">
        <v>9.77</v>
      </c>
      <c r="I511">
        <v>12.48</v>
      </c>
      <c r="J511">
        <v>1764.91</v>
      </c>
      <c r="K511">
        <v>15252.76</v>
      </c>
      <c r="L511">
        <v>10.55</v>
      </c>
      <c r="M511">
        <v>1.22</v>
      </c>
      <c r="N511">
        <v>6.39</v>
      </c>
    </row>
    <row r="512" spans="1:14">
      <c r="A512" s="28">
        <v>37</v>
      </c>
      <c r="B512" t="s">
        <v>1717</v>
      </c>
      <c r="C512" t="s">
        <v>348</v>
      </c>
      <c r="D512">
        <v>23.37</v>
      </c>
      <c r="E512">
        <v>46.66</v>
      </c>
      <c r="F512">
        <v>285.89</v>
      </c>
      <c r="G512" t="s">
        <v>2788</v>
      </c>
      <c r="H512">
        <v>-9.0299999999999994</v>
      </c>
      <c r="I512">
        <v>-11.81</v>
      </c>
      <c r="J512">
        <v>-84.03</v>
      </c>
      <c r="K512">
        <v>733.31</v>
      </c>
      <c r="M512">
        <v>0.82</v>
      </c>
      <c r="N512">
        <v>51.36</v>
      </c>
    </row>
    <row r="513" spans="1:14">
      <c r="A513" s="28">
        <v>1073</v>
      </c>
      <c r="B513" t="s">
        <v>200</v>
      </c>
      <c r="C513" t="s">
        <v>347</v>
      </c>
      <c r="D513">
        <v>23.38</v>
      </c>
      <c r="E513">
        <v>1578.04</v>
      </c>
      <c r="F513">
        <v>7.63</v>
      </c>
      <c r="G513">
        <v>26</v>
      </c>
      <c r="H513">
        <v>3.47</v>
      </c>
      <c r="I513">
        <v>4.47</v>
      </c>
      <c r="J513">
        <v>368.74</v>
      </c>
      <c r="K513">
        <v>8390.18</v>
      </c>
      <c r="L513">
        <v>7.15</v>
      </c>
      <c r="M513">
        <v>0.31</v>
      </c>
      <c r="N513">
        <v>4.87</v>
      </c>
    </row>
    <row r="514" spans="1:14">
      <c r="A514" s="28">
        <v>156</v>
      </c>
      <c r="B514" t="s">
        <v>2053</v>
      </c>
      <c r="C514" t="s">
        <v>348</v>
      </c>
      <c r="D514">
        <v>23.54</v>
      </c>
      <c r="E514">
        <v>400.36</v>
      </c>
      <c r="F514">
        <v>68.5</v>
      </c>
      <c r="G514">
        <v>-41.94</v>
      </c>
      <c r="H514">
        <v>7.16</v>
      </c>
      <c r="I514">
        <v>9.1199999999999992</v>
      </c>
      <c r="J514">
        <v>33.43</v>
      </c>
      <c r="K514">
        <v>500.36</v>
      </c>
      <c r="L514">
        <v>32.01</v>
      </c>
      <c r="M514">
        <v>2.14</v>
      </c>
      <c r="N514">
        <v>14.63</v>
      </c>
    </row>
    <row r="515" spans="1:14">
      <c r="A515" s="28">
        <v>672</v>
      </c>
      <c r="B515" t="s">
        <v>319</v>
      </c>
      <c r="C515" t="s">
        <v>348</v>
      </c>
      <c r="D515">
        <v>23.63</v>
      </c>
      <c r="E515">
        <v>1400.77</v>
      </c>
      <c r="F515">
        <v>17.89</v>
      </c>
      <c r="G515">
        <v>32.840000000000003</v>
      </c>
      <c r="H515">
        <v>6.17</v>
      </c>
      <c r="I515">
        <v>7.78</v>
      </c>
      <c r="J515">
        <v>560.39</v>
      </c>
      <c r="K515">
        <v>7503.87</v>
      </c>
      <c r="L515">
        <v>7.23</v>
      </c>
      <c r="M515">
        <v>0.54</v>
      </c>
      <c r="N515">
        <v>4.9400000000000004</v>
      </c>
    </row>
    <row r="516" spans="1:14">
      <c r="A516" s="28">
        <v>903</v>
      </c>
      <c r="B516" t="s">
        <v>2715</v>
      </c>
      <c r="C516" t="s">
        <v>348</v>
      </c>
      <c r="D516">
        <v>23.66</v>
      </c>
      <c r="E516">
        <v>2064.11</v>
      </c>
      <c r="F516">
        <v>11.14</v>
      </c>
      <c r="G516">
        <v>-7.74</v>
      </c>
      <c r="H516">
        <v>9.7100000000000009</v>
      </c>
      <c r="I516">
        <v>13.64</v>
      </c>
      <c r="J516">
        <v>1223.8399999999999</v>
      </c>
      <c r="K516">
        <v>10820.53</v>
      </c>
      <c r="L516">
        <v>19.809999999999999</v>
      </c>
      <c r="M516">
        <v>2.2400000000000002</v>
      </c>
      <c r="N516">
        <v>79.5</v>
      </c>
    </row>
    <row r="517" spans="1:14">
      <c r="A517" s="28">
        <v>1032</v>
      </c>
      <c r="B517" t="s">
        <v>1065</v>
      </c>
      <c r="C517" t="s">
        <v>348</v>
      </c>
      <c r="D517">
        <v>23.78</v>
      </c>
      <c r="E517">
        <v>3304.5</v>
      </c>
      <c r="F517">
        <v>8.39</v>
      </c>
      <c r="G517">
        <v>64.06</v>
      </c>
      <c r="H517">
        <v>11.04</v>
      </c>
      <c r="I517">
        <v>13.84</v>
      </c>
      <c r="J517">
        <v>1974.87</v>
      </c>
      <c r="K517">
        <v>17022.52</v>
      </c>
      <c r="L517">
        <v>13.42</v>
      </c>
      <c r="M517">
        <v>1.56</v>
      </c>
      <c r="N517">
        <v>10.53</v>
      </c>
    </row>
    <row r="518" spans="1:14">
      <c r="A518" s="28">
        <v>219</v>
      </c>
      <c r="B518" t="s">
        <v>1938</v>
      </c>
      <c r="C518" t="s">
        <v>348</v>
      </c>
      <c r="D518">
        <v>23.84</v>
      </c>
      <c r="E518">
        <v>630.09</v>
      </c>
      <c r="F518">
        <v>51.8</v>
      </c>
      <c r="G518" t="s">
        <v>350</v>
      </c>
      <c r="H518">
        <v>8.25</v>
      </c>
      <c r="I518">
        <v>10.57</v>
      </c>
      <c r="J518">
        <v>342.96</v>
      </c>
      <c r="K518">
        <v>3650.45</v>
      </c>
      <c r="L518">
        <v>100.45</v>
      </c>
      <c r="M518">
        <v>9.44</v>
      </c>
      <c r="N518">
        <v>281.87</v>
      </c>
    </row>
    <row r="519" spans="1:14">
      <c r="A519" s="28">
        <v>854</v>
      </c>
      <c r="B519" t="s">
        <v>133</v>
      </c>
      <c r="C519" t="s">
        <v>347</v>
      </c>
      <c r="D519">
        <v>23.99</v>
      </c>
      <c r="E519">
        <v>1376.41</v>
      </c>
      <c r="F519">
        <v>12.5</v>
      </c>
      <c r="G519">
        <v>103.21</v>
      </c>
      <c r="H519">
        <v>14</v>
      </c>
      <c r="I519">
        <v>16.86</v>
      </c>
      <c r="J519">
        <v>1107.5899999999999</v>
      </c>
      <c r="K519">
        <v>7382.07</v>
      </c>
      <c r="L519">
        <v>7.3</v>
      </c>
      <c r="M519">
        <v>1.1000000000000001</v>
      </c>
      <c r="N519">
        <v>6.26</v>
      </c>
    </row>
    <row r="520" spans="1:14">
      <c r="A520" s="28">
        <v>816</v>
      </c>
      <c r="B520" t="s">
        <v>1965</v>
      </c>
      <c r="C520" t="s">
        <v>348</v>
      </c>
      <c r="D520">
        <v>231.06</v>
      </c>
      <c r="E520">
        <v>88.93</v>
      </c>
      <c r="F520">
        <v>13.65</v>
      </c>
      <c r="G520" t="s">
        <v>2788</v>
      </c>
      <c r="H520">
        <v>-7.89</v>
      </c>
      <c r="I520">
        <v>-23.56</v>
      </c>
      <c r="J520">
        <v>-45.31</v>
      </c>
      <c r="K520">
        <v>188.93</v>
      </c>
      <c r="M520">
        <v>1.61</v>
      </c>
    </row>
    <row r="521" spans="1:14">
      <c r="A521" s="28">
        <v>882</v>
      </c>
      <c r="B521" t="s">
        <v>2649</v>
      </c>
      <c r="C521" t="s">
        <v>348</v>
      </c>
      <c r="D521">
        <v>231.41</v>
      </c>
      <c r="E521">
        <v>542.22</v>
      </c>
      <c r="F521">
        <v>11.56</v>
      </c>
      <c r="G521">
        <v>-86.76</v>
      </c>
      <c r="H521">
        <v>0.36</v>
      </c>
      <c r="I521">
        <v>1.19</v>
      </c>
      <c r="J521">
        <v>35.26</v>
      </c>
      <c r="K521">
        <v>3211.11</v>
      </c>
      <c r="L521">
        <v>76.86</v>
      </c>
      <c r="M521">
        <v>0.84</v>
      </c>
      <c r="N521">
        <v>9.91</v>
      </c>
    </row>
    <row r="522" spans="1:14">
      <c r="A522" s="28">
        <v>423</v>
      </c>
      <c r="B522" t="s">
        <v>1336</v>
      </c>
      <c r="C522" t="s">
        <v>347</v>
      </c>
      <c r="D522">
        <v>231.76</v>
      </c>
      <c r="E522">
        <v>351.07</v>
      </c>
      <c r="F522">
        <v>30.22</v>
      </c>
      <c r="G522">
        <v>-48.44</v>
      </c>
      <c r="H522">
        <v>0.77</v>
      </c>
      <c r="I522">
        <v>2.6</v>
      </c>
      <c r="J522">
        <v>57.84</v>
      </c>
      <c r="K522">
        <v>2255.33</v>
      </c>
      <c r="L522">
        <v>24.91</v>
      </c>
      <c r="M522">
        <v>0.64</v>
      </c>
      <c r="N522">
        <v>11.34</v>
      </c>
    </row>
    <row r="523" spans="1:14">
      <c r="A523" s="28">
        <v>212</v>
      </c>
      <c r="B523" t="s">
        <v>1641</v>
      </c>
      <c r="C523" t="s">
        <v>347</v>
      </c>
      <c r="D523">
        <v>233.83</v>
      </c>
      <c r="E523">
        <v>163.25</v>
      </c>
      <c r="F523">
        <v>54.14</v>
      </c>
      <c r="G523" t="s">
        <v>350</v>
      </c>
      <c r="H523">
        <v>0.86</v>
      </c>
      <c r="I523">
        <v>4.68</v>
      </c>
      <c r="J523">
        <v>546.05999999999995</v>
      </c>
      <c r="K523">
        <v>13205.64</v>
      </c>
      <c r="L523">
        <v>45.97</v>
      </c>
      <c r="M523">
        <v>1.9</v>
      </c>
    </row>
    <row r="524" spans="1:14">
      <c r="A524" s="28">
        <v>105</v>
      </c>
      <c r="B524" t="s">
        <v>1597</v>
      </c>
      <c r="C524" t="s">
        <v>348</v>
      </c>
      <c r="D524">
        <v>235.11</v>
      </c>
      <c r="E524">
        <v>28.94</v>
      </c>
      <c r="F524">
        <v>109.59</v>
      </c>
      <c r="G524" t="s">
        <v>2788</v>
      </c>
      <c r="H524">
        <v>-48.75</v>
      </c>
      <c r="I524">
        <v>-142.15</v>
      </c>
      <c r="J524">
        <v>-960.8</v>
      </c>
      <c r="K524">
        <v>644.71</v>
      </c>
      <c r="M524">
        <v>8.84</v>
      </c>
    </row>
    <row r="525" spans="1:14">
      <c r="A525" s="28">
        <v>308</v>
      </c>
      <c r="B525" t="s">
        <v>1307</v>
      </c>
      <c r="C525" t="s">
        <v>348</v>
      </c>
      <c r="D525">
        <v>237.38</v>
      </c>
      <c r="E525">
        <v>512.19000000000005</v>
      </c>
      <c r="F525">
        <v>39.83</v>
      </c>
      <c r="G525">
        <v>-3.25</v>
      </c>
      <c r="H525">
        <v>6.19</v>
      </c>
      <c r="I525">
        <v>18.84</v>
      </c>
      <c r="J525">
        <v>511.72</v>
      </c>
      <c r="K525">
        <v>3060.97</v>
      </c>
      <c r="L525">
        <v>15.12</v>
      </c>
      <c r="M525">
        <v>2.5299999999999998</v>
      </c>
      <c r="N525">
        <v>12.41</v>
      </c>
    </row>
    <row r="526" spans="1:14">
      <c r="A526" s="28">
        <v>25</v>
      </c>
      <c r="B526" t="s">
        <v>2054</v>
      </c>
      <c r="C526" t="s">
        <v>348</v>
      </c>
      <c r="D526">
        <v>237.53</v>
      </c>
      <c r="E526">
        <v>912.11</v>
      </c>
      <c r="F526">
        <v>416.65</v>
      </c>
      <c r="G526" t="s">
        <v>350</v>
      </c>
      <c r="H526">
        <v>12.18</v>
      </c>
      <c r="I526">
        <v>42.02</v>
      </c>
      <c r="J526">
        <v>1217.0999999999999</v>
      </c>
      <c r="K526">
        <v>5060.5600000000004</v>
      </c>
      <c r="L526">
        <v>12.52</v>
      </c>
      <c r="M526">
        <v>3.01</v>
      </c>
      <c r="N526">
        <v>26.37</v>
      </c>
    </row>
    <row r="527" spans="1:14">
      <c r="A527" s="28">
        <v>1057</v>
      </c>
      <c r="B527" t="s">
        <v>2211</v>
      </c>
      <c r="C527" t="s">
        <v>347</v>
      </c>
      <c r="D527">
        <v>238.5</v>
      </c>
      <c r="E527">
        <v>75.64</v>
      </c>
      <c r="F527">
        <v>7.96</v>
      </c>
      <c r="G527">
        <v>88.17</v>
      </c>
      <c r="H527">
        <v>2.38</v>
      </c>
      <c r="I527">
        <v>8.2200000000000006</v>
      </c>
      <c r="J527">
        <v>727.58</v>
      </c>
      <c r="K527">
        <v>9191.48</v>
      </c>
      <c r="L527">
        <v>2.82</v>
      </c>
      <c r="M527">
        <v>0.22</v>
      </c>
      <c r="N527">
        <v>8.6</v>
      </c>
    </row>
    <row r="528" spans="1:14">
      <c r="A528" s="28">
        <v>842</v>
      </c>
      <c r="B528" t="s">
        <v>2249</v>
      </c>
      <c r="C528" t="s">
        <v>347</v>
      </c>
      <c r="D528">
        <v>239.12</v>
      </c>
      <c r="E528">
        <v>13.16</v>
      </c>
      <c r="F528">
        <v>12.88</v>
      </c>
      <c r="G528" t="s">
        <v>350</v>
      </c>
      <c r="H528">
        <v>0.25</v>
      </c>
      <c r="I528">
        <v>0.86</v>
      </c>
      <c r="J528">
        <v>4.74</v>
      </c>
      <c r="K528">
        <v>565.79999999999995</v>
      </c>
      <c r="L528">
        <v>282.48</v>
      </c>
      <c r="M528">
        <v>2.37</v>
      </c>
      <c r="N528">
        <v>13.76</v>
      </c>
    </row>
    <row r="529" spans="1:14">
      <c r="A529" s="28">
        <v>773</v>
      </c>
      <c r="B529" t="s">
        <v>1393</v>
      </c>
      <c r="C529" t="s">
        <v>347</v>
      </c>
      <c r="D529">
        <v>239.42</v>
      </c>
      <c r="E529">
        <v>480.14</v>
      </c>
      <c r="F529">
        <v>14.88</v>
      </c>
      <c r="G529" t="s">
        <v>350</v>
      </c>
      <c r="H529">
        <v>0.3</v>
      </c>
      <c r="I529">
        <v>1.06</v>
      </c>
      <c r="J529">
        <v>28.23</v>
      </c>
      <c r="K529">
        <v>2900.69</v>
      </c>
      <c r="L529">
        <v>51.2</v>
      </c>
      <c r="M529">
        <v>0.5</v>
      </c>
      <c r="N529">
        <v>18.739999999999998</v>
      </c>
    </row>
    <row r="530" spans="1:14">
      <c r="A530" s="28">
        <v>1070</v>
      </c>
      <c r="B530" t="s">
        <v>2861</v>
      </c>
      <c r="C530" t="s">
        <v>348</v>
      </c>
      <c r="D530">
        <v>24.03</v>
      </c>
      <c r="E530">
        <v>1545.88</v>
      </c>
      <c r="F530">
        <v>7.69</v>
      </c>
      <c r="G530">
        <v>-43.22</v>
      </c>
      <c r="H530">
        <v>6.13</v>
      </c>
      <c r="I530">
        <v>7.77</v>
      </c>
      <c r="J530">
        <v>605.95000000000005</v>
      </c>
      <c r="K530">
        <v>8111.7</v>
      </c>
      <c r="L530">
        <v>17.23</v>
      </c>
      <c r="M530">
        <v>1.29</v>
      </c>
      <c r="N530">
        <v>11.1</v>
      </c>
    </row>
    <row r="531" spans="1:14">
      <c r="A531" s="28">
        <v>556</v>
      </c>
      <c r="B531" t="s">
        <v>1388</v>
      </c>
      <c r="C531" t="s">
        <v>348</v>
      </c>
      <c r="D531">
        <v>24.18</v>
      </c>
      <c r="E531">
        <v>2724.43</v>
      </c>
      <c r="F531">
        <v>23.13</v>
      </c>
      <c r="G531">
        <v>29.8</v>
      </c>
      <c r="H531">
        <v>20.47</v>
      </c>
      <c r="I531">
        <v>26.07</v>
      </c>
      <c r="J531">
        <v>3264.56</v>
      </c>
      <c r="K531">
        <v>14122.16</v>
      </c>
      <c r="L531">
        <v>7.84</v>
      </c>
      <c r="M531">
        <v>1.81</v>
      </c>
      <c r="N531">
        <v>5.48</v>
      </c>
    </row>
    <row r="532" spans="1:14">
      <c r="A532" s="28">
        <v>961</v>
      </c>
      <c r="B532" t="s">
        <v>637</v>
      </c>
      <c r="C532" t="s">
        <v>348</v>
      </c>
      <c r="D532">
        <v>24.21</v>
      </c>
      <c r="E532">
        <v>2248.96</v>
      </c>
      <c r="F532">
        <v>9.89</v>
      </c>
      <c r="G532">
        <v>-49.91</v>
      </c>
      <c r="H532">
        <v>8.0399999999999991</v>
      </c>
      <c r="I532">
        <v>10.43</v>
      </c>
      <c r="J532">
        <v>1153.83</v>
      </c>
      <c r="K532">
        <v>11744.82</v>
      </c>
      <c r="L532">
        <v>9.5500000000000007</v>
      </c>
      <c r="M532">
        <v>0.94</v>
      </c>
      <c r="N532">
        <v>6.4</v>
      </c>
    </row>
    <row r="533" spans="1:14">
      <c r="A533" s="28">
        <v>232</v>
      </c>
      <c r="B533" t="s">
        <v>399</v>
      </c>
      <c r="C533" t="s">
        <v>348</v>
      </c>
      <c r="D533">
        <v>24.41</v>
      </c>
      <c r="E533">
        <v>2999.78</v>
      </c>
      <c r="F533">
        <v>49.41</v>
      </c>
      <c r="H533">
        <v>17.97</v>
      </c>
      <c r="I533">
        <v>20.75</v>
      </c>
    </row>
    <row r="534" spans="1:14">
      <c r="A534" s="28">
        <v>1119</v>
      </c>
      <c r="B534" t="s">
        <v>933</v>
      </c>
      <c r="C534" t="s">
        <v>347</v>
      </c>
      <c r="D534">
        <v>24.69</v>
      </c>
      <c r="E534">
        <v>2003.6</v>
      </c>
      <c r="F534">
        <v>6.47</v>
      </c>
      <c r="G534">
        <v>-13.56</v>
      </c>
      <c r="H534">
        <v>7.06</v>
      </c>
      <c r="I534">
        <v>8.91</v>
      </c>
      <c r="J534">
        <v>1798.12</v>
      </c>
      <c r="K534">
        <v>21036</v>
      </c>
      <c r="L534">
        <v>21.19</v>
      </c>
      <c r="M534">
        <v>1.81</v>
      </c>
      <c r="N534">
        <v>10.56</v>
      </c>
    </row>
    <row r="535" spans="1:14">
      <c r="A535" s="28">
        <v>611</v>
      </c>
      <c r="B535" t="s">
        <v>234</v>
      </c>
      <c r="C535" t="s">
        <v>347</v>
      </c>
      <c r="D535">
        <v>24.71</v>
      </c>
      <c r="E535">
        <v>2277.69</v>
      </c>
      <c r="F535">
        <v>20.11</v>
      </c>
      <c r="G535">
        <v>222.2</v>
      </c>
      <c r="H535">
        <v>8.19</v>
      </c>
      <c r="I535">
        <v>11.05</v>
      </c>
      <c r="J535">
        <v>2736.2</v>
      </c>
      <c r="K535">
        <v>25725.3</v>
      </c>
      <c r="L535">
        <v>3.95</v>
      </c>
      <c r="M535">
        <v>0.42</v>
      </c>
      <c r="N535">
        <v>13.18</v>
      </c>
    </row>
    <row r="536" spans="1:14">
      <c r="A536" s="28">
        <v>815</v>
      </c>
      <c r="B536" t="s">
        <v>2821</v>
      </c>
      <c r="C536" t="s">
        <v>348</v>
      </c>
      <c r="D536">
        <v>24.79</v>
      </c>
      <c r="E536">
        <v>512.70000000000005</v>
      </c>
      <c r="F536">
        <v>13.66</v>
      </c>
      <c r="G536">
        <v>68.989999999999995</v>
      </c>
      <c r="H536">
        <v>22.73</v>
      </c>
      <c r="I536">
        <v>29.79</v>
      </c>
      <c r="J536">
        <v>957</v>
      </c>
      <c r="K536">
        <v>3637.88</v>
      </c>
      <c r="L536">
        <v>8.1300000000000008</v>
      </c>
      <c r="M536">
        <v>2.14</v>
      </c>
      <c r="N536">
        <v>5.67</v>
      </c>
    </row>
    <row r="537" spans="1:14">
      <c r="A537" s="28">
        <v>66</v>
      </c>
      <c r="B537" t="s">
        <v>2265</v>
      </c>
      <c r="C537" t="s">
        <v>348</v>
      </c>
      <c r="D537">
        <v>24.8</v>
      </c>
      <c r="E537">
        <v>2242.21</v>
      </c>
      <c r="F537">
        <v>152.94</v>
      </c>
      <c r="G537">
        <v>333.22</v>
      </c>
      <c r="H537">
        <v>26.04</v>
      </c>
      <c r="I537">
        <v>31.76</v>
      </c>
      <c r="J537">
        <v>2815.44</v>
      </c>
      <c r="K537">
        <v>11711.07</v>
      </c>
      <c r="L537">
        <v>22.59</v>
      </c>
      <c r="M537">
        <v>5.43</v>
      </c>
      <c r="N537">
        <v>17.38</v>
      </c>
    </row>
    <row r="538" spans="1:14">
      <c r="A538" s="28">
        <v>250</v>
      </c>
      <c r="B538" t="s">
        <v>1653</v>
      </c>
      <c r="C538" t="s">
        <v>348</v>
      </c>
      <c r="D538">
        <v>24.81</v>
      </c>
      <c r="E538">
        <v>61.35</v>
      </c>
      <c r="F538">
        <v>46.22</v>
      </c>
      <c r="G538">
        <v>-27.94</v>
      </c>
      <c r="H538">
        <v>16.7</v>
      </c>
      <c r="I538">
        <v>21</v>
      </c>
      <c r="J538">
        <v>153.87</v>
      </c>
      <c r="K538">
        <v>806.76</v>
      </c>
      <c r="L538">
        <v>7.79</v>
      </c>
      <c r="M538">
        <v>1.49</v>
      </c>
      <c r="N538">
        <v>9.8699999999999992</v>
      </c>
    </row>
    <row r="539" spans="1:14">
      <c r="A539" s="28">
        <v>863</v>
      </c>
      <c r="B539" t="s">
        <v>2451</v>
      </c>
      <c r="C539" t="s">
        <v>348</v>
      </c>
      <c r="D539">
        <v>24.9</v>
      </c>
      <c r="E539">
        <v>883.44</v>
      </c>
      <c r="F539">
        <v>12.13</v>
      </c>
      <c r="G539" t="s">
        <v>349</v>
      </c>
      <c r="H539">
        <v>-9.16</v>
      </c>
      <c r="I539">
        <v>-11.12</v>
      </c>
      <c r="J539">
        <v>-573.4</v>
      </c>
      <c r="K539">
        <v>4917.1899999999996</v>
      </c>
      <c r="M539">
        <v>0.86</v>
      </c>
    </row>
    <row r="540" spans="1:14">
      <c r="A540" s="28">
        <v>493</v>
      </c>
      <c r="B540" t="s">
        <v>1384</v>
      </c>
      <c r="C540" t="s">
        <v>348</v>
      </c>
      <c r="D540">
        <v>240.26</v>
      </c>
      <c r="E540">
        <v>3373.64</v>
      </c>
      <c r="F540">
        <v>25.85</v>
      </c>
      <c r="G540">
        <v>-0.9</v>
      </c>
      <c r="H540">
        <v>5.18</v>
      </c>
      <c r="I540">
        <v>19.45</v>
      </c>
      <c r="J540">
        <v>2636.03</v>
      </c>
      <c r="K540">
        <v>17368.22</v>
      </c>
      <c r="L540">
        <v>19.12</v>
      </c>
      <c r="M540">
        <v>2.9</v>
      </c>
      <c r="N540">
        <v>15.36</v>
      </c>
    </row>
    <row r="541" spans="1:14">
      <c r="A541" s="28">
        <v>574</v>
      </c>
      <c r="B541" t="s">
        <v>1918</v>
      </c>
      <c r="C541" t="s">
        <v>348</v>
      </c>
      <c r="D541">
        <v>243.78</v>
      </c>
      <c r="E541">
        <v>11</v>
      </c>
      <c r="F541">
        <v>22.02</v>
      </c>
      <c r="G541" t="s">
        <v>350</v>
      </c>
      <c r="H541">
        <v>2.02</v>
      </c>
      <c r="I541">
        <v>8.34</v>
      </c>
      <c r="J541">
        <v>37.68</v>
      </c>
      <c r="K541">
        <v>554.98</v>
      </c>
      <c r="L541">
        <v>188.97</v>
      </c>
      <c r="M541">
        <v>12.83</v>
      </c>
      <c r="N541">
        <v>43.23</v>
      </c>
    </row>
    <row r="542" spans="1:14">
      <c r="A542" s="28">
        <v>239</v>
      </c>
      <c r="B542" t="s">
        <v>519</v>
      </c>
      <c r="C542" t="s">
        <v>347</v>
      </c>
      <c r="D542">
        <v>244.85</v>
      </c>
      <c r="E542">
        <v>12154.71</v>
      </c>
      <c r="F542">
        <v>48.21</v>
      </c>
      <c r="G542">
        <v>134.77000000000001</v>
      </c>
      <c r="H542">
        <v>16.399999999999999</v>
      </c>
      <c r="I542">
        <v>71.89</v>
      </c>
      <c r="J542">
        <v>5582.94</v>
      </c>
      <c r="K542">
        <v>10416.5</v>
      </c>
      <c r="N542">
        <v>1.9</v>
      </c>
    </row>
    <row r="543" spans="1:14">
      <c r="A543" s="28">
        <v>1047</v>
      </c>
      <c r="B543" t="s">
        <v>124</v>
      </c>
      <c r="C543" t="s">
        <v>347</v>
      </c>
      <c r="D543">
        <v>246.78</v>
      </c>
      <c r="E543">
        <v>168.68</v>
      </c>
      <c r="F543">
        <v>8.08</v>
      </c>
      <c r="G543">
        <v>-72.66</v>
      </c>
      <c r="H543">
        <v>0.39</v>
      </c>
      <c r="I543">
        <v>1.25</v>
      </c>
      <c r="J543">
        <v>176.07</v>
      </c>
      <c r="K543">
        <v>13434.1</v>
      </c>
      <c r="L543">
        <v>29.48</v>
      </c>
      <c r="M543">
        <v>0.39</v>
      </c>
      <c r="N543">
        <v>9.1999999999999993</v>
      </c>
    </row>
    <row r="544" spans="1:14">
      <c r="A544" s="28">
        <v>182</v>
      </c>
      <c r="B544" t="s">
        <v>2485</v>
      </c>
      <c r="C544" t="s">
        <v>348</v>
      </c>
      <c r="D544">
        <v>247.98</v>
      </c>
      <c r="E544">
        <v>26.75</v>
      </c>
      <c r="F544">
        <v>61.05</v>
      </c>
      <c r="G544" t="s">
        <v>2788</v>
      </c>
      <c r="H544">
        <v>-5.07</v>
      </c>
      <c r="I544">
        <v>-16.78</v>
      </c>
      <c r="J544">
        <v>-113.92</v>
      </c>
      <c r="K544">
        <v>633.76</v>
      </c>
      <c r="M544">
        <v>2.56</v>
      </c>
      <c r="N544">
        <v>44.23</v>
      </c>
    </row>
    <row r="545" spans="1:14">
      <c r="A545" s="28">
        <v>530</v>
      </c>
      <c r="B545" t="s">
        <v>2244</v>
      </c>
      <c r="C545" t="s">
        <v>348</v>
      </c>
      <c r="D545">
        <v>248.08</v>
      </c>
      <c r="E545">
        <v>269.69</v>
      </c>
      <c r="F545">
        <v>24.37</v>
      </c>
      <c r="G545">
        <v>772.29</v>
      </c>
      <c r="H545">
        <v>1.36</v>
      </c>
      <c r="I545">
        <v>4.34</v>
      </c>
      <c r="J545">
        <v>101</v>
      </c>
      <c r="K545">
        <v>1848.47</v>
      </c>
      <c r="L545">
        <v>24.16</v>
      </c>
      <c r="M545">
        <v>1.32</v>
      </c>
      <c r="N545">
        <v>16.02</v>
      </c>
    </row>
    <row r="546" spans="1:14">
      <c r="A546" s="28">
        <v>612</v>
      </c>
      <c r="B546" t="s">
        <v>1631</v>
      </c>
      <c r="C546" t="s">
        <v>347</v>
      </c>
      <c r="D546">
        <v>248.39</v>
      </c>
      <c r="E546">
        <v>1537.67</v>
      </c>
      <c r="F546">
        <v>20.100000000000001</v>
      </c>
      <c r="G546" t="s">
        <v>2788</v>
      </c>
      <c r="H546">
        <v>-8.68</v>
      </c>
      <c r="I546">
        <v>-25.7</v>
      </c>
      <c r="J546">
        <v>-2203.96</v>
      </c>
      <c r="K546">
        <v>7671.1</v>
      </c>
      <c r="M546">
        <v>0.43</v>
      </c>
    </row>
    <row r="547" spans="1:14">
      <c r="A547" s="28">
        <v>257</v>
      </c>
      <c r="B547" t="s">
        <v>1537</v>
      </c>
      <c r="C547" t="s">
        <v>348</v>
      </c>
      <c r="D547">
        <v>25</v>
      </c>
      <c r="E547">
        <v>264.32</v>
      </c>
      <c r="F547">
        <v>45.5</v>
      </c>
      <c r="G547" t="s">
        <v>2788</v>
      </c>
      <c r="H547">
        <v>-4.74</v>
      </c>
      <c r="I547">
        <v>-6.06</v>
      </c>
      <c r="J547">
        <v>-110.68</v>
      </c>
      <c r="K547">
        <v>1821.6</v>
      </c>
      <c r="M547">
        <v>2.1800000000000002</v>
      </c>
    </row>
    <row r="548" spans="1:14">
      <c r="A548" s="28">
        <v>993</v>
      </c>
      <c r="B548" t="s">
        <v>1549</v>
      </c>
      <c r="C548" t="s">
        <v>348</v>
      </c>
      <c r="D548">
        <v>25.03</v>
      </c>
      <c r="E548">
        <v>598.47</v>
      </c>
      <c r="F548">
        <v>9.35</v>
      </c>
      <c r="G548" t="s">
        <v>349</v>
      </c>
      <c r="H548">
        <v>-4.4000000000000004</v>
      </c>
      <c r="I548">
        <v>-10.75</v>
      </c>
      <c r="J548">
        <v>-343.8</v>
      </c>
      <c r="K548">
        <v>3492.37</v>
      </c>
      <c r="M548">
        <v>1.82</v>
      </c>
    </row>
    <row r="549" spans="1:14">
      <c r="A549" s="28">
        <v>313</v>
      </c>
      <c r="B549" t="s">
        <v>420</v>
      </c>
      <c r="C549" t="s">
        <v>347</v>
      </c>
      <c r="D549">
        <v>25.05</v>
      </c>
      <c r="E549">
        <v>1484.05</v>
      </c>
      <c r="F549">
        <v>39.36</v>
      </c>
      <c r="G549" t="s">
        <v>350</v>
      </c>
      <c r="H549">
        <v>4.05</v>
      </c>
      <c r="I549">
        <v>5.08</v>
      </c>
      <c r="J549">
        <v>3680.93</v>
      </c>
      <c r="K549">
        <v>79202.350000000006</v>
      </c>
      <c r="L549">
        <v>8.9700000000000006</v>
      </c>
      <c r="M549">
        <v>0.42</v>
      </c>
      <c r="N549">
        <v>7.04</v>
      </c>
    </row>
    <row r="550" spans="1:14">
      <c r="A550" s="28">
        <v>1107</v>
      </c>
      <c r="B550" t="s">
        <v>536</v>
      </c>
      <c r="C550" t="s">
        <v>347</v>
      </c>
      <c r="D550">
        <v>25.15</v>
      </c>
      <c r="E550">
        <v>13975.36</v>
      </c>
      <c r="F550">
        <v>6.81</v>
      </c>
      <c r="G550">
        <v>65.349999999999994</v>
      </c>
      <c r="H550">
        <v>10.31</v>
      </c>
      <c r="I550">
        <v>13.07</v>
      </c>
      <c r="J550">
        <v>3596.65</v>
      </c>
      <c r="K550">
        <v>28150.720000000001</v>
      </c>
      <c r="L550">
        <v>9.4700000000000006</v>
      </c>
      <c r="M550">
        <v>1.21</v>
      </c>
      <c r="N550">
        <v>6.15</v>
      </c>
    </row>
    <row r="551" spans="1:14">
      <c r="A551" s="28">
        <v>654</v>
      </c>
      <c r="B551" t="s">
        <v>1646</v>
      </c>
      <c r="C551" t="s">
        <v>348</v>
      </c>
      <c r="D551">
        <v>25.22</v>
      </c>
      <c r="E551">
        <v>11921.64</v>
      </c>
      <c r="F551">
        <v>18.79</v>
      </c>
      <c r="G551">
        <v>-34.909999999999997</v>
      </c>
      <c r="H551">
        <v>3.34</v>
      </c>
      <c r="I551">
        <v>4.17</v>
      </c>
      <c r="J551">
        <v>2256.6</v>
      </c>
      <c r="K551">
        <v>61078.83</v>
      </c>
      <c r="L551">
        <v>59.78</v>
      </c>
      <c r="M551">
        <v>2.21</v>
      </c>
      <c r="N551">
        <v>20.49</v>
      </c>
    </row>
    <row r="552" spans="1:14">
      <c r="A552" s="28">
        <v>879</v>
      </c>
      <c r="B552" t="s">
        <v>1073</v>
      </c>
      <c r="C552" t="s">
        <v>348</v>
      </c>
      <c r="D552">
        <v>25.32</v>
      </c>
      <c r="E552">
        <v>1118.69</v>
      </c>
      <c r="F552">
        <v>11.59</v>
      </c>
      <c r="G552">
        <v>-12.8</v>
      </c>
      <c r="H552">
        <v>10.18</v>
      </c>
      <c r="I552">
        <v>12.69</v>
      </c>
      <c r="J552">
        <v>661.37</v>
      </c>
      <c r="K552">
        <v>6093.46</v>
      </c>
      <c r="L552">
        <v>19.07</v>
      </c>
      <c r="M552">
        <v>2.0699999999999998</v>
      </c>
      <c r="N552">
        <v>15.8</v>
      </c>
    </row>
    <row r="553" spans="1:14">
      <c r="A553" s="28">
        <v>1120</v>
      </c>
      <c r="B553" t="s">
        <v>217</v>
      </c>
      <c r="C553" t="s">
        <v>347</v>
      </c>
      <c r="D553">
        <v>25.33</v>
      </c>
      <c r="E553">
        <v>3151.04</v>
      </c>
      <c r="F553">
        <v>6.46</v>
      </c>
      <c r="G553">
        <v>-8.1199999999999992</v>
      </c>
      <c r="H553">
        <v>6.43</v>
      </c>
      <c r="I553">
        <v>8.17</v>
      </c>
      <c r="J553">
        <v>1256.56</v>
      </c>
      <c r="K553">
        <v>16255.19</v>
      </c>
      <c r="L553">
        <v>11.1</v>
      </c>
      <c r="M553">
        <v>0.86</v>
      </c>
      <c r="N553">
        <v>7.74</v>
      </c>
    </row>
    <row r="554" spans="1:14">
      <c r="A554" s="28">
        <v>285</v>
      </c>
      <c r="B554" t="s">
        <v>2483</v>
      </c>
      <c r="C554" t="s">
        <v>348</v>
      </c>
      <c r="D554">
        <v>25.38</v>
      </c>
      <c r="E554">
        <v>1221.49</v>
      </c>
      <c r="F554">
        <v>42.6</v>
      </c>
      <c r="G554" t="s">
        <v>350</v>
      </c>
      <c r="H554">
        <v>6.73</v>
      </c>
      <c r="I554">
        <v>8.43</v>
      </c>
      <c r="J554">
        <v>519.45000000000005</v>
      </c>
      <c r="K554">
        <v>6607.46</v>
      </c>
      <c r="L554">
        <v>25.78</v>
      </c>
      <c r="M554">
        <v>2.0299999999999998</v>
      </c>
      <c r="N554">
        <v>26.02</v>
      </c>
    </row>
    <row r="555" spans="1:14">
      <c r="A555" s="28">
        <v>143</v>
      </c>
      <c r="B555" t="s">
        <v>792</v>
      </c>
      <c r="C555" t="s">
        <v>348</v>
      </c>
      <c r="D555">
        <v>25.59</v>
      </c>
      <c r="E555">
        <v>1957.86</v>
      </c>
      <c r="F555">
        <v>73.849999999999994</v>
      </c>
      <c r="G555">
        <v>323.77</v>
      </c>
      <c r="H555">
        <v>15.55</v>
      </c>
      <c r="I555">
        <v>19.84</v>
      </c>
      <c r="J555">
        <v>1854.66</v>
      </c>
      <c r="K555">
        <v>10289.290000000001</v>
      </c>
      <c r="L555">
        <v>4.16</v>
      </c>
      <c r="M555">
        <v>0.75</v>
      </c>
      <c r="N555">
        <v>2.87</v>
      </c>
    </row>
    <row r="556" spans="1:14">
      <c r="A556" s="28">
        <v>363</v>
      </c>
      <c r="B556" t="s">
        <v>286</v>
      </c>
      <c r="C556" t="s">
        <v>348</v>
      </c>
      <c r="D556">
        <v>25.62</v>
      </c>
      <c r="E556">
        <v>670.2</v>
      </c>
      <c r="F556">
        <v>34.46</v>
      </c>
      <c r="G556">
        <v>-28.81</v>
      </c>
      <c r="H556">
        <v>9.6199999999999992</v>
      </c>
      <c r="I556">
        <v>11.66</v>
      </c>
      <c r="J556">
        <v>418.35</v>
      </c>
      <c r="K556">
        <v>3851.01</v>
      </c>
      <c r="L556">
        <v>8.57</v>
      </c>
      <c r="M556">
        <v>0.93</v>
      </c>
    </row>
    <row r="557" spans="1:14">
      <c r="A557" s="28">
        <v>107</v>
      </c>
      <c r="B557" t="s">
        <v>89</v>
      </c>
      <c r="C557" t="s">
        <v>347</v>
      </c>
      <c r="D557">
        <v>25.68</v>
      </c>
      <c r="E557">
        <v>1099.1099999999999</v>
      </c>
      <c r="F557">
        <v>106.58</v>
      </c>
      <c r="G557">
        <v>18.350000000000001</v>
      </c>
      <c r="H557">
        <v>5.68</v>
      </c>
      <c r="I557">
        <v>7.21</v>
      </c>
      <c r="J557">
        <v>4095.37</v>
      </c>
      <c r="K557">
        <v>61306.39</v>
      </c>
      <c r="L557">
        <v>11.84</v>
      </c>
      <c r="M557">
        <v>0.79</v>
      </c>
    </row>
    <row r="558" spans="1:14">
      <c r="A558" s="28">
        <v>297</v>
      </c>
      <c r="B558" t="s">
        <v>1634</v>
      </c>
      <c r="C558" t="s">
        <v>348</v>
      </c>
      <c r="D558">
        <v>25.8</v>
      </c>
      <c r="F558">
        <v>41.4</v>
      </c>
      <c r="G558" t="s">
        <v>2788</v>
      </c>
      <c r="H558">
        <v>-11.63</v>
      </c>
      <c r="I558">
        <v>-16.309999999999999</v>
      </c>
      <c r="J558">
        <v>-402.02</v>
      </c>
      <c r="K558">
        <v>2293.4699999999998</v>
      </c>
      <c r="M558">
        <v>1.08</v>
      </c>
    </row>
    <row r="559" spans="1:14">
      <c r="A559" s="28">
        <v>1051</v>
      </c>
      <c r="B559" t="s">
        <v>910</v>
      </c>
      <c r="C559" t="s">
        <v>348</v>
      </c>
      <c r="D559">
        <v>25.8</v>
      </c>
      <c r="E559">
        <v>3002.54</v>
      </c>
      <c r="F559">
        <v>8.01</v>
      </c>
      <c r="G559">
        <v>13.54</v>
      </c>
      <c r="H559">
        <v>4</v>
      </c>
      <c r="I559">
        <v>5.0999999999999996</v>
      </c>
      <c r="J559">
        <v>770.54</v>
      </c>
      <c r="K559">
        <v>15512.71</v>
      </c>
      <c r="L559">
        <v>13.3</v>
      </c>
      <c r="M559">
        <v>0.66</v>
      </c>
      <c r="N559">
        <v>7.69</v>
      </c>
    </row>
    <row r="560" spans="1:14">
      <c r="A560" s="28">
        <v>542</v>
      </c>
      <c r="B560" t="s">
        <v>2458</v>
      </c>
      <c r="C560" t="s">
        <v>348</v>
      </c>
      <c r="D560">
        <v>250.44</v>
      </c>
      <c r="E560">
        <v>671.42</v>
      </c>
      <c r="F560">
        <v>23.96</v>
      </c>
      <c r="G560">
        <v>-85.94</v>
      </c>
      <c r="H560">
        <v>0.38</v>
      </c>
      <c r="I560">
        <v>1.31</v>
      </c>
      <c r="J560">
        <v>40.409999999999997</v>
      </c>
      <c r="K560">
        <v>3857.1</v>
      </c>
      <c r="L560">
        <v>152.21</v>
      </c>
      <c r="M560">
        <v>1.59</v>
      </c>
      <c r="N560">
        <v>23.66</v>
      </c>
    </row>
    <row r="561" spans="1:14">
      <c r="A561" s="28">
        <v>650</v>
      </c>
      <c r="B561" t="s">
        <v>1122</v>
      </c>
      <c r="C561" t="s">
        <v>348</v>
      </c>
      <c r="D561">
        <v>254.72</v>
      </c>
      <c r="E561">
        <v>519</v>
      </c>
      <c r="F561">
        <v>19</v>
      </c>
      <c r="G561" t="s">
        <v>350</v>
      </c>
      <c r="H561">
        <v>2.4300000000000002</v>
      </c>
      <c r="I561">
        <v>8.7899999999999991</v>
      </c>
      <c r="J561">
        <v>260.44</v>
      </c>
      <c r="K561">
        <v>3095</v>
      </c>
      <c r="L561">
        <v>16.149999999999999</v>
      </c>
      <c r="M561">
        <v>1.36</v>
      </c>
      <c r="N561">
        <v>14.14</v>
      </c>
    </row>
    <row r="562" spans="1:14">
      <c r="A562" s="28">
        <v>731</v>
      </c>
      <c r="B562" t="s">
        <v>2135</v>
      </c>
      <c r="C562" t="s">
        <v>347</v>
      </c>
      <c r="D562">
        <v>256.17</v>
      </c>
      <c r="E562">
        <v>257.49</v>
      </c>
      <c r="F562">
        <v>15.97</v>
      </c>
      <c r="G562" t="s">
        <v>350</v>
      </c>
      <c r="H562">
        <v>0.44</v>
      </c>
      <c r="I562">
        <v>1.52</v>
      </c>
      <c r="J562">
        <v>136.72</v>
      </c>
      <c r="K562">
        <v>8937.2000000000007</v>
      </c>
      <c r="L562">
        <v>86.67</v>
      </c>
      <c r="M562">
        <v>1.33</v>
      </c>
      <c r="N562">
        <v>17.02</v>
      </c>
    </row>
    <row r="563" spans="1:14">
      <c r="A563" s="28">
        <v>1001</v>
      </c>
      <c r="B563" t="s">
        <v>1446</v>
      </c>
      <c r="C563" t="s">
        <v>348</v>
      </c>
      <c r="D563">
        <v>257.88</v>
      </c>
      <c r="E563">
        <v>375.79</v>
      </c>
      <c r="F563">
        <v>9.16</v>
      </c>
      <c r="G563" t="s">
        <v>349</v>
      </c>
      <c r="H563">
        <v>-0.31</v>
      </c>
      <c r="I563">
        <v>-1.99</v>
      </c>
      <c r="J563">
        <v>-24.45</v>
      </c>
      <c r="K563">
        <v>2378.94</v>
      </c>
      <c r="N563">
        <v>9.27</v>
      </c>
    </row>
    <row r="564" spans="1:14">
      <c r="A564" s="28">
        <v>688</v>
      </c>
      <c r="B564" t="s">
        <v>2495</v>
      </c>
      <c r="C564" t="s">
        <v>348</v>
      </c>
      <c r="D564">
        <v>259.83</v>
      </c>
      <c r="E564">
        <v>2462.4499999999998</v>
      </c>
      <c r="F564">
        <v>17.059999999999999</v>
      </c>
      <c r="G564" t="s">
        <v>2788</v>
      </c>
      <c r="H564">
        <v>-2.6</v>
      </c>
      <c r="I564">
        <v>-9.56</v>
      </c>
      <c r="J564">
        <v>-239.51</v>
      </c>
      <c r="K564">
        <v>2562.4499999999998</v>
      </c>
      <c r="M564">
        <v>1.94</v>
      </c>
      <c r="N564">
        <v>14.26</v>
      </c>
    </row>
    <row r="565" spans="1:14">
      <c r="A565" s="28">
        <v>310</v>
      </c>
      <c r="B565" t="s">
        <v>1317</v>
      </c>
      <c r="C565" t="s">
        <v>348</v>
      </c>
      <c r="D565">
        <v>26.3</v>
      </c>
      <c r="E565">
        <v>2968.82</v>
      </c>
      <c r="F565">
        <v>39.590000000000003</v>
      </c>
      <c r="G565">
        <v>129.71</v>
      </c>
      <c r="H565">
        <v>17.03</v>
      </c>
      <c r="I565">
        <v>22.32</v>
      </c>
      <c r="J565">
        <v>2910.26</v>
      </c>
      <c r="K565">
        <v>15344.09</v>
      </c>
      <c r="L565">
        <v>6.92</v>
      </c>
      <c r="M565">
        <v>1.31</v>
      </c>
      <c r="N565">
        <v>5.35</v>
      </c>
    </row>
    <row r="566" spans="1:14">
      <c r="A566" s="28">
        <v>273</v>
      </c>
      <c r="B566" t="s">
        <v>1782</v>
      </c>
      <c r="C566" t="s">
        <v>348</v>
      </c>
      <c r="D566">
        <v>26.52</v>
      </c>
      <c r="E566">
        <v>504.73</v>
      </c>
      <c r="F566">
        <v>43.95</v>
      </c>
      <c r="G566">
        <v>-29.98</v>
      </c>
      <c r="H566">
        <v>8.4700000000000006</v>
      </c>
      <c r="I566">
        <v>11.09</v>
      </c>
      <c r="J566">
        <v>265.79000000000002</v>
      </c>
      <c r="K566">
        <v>3023.67</v>
      </c>
      <c r="L566">
        <v>41.39</v>
      </c>
      <c r="M566">
        <v>3.64</v>
      </c>
      <c r="N566">
        <v>47.29</v>
      </c>
    </row>
    <row r="567" spans="1:14">
      <c r="A567" s="28">
        <v>471</v>
      </c>
      <c r="B567" t="s">
        <v>1887</v>
      </c>
      <c r="C567" t="s">
        <v>348</v>
      </c>
      <c r="D567">
        <v>26.59</v>
      </c>
      <c r="E567">
        <v>942.95</v>
      </c>
      <c r="F567">
        <v>26.88</v>
      </c>
      <c r="G567">
        <v>-28.07</v>
      </c>
      <c r="H567">
        <v>8.18</v>
      </c>
      <c r="I567">
        <v>10.85</v>
      </c>
      <c r="J567">
        <v>463.61</v>
      </c>
      <c r="K567">
        <v>5214.74</v>
      </c>
      <c r="L567">
        <v>39.21</v>
      </c>
      <c r="M567">
        <v>3.49</v>
      </c>
      <c r="N567">
        <v>34.83</v>
      </c>
    </row>
    <row r="568" spans="1:14">
      <c r="A568" s="28">
        <v>368</v>
      </c>
      <c r="B568" t="s">
        <v>2038</v>
      </c>
      <c r="C568" t="s">
        <v>348</v>
      </c>
      <c r="D568">
        <v>26.84</v>
      </c>
      <c r="E568">
        <v>85.2</v>
      </c>
      <c r="F568">
        <v>33.58</v>
      </c>
      <c r="G568" t="s">
        <v>2788</v>
      </c>
      <c r="H568">
        <v>-17.41</v>
      </c>
      <c r="I568">
        <v>-22.41</v>
      </c>
      <c r="J568">
        <v>-223.37</v>
      </c>
      <c r="K568">
        <v>926.01</v>
      </c>
      <c r="M568">
        <v>1.19</v>
      </c>
    </row>
    <row r="569" spans="1:14">
      <c r="A569" s="28">
        <v>309</v>
      </c>
      <c r="B569" t="s">
        <v>2406</v>
      </c>
      <c r="C569" t="s">
        <v>348</v>
      </c>
      <c r="D569">
        <v>260.77999999999997</v>
      </c>
      <c r="E569">
        <v>617.51</v>
      </c>
      <c r="F569">
        <v>39.68</v>
      </c>
      <c r="G569" t="s">
        <v>2788</v>
      </c>
      <c r="H569">
        <v>-0.6</v>
      </c>
      <c r="I569">
        <v>-2.0699999999999998</v>
      </c>
      <c r="J569">
        <v>-64.28</v>
      </c>
      <c r="K569">
        <v>3587.54</v>
      </c>
      <c r="M569">
        <v>1.31</v>
      </c>
      <c r="N569">
        <v>14.74</v>
      </c>
    </row>
    <row r="570" spans="1:14">
      <c r="A570" s="28">
        <v>615</v>
      </c>
      <c r="B570" t="s">
        <v>1464</v>
      </c>
      <c r="C570" t="s">
        <v>347</v>
      </c>
      <c r="D570">
        <v>263.39999999999998</v>
      </c>
      <c r="E570">
        <v>30.6</v>
      </c>
      <c r="F570">
        <v>20.02</v>
      </c>
      <c r="G570" t="s">
        <v>2788</v>
      </c>
      <c r="H570">
        <v>-3.39</v>
      </c>
      <c r="I570">
        <v>-16.75</v>
      </c>
      <c r="J570">
        <v>-84.02</v>
      </c>
      <c r="K570">
        <v>652.98</v>
      </c>
      <c r="M570">
        <v>1.85</v>
      </c>
      <c r="N570">
        <v>23.17</v>
      </c>
    </row>
    <row r="571" spans="1:14">
      <c r="A571" s="28">
        <v>432</v>
      </c>
      <c r="B571" t="s">
        <v>271</v>
      </c>
      <c r="C571" t="s">
        <v>348</v>
      </c>
      <c r="D571">
        <v>264.52</v>
      </c>
      <c r="E571">
        <v>4719.7</v>
      </c>
      <c r="F571">
        <v>29.28</v>
      </c>
      <c r="G571">
        <v>-21.76</v>
      </c>
      <c r="H571">
        <v>2.4</v>
      </c>
      <c r="I571">
        <v>8.25</v>
      </c>
      <c r="J571">
        <v>1895.59</v>
      </c>
      <c r="K571">
        <v>24098.48</v>
      </c>
      <c r="L571">
        <v>8.23</v>
      </c>
      <c r="M571">
        <v>0.65</v>
      </c>
      <c r="N571">
        <v>2.75</v>
      </c>
    </row>
    <row r="572" spans="1:14">
      <c r="A572" s="28">
        <v>301</v>
      </c>
      <c r="B572" t="s">
        <v>2822</v>
      </c>
      <c r="C572" t="s">
        <v>348</v>
      </c>
      <c r="D572">
        <v>266.85000000000002</v>
      </c>
      <c r="E572">
        <v>250.15</v>
      </c>
      <c r="F572">
        <v>41</v>
      </c>
      <c r="G572" t="s">
        <v>2788</v>
      </c>
      <c r="H572">
        <v>-5.99</v>
      </c>
      <c r="I572">
        <v>-25.58</v>
      </c>
      <c r="J572">
        <v>-253.62</v>
      </c>
      <c r="K572">
        <v>1750.75</v>
      </c>
      <c r="M572">
        <v>1.6</v>
      </c>
    </row>
    <row r="573" spans="1:14">
      <c r="A573" s="28">
        <v>1013</v>
      </c>
      <c r="B573" t="s">
        <v>2298</v>
      </c>
      <c r="C573" t="s">
        <v>348</v>
      </c>
      <c r="D573">
        <v>268.19</v>
      </c>
      <c r="E573">
        <v>538.66999999999996</v>
      </c>
      <c r="F573">
        <v>8.89</v>
      </c>
      <c r="G573">
        <v>-58.87</v>
      </c>
      <c r="H573">
        <v>2.4500000000000002</v>
      </c>
      <c r="I573">
        <v>9.39</v>
      </c>
      <c r="J573">
        <v>284.77</v>
      </c>
      <c r="K573">
        <v>3193.33</v>
      </c>
      <c r="L573">
        <v>8.41</v>
      </c>
      <c r="M573">
        <v>0.75</v>
      </c>
      <c r="N573">
        <v>4.59</v>
      </c>
    </row>
    <row r="574" spans="1:14">
      <c r="A574" s="28">
        <v>761</v>
      </c>
      <c r="B574" t="s">
        <v>1202</v>
      </c>
      <c r="C574" t="s">
        <v>347</v>
      </c>
      <c r="D574">
        <v>268.66000000000003</v>
      </c>
      <c r="E574">
        <v>1095.08</v>
      </c>
      <c r="F574">
        <v>15.16</v>
      </c>
      <c r="G574">
        <v>-33.44</v>
      </c>
      <c r="H574">
        <v>1.21</v>
      </c>
      <c r="I574">
        <v>4.13</v>
      </c>
      <c r="J574">
        <v>451.54</v>
      </c>
      <c r="K574">
        <v>11236.68</v>
      </c>
      <c r="L574">
        <v>28.68</v>
      </c>
      <c r="M574">
        <v>1.1499999999999999</v>
      </c>
      <c r="N574">
        <v>7.73</v>
      </c>
    </row>
    <row r="575" spans="1:14">
      <c r="A575" s="28">
        <v>72</v>
      </c>
      <c r="B575" t="s">
        <v>2823</v>
      </c>
      <c r="C575" t="s">
        <v>348</v>
      </c>
      <c r="D575">
        <v>269.8</v>
      </c>
      <c r="F575">
        <v>143.65</v>
      </c>
      <c r="G575" t="s">
        <v>2788</v>
      </c>
      <c r="H575">
        <v>-4.99</v>
      </c>
      <c r="I575">
        <v>-24.97</v>
      </c>
      <c r="J575">
        <v>-341.73</v>
      </c>
      <c r="K575">
        <v>1400.43</v>
      </c>
      <c r="M575">
        <v>3.23</v>
      </c>
    </row>
    <row r="576" spans="1:14">
      <c r="A576" s="28">
        <v>344</v>
      </c>
      <c r="B576" t="s">
        <v>1761</v>
      </c>
      <c r="C576" t="s">
        <v>348</v>
      </c>
      <c r="D576">
        <v>27.06</v>
      </c>
      <c r="E576">
        <v>498.79</v>
      </c>
      <c r="F576">
        <v>36.18</v>
      </c>
      <c r="G576">
        <v>15.52</v>
      </c>
      <c r="H576">
        <v>17.170000000000002</v>
      </c>
      <c r="I576">
        <v>21.5</v>
      </c>
      <c r="J576">
        <v>587.82000000000005</v>
      </c>
      <c r="K576">
        <v>3047.23</v>
      </c>
      <c r="L576">
        <v>9.58</v>
      </c>
      <c r="M576">
        <v>1.85</v>
      </c>
      <c r="N576">
        <v>8.8699999999999992</v>
      </c>
    </row>
    <row r="577" spans="1:14">
      <c r="A577" s="28">
        <v>97</v>
      </c>
      <c r="B577" t="s">
        <v>1320</v>
      </c>
      <c r="C577" t="s">
        <v>348</v>
      </c>
      <c r="D577">
        <v>27.14</v>
      </c>
      <c r="E577">
        <v>1453.99</v>
      </c>
      <c r="F577">
        <v>113.73</v>
      </c>
      <c r="G577">
        <v>351.8</v>
      </c>
      <c r="H577">
        <v>45.74</v>
      </c>
      <c r="I577">
        <v>57.64</v>
      </c>
      <c r="J577">
        <v>3510.3</v>
      </c>
      <c r="K577">
        <v>7769.97</v>
      </c>
      <c r="L577">
        <v>5.71</v>
      </c>
      <c r="M577">
        <v>2.58</v>
      </c>
      <c r="N577">
        <v>4.5</v>
      </c>
    </row>
    <row r="578" spans="1:14">
      <c r="A578" s="28">
        <v>738</v>
      </c>
      <c r="B578" t="s">
        <v>458</v>
      </c>
      <c r="C578" t="s">
        <v>348</v>
      </c>
      <c r="D578">
        <v>27.16</v>
      </c>
      <c r="E578">
        <v>512.33000000000004</v>
      </c>
      <c r="F578">
        <v>15.83</v>
      </c>
      <c r="G578">
        <v>-92.58</v>
      </c>
      <c r="H578">
        <v>2.11</v>
      </c>
      <c r="I578">
        <v>2.74</v>
      </c>
      <c r="J578">
        <v>79.239999999999995</v>
      </c>
      <c r="K578">
        <v>3222.26</v>
      </c>
      <c r="L578">
        <v>31.11</v>
      </c>
      <c r="M578">
        <v>0.76</v>
      </c>
      <c r="N578">
        <v>9.23</v>
      </c>
    </row>
    <row r="579" spans="1:14">
      <c r="A579" s="28">
        <v>896</v>
      </c>
      <c r="B579" t="s">
        <v>859</v>
      </c>
      <c r="C579" t="s">
        <v>348</v>
      </c>
      <c r="D579">
        <v>27.54</v>
      </c>
      <c r="E579">
        <v>4976.33</v>
      </c>
      <c r="F579">
        <v>11.23</v>
      </c>
      <c r="G579">
        <v>94.66</v>
      </c>
      <c r="H579">
        <v>9.14</v>
      </c>
      <c r="I579">
        <v>12.09</v>
      </c>
      <c r="J579">
        <v>2884.44</v>
      </c>
      <c r="K579">
        <v>25381.63</v>
      </c>
      <c r="L579">
        <v>3.45</v>
      </c>
      <c r="M579">
        <v>0.39</v>
      </c>
      <c r="N579">
        <v>6.81</v>
      </c>
    </row>
    <row r="580" spans="1:14">
      <c r="A580" s="28">
        <v>992</v>
      </c>
      <c r="B580" t="s">
        <v>1734</v>
      </c>
      <c r="C580" t="s">
        <v>348</v>
      </c>
      <c r="D580">
        <v>27.62</v>
      </c>
      <c r="E580">
        <v>420.16</v>
      </c>
      <c r="F580">
        <v>9.3800000000000008</v>
      </c>
      <c r="G580">
        <v>18.649999999999999</v>
      </c>
      <c r="H580">
        <v>1.65</v>
      </c>
      <c r="I580">
        <v>2.08</v>
      </c>
      <c r="J580">
        <v>43.97</v>
      </c>
      <c r="K580">
        <v>2600.79</v>
      </c>
      <c r="L580">
        <v>65.27</v>
      </c>
      <c r="M580">
        <v>1.1000000000000001</v>
      </c>
      <c r="N580">
        <v>38.72</v>
      </c>
    </row>
    <row r="581" spans="1:14">
      <c r="A581" s="28">
        <v>523</v>
      </c>
      <c r="B581" t="s">
        <v>1082</v>
      </c>
      <c r="C581" t="s">
        <v>348</v>
      </c>
      <c r="D581">
        <v>27.67</v>
      </c>
      <c r="E581">
        <v>1659.01</v>
      </c>
      <c r="F581">
        <v>24.53</v>
      </c>
      <c r="G581">
        <v>38.14</v>
      </c>
      <c r="H581">
        <v>10.31</v>
      </c>
      <c r="I581">
        <v>12.96</v>
      </c>
      <c r="J581">
        <v>1053.8900000000001</v>
      </c>
      <c r="K581">
        <v>8795.0300000000007</v>
      </c>
      <c r="L581">
        <v>12.1</v>
      </c>
      <c r="M581">
        <v>1.45</v>
      </c>
      <c r="N581">
        <v>7.07</v>
      </c>
    </row>
    <row r="582" spans="1:14">
      <c r="A582" s="28">
        <v>70</v>
      </c>
      <c r="B582" t="s">
        <v>1852</v>
      </c>
      <c r="C582" t="s">
        <v>348</v>
      </c>
      <c r="D582">
        <v>274.33999999999997</v>
      </c>
      <c r="E582">
        <v>332.75</v>
      </c>
      <c r="F582">
        <v>144.75</v>
      </c>
      <c r="G582" t="s">
        <v>349</v>
      </c>
      <c r="H582">
        <v>-3.28</v>
      </c>
      <c r="I582">
        <v>-11.07</v>
      </c>
      <c r="J582">
        <v>-162.91999999999999</v>
      </c>
      <c r="K582">
        <v>1415.59</v>
      </c>
    </row>
    <row r="583" spans="1:14">
      <c r="A583" s="28">
        <v>64</v>
      </c>
      <c r="B583" t="s">
        <v>2296</v>
      </c>
      <c r="C583" t="s">
        <v>348</v>
      </c>
      <c r="D583">
        <v>28.02</v>
      </c>
      <c r="E583">
        <v>798.56</v>
      </c>
      <c r="F583">
        <v>158.4</v>
      </c>
      <c r="G583" t="s">
        <v>2788</v>
      </c>
      <c r="H583">
        <v>-14.12</v>
      </c>
      <c r="I583">
        <v>-17.12</v>
      </c>
      <c r="J583">
        <v>-796.4</v>
      </c>
      <c r="K583">
        <v>4492.8100000000004</v>
      </c>
      <c r="M583">
        <v>2.46</v>
      </c>
    </row>
    <row r="584" spans="1:14">
      <c r="A584" s="28">
        <v>916</v>
      </c>
      <c r="B584" t="s">
        <v>112</v>
      </c>
      <c r="C584" t="s">
        <v>347</v>
      </c>
      <c r="D584">
        <v>28.02</v>
      </c>
      <c r="E584">
        <v>1267.56</v>
      </c>
      <c r="F584">
        <v>10.94</v>
      </c>
      <c r="G584">
        <v>-0.94</v>
      </c>
      <c r="H584">
        <v>7.44</v>
      </c>
      <c r="I584">
        <v>9.92</v>
      </c>
      <c r="J584">
        <v>6166.63</v>
      </c>
      <c r="K584">
        <v>68378.22</v>
      </c>
      <c r="L584">
        <v>7.01</v>
      </c>
      <c r="M584">
        <v>0.63</v>
      </c>
      <c r="N584">
        <v>4.29</v>
      </c>
    </row>
    <row r="585" spans="1:14">
      <c r="A585" s="28">
        <v>241</v>
      </c>
      <c r="B585" t="s">
        <v>665</v>
      </c>
      <c r="C585" t="s">
        <v>347</v>
      </c>
      <c r="D585">
        <v>28.09</v>
      </c>
      <c r="E585">
        <v>973.36</v>
      </c>
      <c r="F585">
        <v>47.83</v>
      </c>
      <c r="G585">
        <v>-17.3</v>
      </c>
      <c r="H585">
        <v>3.92</v>
      </c>
      <c r="I585">
        <v>5.05</v>
      </c>
      <c r="J585">
        <v>535.01</v>
      </c>
      <c r="K585">
        <v>10733.57</v>
      </c>
      <c r="L585">
        <v>24.92</v>
      </c>
      <c r="M585">
        <v>1.24</v>
      </c>
      <c r="N585">
        <v>27.11</v>
      </c>
    </row>
    <row r="586" spans="1:14">
      <c r="A586" s="28">
        <v>676</v>
      </c>
      <c r="B586" t="s">
        <v>1210</v>
      </c>
      <c r="C586" t="s">
        <v>348</v>
      </c>
      <c r="D586">
        <v>28.18</v>
      </c>
      <c r="E586">
        <v>2101.61</v>
      </c>
      <c r="F586">
        <v>17.760000000000002</v>
      </c>
      <c r="G586">
        <v>47.62</v>
      </c>
      <c r="H586">
        <v>4.8099999999999996</v>
      </c>
      <c r="I586">
        <v>6.44</v>
      </c>
      <c r="J586">
        <v>624.9</v>
      </c>
      <c r="K586">
        <v>11008.05</v>
      </c>
      <c r="L586">
        <v>25.92</v>
      </c>
      <c r="M586">
        <v>1.47</v>
      </c>
      <c r="N586">
        <v>13.43</v>
      </c>
    </row>
    <row r="587" spans="1:14">
      <c r="A587" s="28">
        <v>981</v>
      </c>
      <c r="B587" t="s">
        <v>613</v>
      </c>
      <c r="C587" t="s">
        <v>347</v>
      </c>
      <c r="D587">
        <v>28.35</v>
      </c>
      <c r="E587">
        <v>1232.06</v>
      </c>
      <c r="F587">
        <v>9.52</v>
      </c>
      <c r="G587">
        <v>136.35</v>
      </c>
      <c r="H587">
        <v>9.1999999999999993</v>
      </c>
      <c r="I587">
        <v>11.74</v>
      </c>
      <c r="J587">
        <v>7312.42</v>
      </c>
      <c r="K587">
        <v>67278.89</v>
      </c>
      <c r="L587">
        <v>7.48</v>
      </c>
      <c r="M587">
        <v>0.81</v>
      </c>
      <c r="N587">
        <v>3.98</v>
      </c>
    </row>
    <row r="588" spans="1:14">
      <c r="A588" s="28">
        <v>1002</v>
      </c>
      <c r="B588" t="s">
        <v>1067</v>
      </c>
      <c r="C588" t="s">
        <v>348</v>
      </c>
      <c r="D588">
        <v>28.47</v>
      </c>
      <c r="E588">
        <v>2291.84</v>
      </c>
      <c r="F588">
        <v>9.1300000000000008</v>
      </c>
      <c r="G588">
        <v>-11.49</v>
      </c>
      <c r="H588">
        <v>7.05</v>
      </c>
      <c r="I588">
        <v>9.0399999999999991</v>
      </c>
      <c r="J588">
        <v>1037.29</v>
      </c>
      <c r="K588">
        <v>11959.18</v>
      </c>
      <c r="L588">
        <v>15.58</v>
      </c>
      <c r="M588">
        <v>1.35</v>
      </c>
      <c r="N588">
        <v>9.4700000000000006</v>
      </c>
    </row>
    <row r="589" spans="1:14">
      <c r="A589" s="28">
        <v>562</v>
      </c>
      <c r="B589" t="s">
        <v>1702</v>
      </c>
      <c r="C589" t="s">
        <v>347</v>
      </c>
      <c r="D589">
        <v>28.5</v>
      </c>
      <c r="E589">
        <v>665.64</v>
      </c>
      <c r="F589">
        <v>22.65</v>
      </c>
      <c r="G589">
        <v>606.11</v>
      </c>
      <c r="H589">
        <v>1.7</v>
      </c>
      <c r="I589">
        <v>2.17</v>
      </c>
      <c r="J589">
        <v>73.86</v>
      </c>
      <c r="K589">
        <v>3828.21</v>
      </c>
      <c r="L589">
        <v>599.74</v>
      </c>
      <c r="M589">
        <v>11.57</v>
      </c>
      <c r="N589">
        <v>414.57</v>
      </c>
    </row>
    <row r="590" spans="1:14">
      <c r="A590" s="28">
        <v>651</v>
      </c>
      <c r="B590" t="s">
        <v>209</v>
      </c>
      <c r="C590" t="s">
        <v>347</v>
      </c>
      <c r="D590">
        <v>28.56</v>
      </c>
      <c r="E590">
        <v>1116.3699999999999</v>
      </c>
      <c r="F590">
        <v>18.88</v>
      </c>
      <c r="G590">
        <v>-52.68</v>
      </c>
      <c r="H590">
        <v>2.66</v>
      </c>
      <c r="I590">
        <v>3.27</v>
      </c>
      <c r="J590">
        <v>193.46</v>
      </c>
      <c r="K590">
        <v>6081.83</v>
      </c>
      <c r="L590">
        <v>33.49</v>
      </c>
      <c r="M590">
        <v>1.07</v>
      </c>
      <c r="N590">
        <v>14.33</v>
      </c>
    </row>
    <row r="591" spans="1:14">
      <c r="A591" s="28">
        <v>769</v>
      </c>
      <c r="B591" t="s">
        <v>308</v>
      </c>
      <c r="C591" t="s">
        <v>348</v>
      </c>
      <c r="D591">
        <v>28.92</v>
      </c>
      <c r="E591">
        <v>802.86</v>
      </c>
      <c r="F591">
        <v>14.97</v>
      </c>
      <c r="G591">
        <v>9.7799999999999994</v>
      </c>
      <c r="H591">
        <v>4.47</v>
      </c>
      <c r="I591">
        <v>5.88</v>
      </c>
      <c r="J591">
        <v>248.08</v>
      </c>
      <c r="K591">
        <v>4514.32</v>
      </c>
      <c r="L591">
        <v>10.7</v>
      </c>
      <c r="M591">
        <v>0.59</v>
      </c>
      <c r="N591">
        <v>5.72</v>
      </c>
    </row>
    <row r="592" spans="1:14">
      <c r="A592" s="28">
        <v>6</v>
      </c>
      <c r="B592" t="s">
        <v>2825</v>
      </c>
      <c r="C592" t="s">
        <v>348</v>
      </c>
      <c r="D592">
        <v>280.67</v>
      </c>
      <c r="F592">
        <v>4610.63</v>
      </c>
      <c r="G592" t="s">
        <v>2788</v>
      </c>
      <c r="H592">
        <v>-21.03</v>
      </c>
      <c r="I592">
        <v>-104.3</v>
      </c>
      <c r="J592">
        <v>-18.62</v>
      </c>
      <c r="K592">
        <v>20.5</v>
      </c>
      <c r="M592">
        <v>19.37</v>
      </c>
    </row>
    <row r="593" spans="1:14">
      <c r="A593" s="28">
        <v>920</v>
      </c>
      <c r="B593" t="s">
        <v>2826</v>
      </c>
      <c r="C593" t="s">
        <v>348</v>
      </c>
      <c r="D593">
        <v>281.79000000000002</v>
      </c>
      <c r="E593">
        <v>950.7</v>
      </c>
      <c r="F593">
        <v>10.88</v>
      </c>
      <c r="G593">
        <v>-64.42</v>
      </c>
      <c r="H593">
        <v>0.33</v>
      </c>
      <c r="I593">
        <v>1.21</v>
      </c>
      <c r="J593">
        <v>60.49</v>
      </c>
      <c r="K593">
        <v>5253.5</v>
      </c>
      <c r="L593">
        <v>52.74</v>
      </c>
      <c r="M593">
        <v>0.61</v>
      </c>
      <c r="N593">
        <v>24.72</v>
      </c>
    </row>
    <row r="594" spans="1:14">
      <c r="A594" s="28">
        <v>306</v>
      </c>
      <c r="B594" t="s">
        <v>1743</v>
      </c>
      <c r="C594" t="s">
        <v>348</v>
      </c>
      <c r="D594">
        <v>281.89999999999998</v>
      </c>
      <c r="E594">
        <v>392</v>
      </c>
      <c r="F594">
        <v>40.22</v>
      </c>
      <c r="G594" t="s">
        <v>350</v>
      </c>
      <c r="H594">
        <v>0.7</v>
      </c>
      <c r="I594">
        <v>2.81</v>
      </c>
      <c r="J594">
        <v>60.27</v>
      </c>
      <c r="K594">
        <v>2460.02</v>
      </c>
      <c r="L594">
        <v>200.76</v>
      </c>
      <c r="M594">
        <v>4.92</v>
      </c>
      <c r="N594">
        <v>24.84</v>
      </c>
    </row>
    <row r="595" spans="1:14">
      <c r="A595" s="28">
        <v>638</v>
      </c>
      <c r="B595" t="s">
        <v>1906</v>
      </c>
      <c r="C595" t="s">
        <v>348</v>
      </c>
      <c r="D595">
        <v>282.64</v>
      </c>
      <c r="E595">
        <v>195.25</v>
      </c>
      <c r="F595">
        <v>19.23</v>
      </c>
      <c r="G595" t="s">
        <v>349</v>
      </c>
      <c r="H595">
        <v>-7.75</v>
      </c>
      <c r="I595">
        <v>-23.3</v>
      </c>
      <c r="J595">
        <v>-329.95</v>
      </c>
      <c r="K595">
        <v>1326.13</v>
      </c>
      <c r="M595">
        <v>6.5</v>
      </c>
    </row>
    <row r="596" spans="1:14">
      <c r="A596" s="28">
        <v>645</v>
      </c>
      <c r="B596" t="s">
        <v>2827</v>
      </c>
      <c r="C596" t="s">
        <v>348</v>
      </c>
      <c r="D596">
        <v>287.8</v>
      </c>
      <c r="E596">
        <v>1.63</v>
      </c>
      <c r="F596">
        <v>19.09</v>
      </c>
      <c r="G596">
        <v>9.61</v>
      </c>
      <c r="H596">
        <v>4.7</v>
      </c>
      <c r="I596">
        <v>19.02</v>
      </c>
      <c r="J596">
        <v>87.12</v>
      </c>
      <c r="K596">
        <v>508.14</v>
      </c>
      <c r="L596">
        <v>24.05</v>
      </c>
      <c r="M596">
        <v>4.12</v>
      </c>
      <c r="N596">
        <v>14.24</v>
      </c>
    </row>
    <row r="597" spans="1:14">
      <c r="A597" s="28">
        <v>334</v>
      </c>
      <c r="B597" t="s">
        <v>2828</v>
      </c>
      <c r="C597" t="s">
        <v>348</v>
      </c>
      <c r="D597">
        <v>288.18</v>
      </c>
      <c r="E597">
        <v>28.06</v>
      </c>
      <c r="F597">
        <v>37.06</v>
      </c>
      <c r="G597" t="s">
        <v>2788</v>
      </c>
      <c r="H597">
        <v>-18.86</v>
      </c>
      <c r="I597">
        <v>-56.48</v>
      </c>
      <c r="J597">
        <v>-508.11</v>
      </c>
      <c r="K597">
        <v>642.13</v>
      </c>
      <c r="M597">
        <v>3.26</v>
      </c>
    </row>
    <row r="598" spans="1:14">
      <c r="A598" s="28">
        <v>988</v>
      </c>
      <c r="B598" t="s">
        <v>787</v>
      </c>
      <c r="C598" t="s">
        <v>348</v>
      </c>
      <c r="D598">
        <v>29.05</v>
      </c>
      <c r="E598">
        <v>2147.86</v>
      </c>
      <c r="F598">
        <v>9.4</v>
      </c>
      <c r="G598">
        <v>-77.94</v>
      </c>
      <c r="H598">
        <v>1.72</v>
      </c>
      <c r="I598">
        <v>2.17</v>
      </c>
      <c r="J598">
        <v>231.16</v>
      </c>
      <c r="K598">
        <v>11239.3</v>
      </c>
      <c r="L598">
        <v>29.07</v>
      </c>
      <c r="M598">
        <v>0.6</v>
      </c>
      <c r="N598">
        <v>22.49</v>
      </c>
    </row>
    <row r="599" spans="1:14">
      <c r="A599" s="28">
        <v>361</v>
      </c>
      <c r="B599" t="s">
        <v>2277</v>
      </c>
      <c r="C599" t="s">
        <v>348</v>
      </c>
      <c r="D599">
        <v>29.28</v>
      </c>
      <c r="E599">
        <v>224.43</v>
      </c>
      <c r="F599">
        <v>34.6</v>
      </c>
      <c r="G599" t="s">
        <v>2788</v>
      </c>
      <c r="H599">
        <v>-11.18</v>
      </c>
      <c r="I599">
        <v>-14.39</v>
      </c>
      <c r="J599">
        <v>-230.26</v>
      </c>
      <c r="K599">
        <v>1622.13</v>
      </c>
      <c r="M599">
        <v>1.89</v>
      </c>
    </row>
    <row r="600" spans="1:14">
      <c r="A600" s="28">
        <v>1109</v>
      </c>
      <c r="B600" t="s">
        <v>2755</v>
      </c>
      <c r="C600" t="s">
        <v>348</v>
      </c>
      <c r="D600">
        <v>29.37</v>
      </c>
      <c r="E600">
        <v>968.81</v>
      </c>
      <c r="F600">
        <v>6.73</v>
      </c>
      <c r="G600">
        <v>16.649999999999999</v>
      </c>
      <c r="H600">
        <v>6.84</v>
      </c>
      <c r="I600">
        <v>8.7899999999999991</v>
      </c>
      <c r="J600">
        <v>442.09</v>
      </c>
      <c r="K600">
        <v>5344.06</v>
      </c>
      <c r="L600">
        <v>8.86</v>
      </c>
      <c r="M600">
        <v>0.73</v>
      </c>
      <c r="N600">
        <v>5.31</v>
      </c>
    </row>
    <row r="601" spans="1:14">
      <c r="A601" s="28">
        <v>328</v>
      </c>
      <c r="B601" t="s">
        <v>592</v>
      </c>
      <c r="C601" t="s">
        <v>347</v>
      </c>
      <c r="D601">
        <v>29.48</v>
      </c>
      <c r="E601">
        <v>644.74</v>
      </c>
      <c r="F601">
        <v>37.92</v>
      </c>
      <c r="G601">
        <v>76.239999999999995</v>
      </c>
      <c r="H601">
        <v>30.45</v>
      </c>
      <c r="I601">
        <v>40.72</v>
      </c>
      <c r="J601">
        <v>12548.47</v>
      </c>
      <c r="K601">
        <v>37236.82</v>
      </c>
      <c r="L601">
        <v>2.96</v>
      </c>
      <c r="M601">
        <v>1</v>
      </c>
      <c r="N601">
        <v>1.87</v>
      </c>
    </row>
    <row r="602" spans="1:14">
      <c r="A602" s="28">
        <v>831</v>
      </c>
      <c r="B602" t="s">
        <v>1319</v>
      </c>
      <c r="C602" t="s">
        <v>347</v>
      </c>
      <c r="D602">
        <v>29.8</v>
      </c>
      <c r="E602">
        <v>3964.95</v>
      </c>
      <c r="F602">
        <v>13.27</v>
      </c>
      <c r="G602" t="s">
        <v>2788</v>
      </c>
      <c r="H602">
        <v>-4.41</v>
      </c>
      <c r="I602">
        <v>-5.68</v>
      </c>
      <c r="J602">
        <v>-1177.21</v>
      </c>
      <c r="K602">
        <v>20324.77</v>
      </c>
      <c r="M602">
        <v>0.57999999999999996</v>
      </c>
      <c r="N602">
        <v>38.72</v>
      </c>
    </row>
    <row r="603" spans="1:14">
      <c r="A603" s="28">
        <v>841</v>
      </c>
      <c r="B603" t="s">
        <v>839</v>
      </c>
      <c r="C603" t="s">
        <v>347</v>
      </c>
      <c r="D603">
        <v>29.86</v>
      </c>
      <c r="E603">
        <v>7048.56</v>
      </c>
      <c r="F603">
        <v>12.92</v>
      </c>
      <c r="G603">
        <v>32.29</v>
      </c>
      <c r="H603">
        <v>10.51</v>
      </c>
      <c r="I603">
        <v>13.63</v>
      </c>
      <c r="J603">
        <v>4600.4799999999996</v>
      </c>
      <c r="K603">
        <v>35742.81</v>
      </c>
      <c r="L603">
        <v>7.76</v>
      </c>
      <c r="M603">
        <v>1</v>
      </c>
      <c r="N603">
        <v>6.3</v>
      </c>
    </row>
    <row r="604" spans="1:14">
      <c r="A604" s="28">
        <v>270</v>
      </c>
      <c r="B604" t="s">
        <v>2582</v>
      </c>
      <c r="C604" t="s">
        <v>348</v>
      </c>
      <c r="D604">
        <v>29.91</v>
      </c>
      <c r="E604">
        <v>106.07</v>
      </c>
      <c r="F604">
        <v>44.38</v>
      </c>
      <c r="G604" t="s">
        <v>2788</v>
      </c>
      <c r="H604">
        <v>-62.73</v>
      </c>
      <c r="I604">
        <v>-90.78</v>
      </c>
      <c r="J604">
        <v>-838.14</v>
      </c>
      <c r="K604">
        <v>1030.3399999999999</v>
      </c>
    </row>
    <row r="605" spans="1:14">
      <c r="A605" s="28">
        <v>465</v>
      </c>
      <c r="B605" t="s">
        <v>999</v>
      </c>
      <c r="C605" t="s">
        <v>348</v>
      </c>
      <c r="D605">
        <v>290.27</v>
      </c>
      <c r="E605">
        <v>1364.31</v>
      </c>
      <c r="F605">
        <v>27.53</v>
      </c>
      <c r="G605">
        <v>9.52</v>
      </c>
      <c r="H605">
        <v>8.39</v>
      </c>
      <c r="I605">
        <v>36.14</v>
      </c>
      <c r="J605">
        <v>2104.67</v>
      </c>
      <c r="K605">
        <v>7321.56</v>
      </c>
      <c r="L605">
        <v>3.2</v>
      </c>
      <c r="M605">
        <v>0.92</v>
      </c>
      <c r="N605">
        <v>1.98</v>
      </c>
    </row>
    <row r="606" spans="1:14">
      <c r="A606" s="28">
        <v>998</v>
      </c>
      <c r="B606" t="s">
        <v>1959</v>
      </c>
      <c r="C606" t="s">
        <v>348</v>
      </c>
      <c r="D606">
        <v>291.77999999999997</v>
      </c>
      <c r="E606">
        <v>22.3</v>
      </c>
      <c r="F606">
        <v>9.26</v>
      </c>
      <c r="G606" t="s">
        <v>349</v>
      </c>
      <c r="H606">
        <v>-2.5099999999999998</v>
      </c>
      <c r="I606">
        <v>-9.4600000000000009</v>
      </c>
      <c r="J606">
        <v>-591.88</v>
      </c>
      <c r="K606">
        <v>6115.02</v>
      </c>
      <c r="M606">
        <v>0.87</v>
      </c>
      <c r="N606">
        <v>30.14</v>
      </c>
    </row>
    <row r="607" spans="1:14">
      <c r="A607" s="28">
        <v>567</v>
      </c>
      <c r="B607" t="s">
        <v>258</v>
      </c>
      <c r="C607" t="s">
        <v>348</v>
      </c>
      <c r="D607">
        <v>292.23</v>
      </c>
      <c r="E607">
        <v>1207.83</v>
      </c>
      <c r="F607">
        <v>22.29</v>
      </c>
      <c r="G607" t="s">
        <v>349</v>
      </c>
      <c r="H607">
        <v>-3.67</v>
      </c>
      <c r="I607">
        <v>-14.44</v>
      </c>
      <c r="J607">
        <v>-10073.94</v>
      </c>
      <c r="K607">
        <v>67468.710000000006</v>
      </c>
      <c r="M607">
        <v>0.28999999999999998</v>
      </c>
    </row>
    <row r="608" spans="1:14">
      <c r="A608" s="28">
        <v>999</v>
      </c>
      <c r="B608" t="s">
        <v>401</v>
      </c>
      <c r="C608" t="s">
        <v>348</v>
      </c>
      <c r="D608">
        <v>294.62</v>
      </c>
      <c r="E608">
        <v>1991.1</v>
      </c>
      <c r="F608">
        <v>9.24</v>
      </c>
      <c r="G608">
        <v>-16.78</v>
      </c>
      <c r="H608">
        <v>6.65</v>
      </c>
      <c r="I608">
        <v>25.92</v>
      </c>
      <c r="J608">
        <v>1116.47</v>
      </c>
      <c r="K608">
        <v>10640.7</v>
      </c>
      <c r="L608">
        <v>14.9</v>
      </c>
      <c r="M608">
        <v>1.56</v>
      </c>
      <c r="N608">
        <v>5.32</v>
      </c>
    </row>
    <row r="609" spans="1:14">
      <c r="A609" s="28">
        <v>288</v>
      </c>
      <c r="B609" t="s">
        <v>1071</v>
      </c>
      <c r="C609" t="s">
        <v>347</v>
      </c>
      <c r="D609">
        <v>299.88</v>
      </c>
      <c r="E609">
        <v>194.46</v>
      </c>
      <c r="F609">
        <v>42.03</v>
      </c>
      <c r="G609">
        <v>-6.95</v>
      </c>
      <c r="H609">
        <v>4.82</v>
      </c>
      <c r="I609">
        <v>22.62</v>
      </c>
      <c r="J609">
        <v>277.02999999999997</v>
      </c>
      <c r="K609">
        <v>1472.31</v>
      </c>
      <c r="L609">
        <v>3.4</v>
      </c>
      <c r="M609">
        <v>0.64</v>
      </c>
      <c r="N609">
        <v>3.6</v>
      </c>
    </row>
    <row r="610" spans="1:14">
      <c r="A610" s="28">
        <v>606</v>
      </c>
      <c r="B610" t="s">
        <v>811</v>
      </c>
      <c r="C610" t="s">
        <v>348</v>
      </c>
      <c r="D610">
        <v>3.18</v>
      </c>
      <c r="E610">
        <v>1754.72</v>
      </c>
      <c r="F610">
        <v>20.329999999999998</v>
      </c>
      <c r="G610">
        <v>-72.38</v>
      </c>
      <c r="H610">
        <v>1.06</v>
      </c>
      <c r="I610">
        <v>1.0900000000000001</v>
      </c>
      <c r="J610">
        <v>104.99</v>
      </c>
      <c r="K610">
        <v>10265.61</v>
      </c>
      <c r="L610">
        <v>156.68</v>
      </c>
      <c r="M610">
        <v>1.6</v>
      </c>
      <c r="N610">
        <v>66.33</v>
      </c>
    </row>
    <row r="611" spans="1:14">
      <c r="A611" s="28">
        <v>575</v>
      </c>
      <c r="B611" t="s">
        <v>609</v>
      </c>
      <c r="C611" t="s">
        <v>347</v>
      </c>
      <c r="D611">
        <v>3.33</v>
      </c>
      <c r="E611">
        <v>1496.2</v>
      </c>
      <c r="F611">
        <v>21.95</v>
      </c>
      <c r="G611" t="s">
        <v>350</v>
      </c>
      <c r="H611">
        <v>4.74</v>
      </c>
      <c r="I611">
        <v>4.9000000000000004</v>
      </c>
      <c r="J611">
        <v>766.29</v>
      </c>
      <c r="K611">
        <v>15962.04</v>
      </c>
      <c r="L611">
        <v>4.97</v>
      </c>
      <c r="M611">
        <v>0.24</v>
      </c>
      <c r="N611">
        <v>8.23</v>
      </c>
    </row>
    <row r="612" spans="1:14">
      <c r="A612" s="28">
        <v>1034</v>
      </c>
      <c r="B612" t="s">
        <v>188</v>
      </c>
      <c r="C612" t="s">
        <v>347</v>
      </c>
      <c r="D612">
        <v>3.51</v>
      </c>
      <c r="E612">
        <v>329.3</v>
      </c>
      <c r="F612">
        <v>8.3699999999999992</v>
      </c>
      <c r="G612" t="s">
        <v>350</v>
      </c>
      <c r="H612">
        <v>10.210000000000001</v>
      </c>
      <c r="I612">
        <v>10.6</v>
      </c>
      <c r="J612">
        <v>1008.07</v>
      </c>
      <c r="K612">
        <v>10732.53</v>
      </c>
      <c r="L612">
        <v>6.35</v>
      </c>
      <c r="M612">
        <v>0.6</v>
      </c>
    </row>
    <row r="613" spans="1:14">
      <c r="A613" s="28">
        <v>7</v>
      </c>
      <c r="B613" t="s">
        <v>360</v>
      </c>
      <c r="C613" t="s">
        <v>347</v>
      </c>
      <c r="D613">
        <v>3.59</v>
      </c>
      <c r="E613">
        <v>1956.44</v>
      </c>
      <c r="F613">
        <v>3360.23</v>
      </c>
      <c r="G613">
        <v>343.56</v>
      </c>
      <c r="H613">
        <v>16.010000000000002</v>
      </c>
      <c r="I613">
        <v>20.34</v>
      </c>
      <c r="J613">
        <v>24385.87</v>
      </c>
      <c r="K613">
        <v>111125.48</v>
      </c>
      <c r="L613">
        <v>4.3499999999999996</v>
      </c>
      <c r="M613">
        <v>0.96</v>
      </c>
      <c r="N613">
        <v>9.77</v>
      </c>
    </row>
    <row r="614" spans="1:14">
      <c r="A614" s="28">
        <v>1088</v>
      </c>
      <c r="B614" t="s">
        <v>310</v>
      </c>
      <c r="C614" t="s">
        <v>348</v>
      </c>
      <c r="D614">
        <v>3.67</v>
      </c>
      <c r="E614">
        <v>2805.57</v>
      </c>
      <c r="F614">
        <v>7.33</v>
      </c>
      <c r="G614">
        <v>-63.1</v>
      </c>
      <c r="H614">
        <v>3.39</v>
      </c>
      <c r="I614">
        <v>3.54</v>
      </c>
      <c r="J614">
        <v>421.41</v>
      </c>
      <c r="K614">
        <v>14527.87</v>
      </c>
      <c r="L614">
        <v>26.62</v>
      </c>
      <c r="M614">
        <v>0.77</v>
      </c>
      <c r="N614">
        <v>10.76</v>
      </c>
    </row>
    <row r="615" spans="1:14">
      <c r="A615" s="28">
        <v>23</v>
      </c>
      <c r="B615" t="s">
        <v>1706</v>
      </c>
      <c r="C615" t="s">
        <v>348</v>
      </c>
      <c r="D615">
        <v>3.67</v>
      </c>
      <c r="E615">
        <v>207.84</v>
      </c>
      <c r="F615">
        <v>426.32</v>
      </c>
      <c r="G615" t="s">
        <v>2788</v>
      </c>
      <c r="H615">
        <v>-82.75</v>
      </c>
      <c r="I615" t="s">
        <v>2792</v>
      </c>
      <c r="J615">
        <v>-1763.27</v>
      </c>
      <c r="K615">
        <v>1539.19</v>
      </c>
    </row>
    <row r="616" spans="1:14">
      <c r="A616" s="28">
        <v>244</v>
      </c>
      <c r="B616" t="s">
        <v>2341</v>
      </c>
      <c r="C616" t="s">
        <v>348</v>
      </c>
      <c r="D616">
        <v>3.91</v>
      </c>
      <c r="E616">
        <v>252.21</v>
      </c>
      <c r="F616">
        <v>47.69</v>
      </c>
      <c r="G616" t="s">
        <v>350</v>
      </c>
      <c r="H616">
        <v>3.96</v>
      </c>
      <c r="I616">
        <v>4.29</v>
      </c>
      <c r="J616">
        <v>149.86000000000001</v>
      </c>
      <c r="K616">
        <v>3693.63</v>
      </c>
      <c r="L616">
        <v>7.18</v>
      </c>
      <c r="M616">
        <v>0.28999999999999998</v>
      </c>
      <c r="N616">
        <v>41.61</v>
      </c>
    </row>
    <row r="617" spans="1:14">
      <c r="A617" s="28">
        <v>909</v>
      </c>
      <c r="B617" t="s">
        <v>97</v>
      </c>
      <c r="C617" t="s">
        <v>347</v>
      </c>
      <c r="D617">
        <v>30.04</v>
      </c>
      <c r="E617">
        <v>943.79</v>
      </c>
      <c r="F617">
        <v>11.04</v>
      </c>
      <c r="G617">
        <v>8.98</v>
      </c>
      <c r="H617">
        <v>8.17</v>
      </c>
      <c r="I617">
        <v>10.73</v>
      </c>
      <c r="J617">
        <v>5327.73</v>
      </c>
      <c r="K617">
        <v>52189.7</v>
      </c>
      <c r="L617">
        <v>2.98</v>
      </c>
      <c r="M617">
        <v>0.3</v>
      </c>
      <c r="N617">
        <v>3.72</v>
      </c>
    </row>
    <row r="618" spans="1:14">
      <c r="A618" s="28">
        <v>721</v>
      </c>
      <c r="B618" t="s">
        <v>320</v>
      </c>
      <c r="C618" t="s">
        <v>348</v>
      </c>
      <c r="D618">
        <v>30.05</v>
      </c>
      <c r="E618">
        <v>4213.38</v>
      </c>
      <c r="F618">
        <v>16.16</v>
      </c>
      <c r="G618">
        <v>-0.61</v>
      </c>
      <c r="H618">
        <v>6.3</v>
      </c>
      <c r="I618">
        <v>7.96</v>
      </c>
      <c r="J618">
        <v>1605.98</v>
      </c>
      <c r="K618">
        <v>21566.91</v>
      </c>
      <c r="L618">
        <v>8.2200000000000006</v>
      </c>
      <c r="M618">
        <v>0.61</v>
      </c>
      <c r="N618">
        <v>8.59</v>
      </c>
    </row>
    <row r="619" spans="1:14">
      <c r="A619" s="28">
        <v>250</v>
      </c>
      <c r="B619" t="s">
        <v>1378</v>
      </c>
      <c r="C619" t="s">
        <v>348</v>
      </c>
      <c r="D619">
        <v>30.12</v>
      </c>
      <c r="E619">
        <v>4311.08</v>
      </c>
      <c r="F619">
        <v>46.22</v>
      </c>
      <c r="G619">
        <v>4105.17</v>
      </c>
      <c r="H619">
        <v>20.05</v>
      </c>
      <c r="I619">
        <v>30.37</v>
      </c>
      <c r="J619">
        <v>5155.43</v>
      </c>
      <c r="K619">
        <v>22055.41</v>
      </c>
      <c r="L619">
        <v>6</v>
      </c>
      <c r="M619">
        <v>1.4</v>
      </c>
      <c r="N619">
        <v>22.5</v>
      </c>
    </row>
    <row r="620" spans="1:14">
      <c r="A620" s="28">
        <v>926</v>
      </c>
      <c r="B620" t="s">
        <v>1383</v>
      </c>
      <c r="C620" t="s">
        <v>348</v>
      </c>
      <c r="D620">
        <v>30.31</v>
      </c>
      <c r="E620">
        <v>743.71</v>
      </c>
      <c r="F620">
        <v>10.62</v>
      </c>
      <c r="G620">
        <v>-88.05</v>
      </c>
      <c r="H620">
        <v>0.44</v>
      </c>
      <c r="I620">
        <v>0.59</v>
      </c>
      <c r="J620">
        <v>23.01</v>
      </c>
      <c r="K620">
        <v>4218.55</v>
      </c>
      <c r="L620">
        <v>267.24</v>
      </c>
      <c r="M620">
        <v>1.46</v>
      </c>
      <c r="N620">
        <v>23.59</v>
      </c>
    </row>
    <row r="621" spans="1:14">
      <c r="A621" s="28">
        <v>962</v>
      </c>
      <c r="B621" t="s">
        <v>629</v>
      </c>
      <c r="C621" t="s">
        <v>348</v>
      </c>
      <c r="D621">
        <v>30.42</v>
      </c>
      <c r="E621">
        <v>4200.57</v>
      </c>
      <c r="F621">
        <v>9.8800000000000008</v>
      </c>
      <c r="G621">
        <v>1.04</v>
      </c>
      <c r="H621">
        <v>12.06</v>
      </c>
      <c r="I621">
        <v>16.23</v>
      </c>
      <c r="J621">
        <v>668.66</v>
      </c>
      <c r="K621">
        <v>4378.29</v>
      </c>
      <c r="L621">
        <v>21.61</v>
      </c>
      <c r="M621">
        <v>3.3</v>
      </c>
      <c r="N621">
        <v>17.86</v>
      </c>
    </row>
    <row r="622" spans="1:14">
      <c r="A622" s="28">
        <v>1019</v>
      </c>
      <c r="B622" t="s">
        <v>986</v>
      </c>
      <c r="C622" t="s">
        <v>347</v>
      </c>
      <c r="D622">
        <v>30.57</v>
      </c>
      <c r="E622">
        <v>7313.27</v>
      </c>
      <c r="F622">
        <v>8.74</v>
      </c>
      <c r="G622">
        <v>49.06</v>
      </c>
      <c r="H622">
        <v>4.16</v>
      </c>
      <c r="I622">
        <v>5.37</v>
      </c>
      <c r="J622">
        <v>18909.79</v>
      </c>
      <c r="K622">
        <v>370663.39</v>
      </c>
      <c r="L622">
        <v>21.52</v>
      </c>
      <c r="M622">
        <v>1.1000000000000001</v>
      </c>
      <c r="N622">
        <v>12.72</v>
      </c>
    </row>
    <row r="623" spans="1:14">
      <c r="A623" s="28">
        <v>114</v>
      </c>
      <c r="B623" t="s">
        <v>1813</v>
      </c>
      <c r="C623" t="s">
        <v>348</v>
      </c>
      <c r="D623">
        <v>30.63</v>
      </c>
      <c r="E623">
        <v>3799.75</v>
      </c>
      <c r="F623">
        <v>93.9</v>
      </c>
      <c r="G623">
        <v>33.950000000000003</v>
      </c>
      <c r="H623">
        <v>10.83</v>
      </c>
      <c r="I623">
        <v>13.95</v>
      </c>
      <c r="J623">
        <v>2200.8200000000002</v>
      </c>
      <c r="K623">
        <v>19498.75</v>
      </c>
      <c r="L623">
        <v>27.44</v>
      </c>
      <c r="M623">
        <v>3.1</v>
      </c>
      <c r="N623">
        <v>29.66</v>
      </c>
    </row>
    <row r="624" spans="1:14">
      <c r="A624" s="28">
        <v>791</v>
      </c>
      <c r="B624" t="s">
        <v>946</v>
      </c>
      <c r="C624" t="s">
        <v>347</v>
      </c>
      <c r="D624">
        <v>30.74</v>
      </c>
      <c r="E624">
        <v>5579.93</v>
      </c>
      <c r="F624">
        <v>14.44</v>
      </c>
      <c r="G624">
        <v>15.5</v>
      </c>
      <c r="H624">
        <v>5.16</v>
      </c>
      <c r="I624">
        <v>6.81</v>
      </c>
      <c r="J624">
        <v>19269.759999999998</v>
      </c>
      <c r="K624">
        <v>297823.71999999997</v>
      </c>
      <c r="L624">
        <v>12.3</v>
      </c>
      <c r="M624">
        <v>0.8</v>
      </c>
      <c r="N624">
        <v>13.53</v>
      </c>
    </row>
    <row r="625" spans="1:14">
      <c r="A625" s="28">
        <v>377</v>
      </c>
      <c r="B625" t="s">
        <v>1806</v>
      </c>
      <c r="C625" t="s">
        <v>348</v>
      </c>
      <c r="D625">
        <v>30.79</v>
      </c>
      <c r="E625">
        <v>791.35</v>
      </c>
      <c r="F625">
        <v>32.799999999999997</v>
      </c>
      <c r="G625" t="s">
        <v>350</v>
      </c>
      <c r="H625">
        <v>4.57</v>
      </c>
      <c r="I625">
        <v>6</v>
      </c>
      <c r="J625">
        <v>336.05</v>
      </c>
      <c r="K625">
        <v>4456.76</v>
      </c>
      <c r="L625">
        <v>13.15</v>
      </c>
      <c r="M625">
        <v>0.99</v>
      </c>
      <c r="N625">
        <v>14.27</v>
      </c>
    </row>
    <row r="626" spans="1:14">
      <c r="A626" s="28">
        <v>492</v>
      </c>
      <c r="B626" t="s">
        <v>1869</v>
      </c>
      <c r="C626" t="s">
        <v>348</v>
      </c>
      <c r="D626">
        <v>309.27999999999997</v>
      </c>
      <c r="E626">
        <v>26.89</v>
      </c>
      <c r="F626">
        <v>25.86</v>
      </c>
      <c r="G626" t="s">
        <v>2788</v>
      </c>
      <c r="H626">
        <v>-71.13</v>
      </c>
      <c r="I626" t="s">
        <v>2792</v>
      </c>
      <c r="J626">
        <v>-3509.5</v>
      </c>
      <c r="K626">
        <v>1112.22</v>
      </c>
    </row>
    <row r="627" spans="1:14">
      <c r="A627" s="28">
        <v>636</v>
      </c>
      <c r="B627" t="s">
        <v>2403</v>
      </c>
      <c r="C627" t="s">
        <v>347</v>
      </c>
      <c r="D627">
        <v>31.05</v>
      </c>
      <c r="E627">
        <v>84.94</v>
      </c>
      <c r="F627">
        <v>19.260000000000002</v>
      </c>
      <c r="G627" t="s">
        <v>349</v>
      </c>
      <c r="H627">
        <v>-30.79</v>
      </c>
      <c r="I627">
        <v>-42.71</v>
      </c>
      <c r="J627">
        <v>-473.16</v>
      </c>
      <c r="K627">
        <v>924.72</v>
      </c>
      <c r="M627">
        <v>0.56000000000000005</v>
      </c>
      <c r="N627">
        <v>33.53</v>
      </c>
    </row>
    <row r="628" spans="1:14">
      <c r="A628" s="28">
        <v>428</v>
      </c>
      <c r="B628" t="s">
        <v>1478</v>
      </c>
      <c r="C628" t="s">
        <v>348</v>
      </c>
      <c r="D628">
        <v>31.12</v>
      </c>
      <c r="E628">
        <v>60.91</v>
      </c>
      <c r="F628">
        <v>29.77</v>
      </c>
      <c r="G628">
        <v>284.67</v>
      </c>
      <c r="H628">
        <v>3.55</v>
      </c>
      <c r="I628">
        <v>4.47</v>
      </c>
      <c r="J628">
        <v>63.77</v>
      </c>
      <c r="K628">
        <v>1609.08</v>
      </c>
      <c r="L628">
        <v>18.02</v>
      </c>
      <c r="M628">
        <v>0.71</v>
      </c>
      <c r="N628">
        <v>12.98</v>
      </c>
    </row>
    <row r="629" spans="1:14">
      <c r="A629" s="28">
        <v>426</v>
      </c>
      <c r="B629" t="s">
        <v>1042</v>
      </c>
      <c r="C629" t="s">
        <v>348</v>
      </c>
      <c r="D629">
        <v>31.13</v>
      </c>
      <c r="E629">
        <v>1757.63</v>
      </c>
      <c r="F629">
        <v>30.02</v>
      </c>
      <c r="G629" t="s">
        <v>2788</v>
      </c>
      <c r="H629">
        <v>-3.98</v>
      </c>
      <c r="I629">
        <v>-5.37</v>
      </c>
      <c r="J629">
        <v>-448.68</v>
      </c>
      <c r="K629">
        <v>9288.16</v>
      </c>
      <c r="M629">
        <v>0.95</v>
      </c>
    </row>
    <row r="630" spans="1:14">
      <c r="A630" s="28">
        <v>704</v>
      </c>
      <c r="B630" t="s">
        <v>1668</v>
      </c>
      <c r="C630" t="s">
        <v>348</v>
      </c>
      <c r="D630">
        <v>31.36</v>
      </c>
      <c r="E630">
        <v>545.99</v>
      </c>
      <c r="F630">
        <v>16.55</v>
      </c>
      <c r="G630">
        <v>-20.8</v>
      </c>
      <c r="H630">
        <v>7.08</v>
      </c>
      <c r="I630">
        <v>12.04</v>
      </c>
      <c r="J630">
        <v>344.92</v>
      </c>
      <c r="K630">
        <v>3229.94</v>
      </c>
      <c r="L630">
        <v>26.9</v>
      </c>
      <c r="M630">
        <v>2.87</v>
      </c>
      <c r="N630">
        <v>19.170000000000002</v>
      </c>
    </row>
    <row r="631" spans="1:14">
      <c r="A631" s="28">
        <v>392</v>
      </c>
      <c r="B631" t="s">
        <v>1861</v>
      </c>
      <c r="C631" t="s">
        <v>348</v>
      </c>
      <c r="D631">
        <v>31.38</v>
      </c>
      <c r="E631">
        <v>334.76</v>
      </c>
      <c r="F631">
        <v>31.99</v>
      </c>
      <c r="G631">
        <v>244.75</v>
      </c>
      <c r="H631">
        <v>13.51</v>
      </c>
      <c r="I631">
        <v>17.53</v>
      </c>
      <c r="J631">
        <v>348.06</v>
      </c>
      <c r="K631">
        <v>2173.7800000000002</v>
      </c>
      <c r="N631">
        <v>0</v>
      </c>
    </row>
    <row r="632" spans="1:14">
      <c r="A632" s="28">
        <v>292</v>
      </c>
      <c r="B632" t="s">
        <v>2765</v>
      </c>
      <c r="C632" t="s">
        <v>348</v>
      </c>
      <c r="D632">
        <v>31.53</v>
      </c>
      <c r="E632">
        <v>13400.3</v>
      </c>
      <c r="F632">
        <v>41.72</v>
      </c>
      <c r="G632" t="s">
        <v>350</v>
      </c>
      <c r="H632">
        <v>7.79</v>
      </c>
      <c r="I632">
        <v>10.29</v>
      </c>
      <c r="J632">
        <v>1316.61</v>
      </c>
      <c r="K632">
        <v>13500.3</v>
      </c>
      <c r="L632">
        <v>23.09</v>
      </c>
      <c r="M632">
        <v>2.25</v>
      </c>
      <c r="N632">
        <v>17.62</v>
      </c>
    </row>
    <row r="633" spans="1:14">
      <c r="A633" s="28">
        <v>976</v>
      </c>
      <c r="B633" t="s">
        <v>2862</v>
      </c>
      <c r="C633" t="s">
        <v>348</v>
      </c>
      <c r="D633">
        <v>311.82</v>
      </c>
      <c r="E633">
        <v>192.73</v>
      </c>
      <c r="F633">
        <v>9.64</v>
      </c>
      <c r="G633" t="s">
        <v>2788</v>
      </c>
      <c r="H633">
        <v>-4.43</v>
      </c>
      <c r="I633">
        <v>-16.899999999999999</v>
      </c>
      <c r="J633">
        <v>-53.97</v>
      </c>
      <c r="K633">
        <v>292.73</v>
      </c>
      <c r="M633">
        <v>1.22</v>
      </c>
      <c r="N633">
        <v>25</v>
      </c>
    </row>
    <row r="634" spans="1:14">
      <c r="A634" s="28">
        <v>468</v>
      </c>
      <c r="B634" t="s">
        <v>2140</v>
      </c>
      <c r="C634" t="s">
        <v>348</v>
      </c>
      <c r="D634">
        <v>313.91000000000003</v>
      </c>
      <c r="E634">
        <v>75.61</v>
      </c>
      <c r="F634">
        <v>27.13</v>
      </c>
      <c r="G634" t="s">
        <v>2788</v>
      </c>
      <c r="H634">
        <v>-15.11</v>
      </c>
      <c r="I634">
        <v>-66.45</v>
      </c>
      <c r="J634">
        <v>-103.55</v>
      </c>
      <c r="K634">
        <v>175.61</v>
      </c>
      <c r="M634">
        <v>3.7</v>
      </c>
    </row>
    <row r="635" spans="1:14">
      <c r="A635" s="28">
        <v>62</v>
      </c>
      <c r="B635" t="s">
        <v>2829</v>
      </c>
      <c r="C635" t="s">
        <v>348</v>
      </c>
      <c r="D635">
        <v>319.01</v>
      </c>
      <c r="E635">
        <v>116.01</v>
      </c>
      <c r="F635">
        <v>160.96</v>
      </c>
      <c r="G635" t="s">
        <v>2788</v>
      </c>
      <c r="H635">
        <v>-35.39</v>
      </c>
      <c r="I635">
        <v>-535.5</v>
      </c>
      <c r="J635">
        <v>-269.35000000000002</v>
      </c>
      <c r="K635">
        <v>216.01</v>
      </c>
      <c r="M635">
        <v>19.07</v>
      </c>
    </row>
    <row r="636" spans="1:14">
      <c r="A636" s="28">
        <v>565</v>
      </c>
      <c r="B636" t="s">
        <v>2299</v>
      </c>
      <c r="C636" t="s">
        <v>347</v>
      </c>
      <c r="D636">
        <v>32.11</v>
      </c>
      <c r="E636">
        <v>194.03</v>
      </c>
      <c r="F636">
        <v>22.55</v>
      </c>
      <c r="G636" t="s">
        <v>2788</v>
      </c>
      <c r="H636">
        <v>-10.23</v>
      </c>
      <c r="I636">
        <v>-13.06</v>
      </c>
      <c r="J636">
        <v>-197.99</v>
      </c>
      <c r="K636">
        <v>1507.6</v>
      </c>
      <c r="M636">
        <v>0.42</v>
      </c>
    </row>
    <row r="637" spans="1:14">
      <c r="A637" s="28">
        <v>289</v>
      </c>
      <c r="B637" t="s">
        <v>1375</v>
      </c>
      <c r="C637" t="s">
        <v>348</v>
      </c>
      <c r="D637">
        <v>32.17</v>
      </c>
      <c r="E637">
        <v>3336.79</v>
      </c>
      <c r="F637">
        <v>41.89</v>
      </c>
      <c r="G637">
        <v>121.4</v>
      </c>
      <c r="H637">
        <v>15.7</v>
      </c>
      <c r="I637">
        <v>21.4</v>
      </c>
      <c r="J637">
        <v>3233.76</v>
      </c>
      <c r="K637">
        <v>17183.97</v>
      </c>
      <c r="L637">
        <v>35.22</v>
      </c>
      <c r="M637">
        <v>6.63</v>
      </c>
      <c r="N637">
        <v>23.27</v>
      </c>
    </row>
    <row r="638" spans="1:14">
      <c r="A638" s="28">
        <v>190</v>
      </c>
      <c r="B638" t="s">
        <v>2455</v>
      </c>
      <c r="C638" t="s">
        <v>348</v>
      </c>
      <c r="D638">
        <v>32.36</v>
      </c>
      <c r="E638">
        <v>810.4</v>
      </c>
      <c r="F638">
        <v>58.49</v>
      </c>
      <c r="G638">
        <v>162.28</v>
      </c>
      <c r="H638">
        <v>18.420000000000002</v>
      </c>
      <c r="I638">
        <v>24.83</v>
      </c>
      <c r="J638">
        <v>1001.89</v>
      </c>
      <c r="K638">
        <v>4551.9799999999996</v>
      </c>
      <c r="L638">
        <v>12.53</v>
      </c>
      <c r="M638">
        <v>2.76</v>
      </c>
      <c r="N638">
        <v>10.95</v>
      </c>
    </row>
    <row r="639" spans="1:14">
      <c r="A639" s="28">
        <v>343</v>
      </c>
      <c r="B639" t="s">
        <v>1379</v>
      </c>
      <c r="C639" t="s">
        <v>348</v>
      </c>
      <c r="D639">
        <v>32.58</v>
      </c>
      <c r="E639">
        <v>6708.98</v>
      </c>
      <c r="F639">
        <v>36.19</v>
      </c>
      <c r="G639">
        <v>96.38</v>
      </c>
      <c r="H639">
        <v>4.7699999999999996</v>
      </c>
      <c r="I639">
        <v>6.23</v>
      </c>
      <c r="J639">
        <v>411.61</v>
      </c>
      <c r="K639">
        <v>6808.98</v>
      </c>
      <c r="L639">
        <v>21.38</v>
      </c>
      <c r="M639">
        <v>1.29</v>
      </c>
      <c r="N639">
        <v>15.43</v>
      </c>
    </row>
    <row r="640" spans="1:14">
      <c r="A640" s="28">
        <v>298</v>
      </c>
      <c r="B640" t="s">
        <v>598</v>
      </c>
      <c r="C640" t="s">
        <v>348</v>
      </c>
      <c r="D640">
        <v>32.950000000000003</v>
      </c>
      <c r="E640">
        <v>5155.79</v>
      </c>
      <c r="F640">
        <v>41.28</v>
      </c>
      <c r="G640">
        <v>-69.83</v>
      </c>
      <c r="H640">
        <v>0.88</v>
      </c>
      <c r="I640">
        <v>1.1599999999999999</v>
      </c>
      <c r="J640">
        <v>300.31</v>
      </c>
      <c r="K640">
        <v>26278.94</v>
      </c>
      <c r="L640">
        <v>32.97</v>
      </c>
      <c r="M640">
        <v>0.38</v>
      </c>
      <c r="N640">
        <v>22.35</v>
      </c>
    </row>
    <row r="641" spans="1:14">
      <c r="A641" s="28">
        <v>568</v>
      </c>
      <c r="B641" t="s">
        <v>2830</v>
      </c>
      <c r="C641" t="s">
        <v>348</v>
      </c>
      <c r="D641">
        <v>32.99</v>
      </c>
      <c r="E641">
        <v>2126.34</v>
      </c>
      <c r="F641">
        <v>22.27</v>
      </c>
      <c r="G641">
        <v>74.52</v>
      </c>
      <c r="H641">
        <v>3.46</v>
      </c>
      <c r="I641">
        <v>4.54</v>
      </c>
      <c r="J641">
        <v>453.57</v>
      </c>
      <c r="K641">
        <v>11131.68</v>
      </c>
      <c r="N641">
        <v>0</v>
      </c>
    </row>
    <row r="642" spans="1:14">
      <c r="A642" s="28">
        <v>1045</v>
      </c>
      <c r="B642" t="s">
        <v>1595</v>
      </c>
      <c r="C642" t="s">
        <v>347</v>
      </c>
      <c r="D642">
        <v>325.23</v>
      </c>
      <c r="E642">
        <v>156.18</v>
      </c>
      <c r="F642">
        <v>8.09</v>
      </c>
      <c r="G642">
        <v>153.76</v>
      </c>
      <c r="H642">
        <v>1.94</v>
      </c>
      <c r="I642">
        <v>7.77</v>
      </c>
      <c r="J642">
        <v>94.73</v>
      </c>
      <c r="K642">
        <v>1280.92</v>
      </c>
      <c r="L642">
        <v>34.26</v>
      </c>
      <c r="M642">
        <v>2.5299999999999998</v>
      </c>
      <c r="N642">
        <v>38.270000000000003</v>
      </c>
    </row>
    <row r="643" spans="1:14">
      <c r="A643" s="28">
        <v>453</v>
      </c>
      <c r="B643" t="s">
        <v>915</v>
      </c>
      <c r="C643" t="s">
        <v>348</v>
      </c>
      <c r="D643">
        <v>327.94</v>
      </c>
      <c r="E643">
        <v>227.4</v>
      </c>
      <c r="F643">
        <v>27.99</v>
      </c>
      <c r="G643">
        <v>-24.93</v>
      </c>
      <c r="H643">
        <v>1.4</v>
      </c>
      <c r="I643">
        <v>5.43</v>
      </c>
      <c r="J643">
        <v>89.95</v>
      </c>
      <c r="K643">
        <v>1689.88</v>
      </c>
      <c r="L643">
        <v>18.23</v>
      </c>
      <c r="M643">
        <v>0.97</v>
      </c>
      <c r="N643">
        <v>9.17</v>
      </c>
    </row>
    <row r="644" spans="1:14">
      <c r="A644" s="28">
        <v>743</v>
      </c>
      <c r="B644" t="s">
        <v>1914</v>
      </c>
      <c r="C644" t="s">
        <v>348</v>
      </c>
      <c r="D644">
        <v>33.11</v>
      </c>
      <c r="E644">
        <v>1244.58</v>
      </c>
      <c r="F644">
        <v>15.69</v>
      </c>
      <c r="G644" t="s">
        <v>350</v>
      </c>
      <c r="H644">
        <v>59.5</v>
      </c>
      <c r="I644">
        <v>82.34</v>
      </c>
      <c r="J644">
        <v>4655.2700000000004</v>
      </c>
      <c r="K644">
        <v>6722.9</v>
      </c>
      <c r="L644">
        <v>3.17</v>
      </c>
      <c r="M644">
        <v>2.19</v>
      </c>
    </row>
    <row r="645" spans="1:14">
      <c r="A645" s="28">
        <v>861</v>
      </c>
      <c r="B645" t="s">
        <v>908</v>
      </c>
      <c r="C645" t="s">
        <v>347</v>
      </c>
      <c r="D645">
        <v>33.11</v>
      </c>
      <c r="E645">
        <v>69.459999999999994</v>
      </c>
      <c r="F645">
        <v>12.14</v>
      </c>
      <c r="G645">
        <v>153.99</v>
      </c>
      <c r="H645">
        <v>1.02</v>
      </c>
      <c r="I645">
        <v>1.34</v>
      </c>
      <c r="J645">
        <v>11.08</v>
      </c>
      <c r="K645">
        <v>849.91</v>
      </c>
      <c r="L645">
        <v>74.09</v>
      </c>
      <c r="M645">
        <v>0.97</v>
      </c>
      <c r="N645">
        <v>28.34</v>
      </c>
    </row>
    <row r="646" spans="1:14">
      <c r="A646" s="28">
        <v>968</v>
      </c>
      <c r="B646" t="s">
        <v>2042</v>
      </c>
      <c r="C646" t="s">
        <v>348</v>
      </c>
      <c r="D646">
        <v>33.119999999999997</v>
      </c>
      <c r="E646">
        <v>510.58</v>
      </c>
      <c r="F646">
        <v>9.76</v>
      </c>
      <c r="G646">
        <v>181.68</v>
      </c>
      <c r="H646">
        <v>15.71</v>
      </c>
      <c r="I646">
        <v>19.11</v>
      </c>
      <c r="J646">
        <v>530.38</v>
      </c>
      <c r="K646">
        <v>3052.9</v>
      </c>
      <c r="L646">
        <v>12.86</v>
      </c>
      <c r="M646">
        <v>2.23</v>
      </c>
      <c r="N646">
        <v>21.85</v>
      </c>
    </row>
    <row r="647" spans="1:14">
      <c r="A647" s="28">
        <v>742</v>
      </c>
      <c r="B647" t="s">
        <v>307</v>
      </c>
      <c r="C647" t="s">
        <v>348</v>
      </c>
      <c r="D647">
        <v>33.19</v>
      </c>
      <c r="E647">
        <v>1346.42</v>
      </c>
      <c r="F647">
        <v>15.71</v>
      </c>
      <c r="G647">
        <v>53.2</v>
      </c>
      <c r="H647">
        <v>6.33</v>
      </c>
      <c r="I647">
        <v>8.65</v>
      </c>
      <c r="J647">
        <v>531.04</v>
      </c>
      <c r="K647">
        <v>7232.1</v>
      </c>
      <c r="L647">
        <v>12.51</v>
      </c>
      <c r="M647">
        <v>0.92</v>
      </c>
      <c r="N647">
        <v>7.33</v>
      </c>
    </row>
    <row r="648" spans="1:14">
      <c r="A648" s="28">
        <v>153</v>
      </c>
      <c r="B648" t="s">
        <v>945</v>
      </c>
      <c r="C648" t="s">
        <v>347</v>
      </c>
      <c r="D648">
        <v>33.31</v>
      </c>
      <c r="E648">
        <v>2427.2399999999998</v>
      </c>
      <c r="F648">
        <v>70.31</v>
      </c>
      <c r="G648">
        <v>60.99</v>
      </c>
      <c r="H648">
        <v>9.58</v>
      </c>
      <c r="I648">
        <v>11.89</v>
      </c>
      <c r="J648">
        <v>13875.43</v>
      </c>
      <c r="K648">
        <v>126362.24000000001</v>
      </c>
      <c r="L648">
        <v>5.0199999999999996</v>
      </c>
      <c r="M648">
        <v>0.55000000000000004</v>
      </c>
      <c r="N648">
        <v>6.03</v>
      </c>
    </row>
    <row r="649" spans="1:14">
      <c r="A649" s="28">
        <v>925</v>
      </c>
      <c r="B649" t="s">
        <v>2549</v>
      </c>
      <c r="C649" t="s">
        <v>348</v>
      </c>
      <c r="D649">
        <v>33.5</v>
      </c>
      <c r="E649">
        <v>2345.61</v>
      </c>
      <c r="F649">
        <v>10.65</v>
      </c>
      <c r="G649" t="s">
        <v>349</v>
      </c>
      <c r="H649">
        <v>-0.39</v>
      </c>
      <c r="I649">
        <v>-0.53</v>
      </c>
      <c r="J649">
        <v>-64.75</v>
      </c>
      <c r="K649">
        <v>12302.99</v>
      </c>
      <c r="M649">
        <v>0.64</v>
      </c>
    </row>
    <row r="650" spans="1:14">
      <c r="A650" s="28">
        <v>144</v>
      </c>
      <c r="B650" t="s">
        <v>1368</v>
      </c>
      <c r="C650" t="s">
        <v>348</v>
      </c>
      <c r="D650">
        <v>33.549999999999997</v>
      </c>
      <c r="E650">
        <v>1825.82</v>
      </c>
      <c r="F650">
        <v>73.66</v>
      </c>
      <c r="G650">
        <v>69.75</v>
      </c>
      <c r="H650">
        <v>37.44</v>
      </c>
      <c r="I650">
        <v>53.2</v>
      </c>
      <c r="J650">
        <v>903.85</v>
      </c>
      <c r="K650">
        <v>2407.27</v>
      </c>
      <c r="L650">
        <v>14.8</v>
      </c>
      <c r="M650">
        <v>5.56</v>
      </c>
      <c r="N650">
        <v>12.58</v>
      </c>
    </row>
    <row r="651" spans="1:14">
      <c r="A651" s="28">
        <v>942</v>
      </c>
      <c r="B651" t="s">
        <v>1180</v>
      </c>
      <c r="C651" t="s">
        <v>348</v>
      </c>
      <c r="D651">
        <v>33.57</v>
      </c>
      <c r="E651">
        <v>1334.58</v>
      </c>
      <c r="F651">
        <v>10.3</v>
      </c>
      <c r="G651" t="s">
        <v>349</v>
      </c>
      <c r="H651">
        <v>-4.5</v>
      </c>
      <c r="I651">
        <v>-6.19</v>
      </c>
      <c r="J651">
        <v>-459.23</v>
      </c>
      <c r="K651">
        <v>7172.88</v>
      </c>
      <c r="M651">
        <v>0.56000000000000005</v>
      </c>
    </row>
    <row r="652" spans="1:14">
      <c r="A652" s="28">
        <v>969</v>
      </c>
      <c r="B652" t="s">
        <v>1118</v>
      </c>
      <c r="C652" t="s">
        <v>348</v>
      </c>
      <c r="D652">
        <v>33.75</v>
      </c>
      <c r="E652">
        <v>819.2</v>
      </c>
      <c r="F652">
        <v>9.75</v>
      </c>
      <c r="G652">
        <v>30.85</v>
      </c>
      <c r="H652">
        <v>8.57</v>
      </c>
      <c r="I652">
        <v>11.65</v>
      </c>
      <c r="J652">
        <v>508.7</v>
      </c>
      <c r="K652">
        <v>4596.01</v>
      </c>
      <c r="L652">
        <v>13.45</v>
      </c>
      <c r="M652">
        <v>1.49</v>
      </c>
      <c r="N652">
        <v>9.34</v>
      </c>
    </row>
    <row r="653" spans="1:14">
      <c r="A653" s="28">
        <v>551</v>
      </c>
      <c r="B653" t="s">
        <v>672</v>
      </c>
      <c r="C653" t="s">
        <v>348</v>
      </c>
      <c r="D653">
        <v>33.85</v>
      </c>
      <c r="E653">
        <v>1484.88</v>
      </c>
      <c r="F653">
        <v>23.4</v>
      </c>
      <c r="G653">
        <v>2.71</v>
      </c>
      <c r="H653">
        <v>10.8</v>
      </c>
      <c r="I653">
        <v>15.15</v>
      </c>
      <c r="J653">
        <v>1053.45</v>
      </c>
      <c r="K653">
        <v>7924.42</v>
      </c>
      <c r="L653">
        <v>5.88</v>
      </c>
      <c r="M653">
        <v>0.78</v>
      </c>
      <c r="N653">
        <v>6.34</v>
      </c>
    </row>
    <row r="654" spans="1:14">
      <c r="A654" s="28">
        <v>1</v>
      </c>
      <c r="B654" t="s">
        <v>1070</v>
      </c>
      <c r="C654" t="s">
        <v>348</v>
      </c>
      <c r="D654">
        <v>33.99</v>
      </c>
      <c r="E654">
        <v>22.45</v>
      </c>
      <c r="F654" t="s">
        <v>2788</v>
      </c>
      <c r="G654" t="s">
        <v>2788</v>
      </c>
      <c r="H654">
        <v>-19.190000000000001</v>
      </c>
      <c r="I654">
        <v>-26.31</v>
      </c>
      <c r="J654">
        <v>-777.2</v>
      </c>
      <c r="K654">
        <v>3061.31</v>
      </c>
      <c r="M654">
        <v>0.91</v>
      </c>
    </row>
    <row r="655" spans="1:14">
      <c r="A655" s="28">
        <v>531</v>
      </c>
      <c r="B655" t="s">
        <v>2422</v>
      </c>
      <c r="C655" t="s">
        <v>348</v>
      </c>
      <c r="D655">
        <v>332.15</v>
      </c>
      <c r="E655">
        <v>195.84</v>
      </c>
      <c r="F655">
        <v>24.34</v>
      </c>
      <c r="G655" t="s">
        <v>2788</v>
      </c>
      <c r="H655">
        <v>-12.52</v>
      </c>
      <c r="I655">
        <v>-51.12</v>
      </c>
      <c r="J655">
        <v>-616.14</v>
      </c>
      <c r="K655">
        <v>1157.42</v>
      </c>
      <c r="M655">
        <v>5.12</v>
      </c>
      <c r="N655">
        <v>54.18</v>
      </c>
    </row>
    <row r="656" spans="1:14">
      <c r="A656" s="28">
        <v>162</v>
      </c>
      <c r="B656" t="s">
        <v>2548</v>
      </c>
      <c r="C656" t="s">
        <v>348</v>
      </c>
      <c r="D656">
        <v>332.27</v>
      </c>
      <c r="E656">
        <v>107.98</v>
      </c>
      <c r="F656">
        <v>66.489999999999995</v>
      </c>
      <c r="G656" t="s">
        <v>350</v>
      </c>
      <c r="H656">
        <v>2.5</v>
      </c>
      <c r="I656">
        <v>19.66</v>
      </c>
      <c r="J656">
        <v>91.6</v>
      </c>
      <c r="K656">
        <v>766.37</v>
      </c>
      <c r="L656">
        <v>64.95</v>
      </c>
      <c r="M656">
        <v>7.76</v>
      </c>
      <c r="N656">
        <v>23.08</v>
      </c>
    </row>
    <row r="657" spans="1:14">
      <c r="A657" s="28">
        <v>206</v>
      </c>
      <c r="B657" t="s">
        <v>2004</v>
      </c>
      <c r="C657" t="s">
        <v>348</v>
      </c>
      <c r="D657">
        <v>3326.21</v>
      </c>
      <c r="E657">
        <v>52.2</v>
      </c>
      <c r="F657">
        <v>55.44</v>
      </c>
      <c r="G657" t="s">
        <v>2788</v>
      </c>
      <c r="H657">
        <v>-42.09</v>
      </c>
      <c r="I657" t="s">
        <v>2792</v>
      </c>
      <c r="J657">
        <v>-1559.55</v>
      </c>
      <c r="K657">
        <v>127.94</v>
      </c>
      <c r="N657">
        <v>7.62</v>
      </c>
    </row>
    <row r="658" spans="1:14">
      <c r="A658" s="28">
        <v>52</v>
      </c>
      <c r="B658" t="s">
        <v>2519</v>
      </c>
      <c r="C658" t="s">
        <v>348</v>
      </c>
      <c r="D658">
        <v>333.53</v>
      </c>
      <c r="E658">
        <v>1156.19</v>
      </c>
      <c r="F658">
        <v>191.56</v>
      </c>
      <c r="G658" t="s">
        <v>350</v>
      </c>
      <c r="H658">
        <v>6.18</v>
      </c>
      <c r="I658">
        <v>30.45</v>
      </c>
      <c r="J658">
        <v>1611.45</v>
      </c>
      <c r="K658">
        <v>6280.96</v>
      </c>
      <c r="L658">
        <v>7.16</v>
      </c>
      <c r="M658">
        <v>1.84</v>
      </c>
      <c r="N658">
        <v>5.07</v>
      </c>
    </row>
    <row r="659" spans="1:14">
      <c r="A659" s="28">
        <v>335</v>
      </c>
      <c r="B659" t="s">
        <v>1310</v>
      </c>
      <c r="C659" t="s">
        <v>347</v>
      </c>
      <c r="D659">
        <v>333.69</v>
      </c>
      <c r="E659">
        <v>234.53</v>
      </c>
      <c r="F659">
        <v>37.03</v>
      </c>
      <c r="G659">
        <v>84.58</v>
      </c>
      <c r="H659">
        <v>3.13</v>
      </c>
      <c r="I659">
        <v>15.02</v>
      </c>
      <c r="J659">
        <v>2374.58</v>
      </c>
      <c r="K659">
        <v>16726.29</v>
      </c>
      <c r="L659">
        <v>21.06</v>
      </c>
      <c r="M659">
        <v>2.99</v>
      </c>
      <c r="N659">
        <v>13.2</v>
      </c>
    </row>
    <row r="660" spans="1:14">
      <c r="A660" s="28">
        <v>461</v>
      </c>
      <c r="B660" t="s">
        <v>1967</v>
      </c>
      <c r="C660" t="s">
        <v>347</v>
      </c>
      <c r="D660">
        <v>336.31</v>
      </c>
      <c r="E660">
        <v>127.32</v>
      </c>
      <c r="F660">
        <v>27.66</v>
      </c>
      <c r="G660" t="s">
        <v>350</v>
      </c>
      <c r="H660">
        <v>1.59</v>
      </c>
      <c r="I660">
        <v>6.98</v>
      </c>
      <c r="J660">
        <v>167.88</v>
      </c>
      <c r="K660">
        <v>2492.48</v>
      </c>
      <c r="L660">
        <v>15.76</v>
      </c>
      <c r="M660">
        <v>1.06</v>
      </c>
      <c r="N660">
        <v>6.12</v>
      </c>
    </row>
    <row r="661" spans="1:14">
      <c r="A661" s="28">
        <v>845</v>
      </c>
      <c r="B661" t="s">
        <v>542</v>
      </c>
      <c r="C661" t="s">
        <v>347</v>
      </c>
      <c r="D661">
        <v>34.659999999999997</v>
      </c>
      <c r="E661">
        <v>34879.550000000003</v>
      </c>
      <c r="F661">
        <v>12.79</v>
      </c>
      <c r="G661">
        <v>30.05</v>
      </c>
      <c r="H661">
        <v>10.38</v>
      </c>
      <c r="I661">
        <v>14.38</v>
      </c>
      <c r="J661">
        <v>20874.32</v>
      </c>
      <c r="K661">
        <v>174897.75</v>
      </c>
      <c r="L661">
        <v>21.46</v>
      </c>
      <c r="M661">
        <v>2.56</v>
      </c>
      <c r="N661">
        <v>14.85</v>
      </c>
    </row>
    <row r="662" spans="1:14">
      <c r="A662" s="28">
        <v>382</v>
      </c>
      <c r="B662" t="s">
        <v>1555</v>
      </c>
      <c r="C662" t="s">
        <v>347</v>
      </c>
      <c r="D662">
        <v>34.700000000000003</v>
      </c>
      <c r="E662">
        <v>2089.42</v>
      </c>
      <c r="F662">
        <v>32.46</v>
      </c>
      <c r="G662">
        <v>521.19000000000005</v>
      </c>
      <c r="H662">
        <v>6.64</v>
      </c>
      <c r="I662">
        <v>8.58</v>
      </c>
      <c r="J662">
        <v>9256.94</v>
      </c>
      <c r="K662">
        <v>109470.8</v>
      </c>
      <c r="L662">
        <v>5.35</v>
      </c>
      <c r="M662">
        <v>0.45</v>
      </c>
      <c r="N662">
        <v>2.86</v>
      </c>
    </row>
    <row r="663" spans="1:14">
      <c r="A663" s="28">
        <v>467</v>
      </c>
      <c r="B663" t="s">
        <v>199</v>
      </c>
      <c r="C663" t="s">
        <v>347</v>
      </c>
      <c r="D663">
        <v>34.799999999999997</v>
      </c>
      <c r="E663">
        <v>4922.9399999999996</v>
      </c>
      <c r="F663">
        <v>27.14</v>
      </c>
      <c r="G663">
        <v>1205.3499999999999</v>
      </c>
      <c r="H663">
        <v>4.6100000000000003</v>
      </c>
      <c r="I663">
        <v>6.67</v>
      </c>
      <c r="J663">
        <v>1573.84</v>
      </c>
      <c r="K663">
        <v>25114.720000000001</v>
      </c>
      <c r="L663">
        <v>10.36</v>
      </c>
      <c r="M663">
        <v>0.65</v>
      </c>
      <c r="N663">
        <v>7.63</v>
      </c>
    </row>
    <row r="664" spans="1:14">
      <c r="A664" s="28">
        <v>169</v>
      </c>
      <c r="B664" t="s">
        <v>1757</v>
      </c>
      <c r="C664" t="s">
        <v>347</v>
      </c>
      <c r="D664">
        <v>349.35</v>
      </c>
      <c r="E664">
        <v>2771.13</v>
      </c>
      <c r="F664">
        <v>64.5</v>
      </c>
      <c r="G664" t="s">
        <v>349</v>
      </c>
      <c r="H664">
        <v>-2.63</v>
      </c>
      <c r="I664">
        <v>-10.55</v>
      </c>
      <c r="J664">
        <v>-15880.44</v>
      </c>
      <c r="K664">
        <v>143556.72</v>
      </c>
      <c r="M664">
        <v>0.2</v>
      </c>
    </row>
    <row r="665" spans="1:14">
      <c r="A665" s="28">
        <v>830</v>
      </c>
      <c r="B665" t="s">
        <v>1713</v>
      </c>
      <c r="C665" t="s">
        <v>348</v>
      </c>
      <c r="D665">
        <v>35.04</v>
      </c>
      <c r="E665">
        <v>380.5</v>
      </c>
      <c r="F665">
        <v>13.3</v>
      </c>
      <c r="G665" t="s">
        <v>349</v>
      </c>
      <c r="H665">
        <v>-13.49</v>
      </c>
      <c r="I665">
        <v>-19.440000000000001</v>
      </c>
      <c r="J665">
        <v>-470.5</v>
      </c>
      <c r="K665">
        <v>2402.4899999999998</v>
      </c>
      <c r="M665">
        <v>1.97</v>
      </c>
      <c r="N665">
        <v>208.45</v>
      </c>
    </row>
    <row r="666" spans="1:14">
      <c r="A666" s="28">
        <v>160</v>
      </c>
      <c r="B666" t="s">
        <v>1078</v>
      </c>
      <c r="C666" t="s">
        <v>348</v>
      </c>
      <c r="D666">
        <v>35.049999999999997</v>
      </c>
      <c r="E666">
        <v>946.5</v>
      </c>
      <c r="F666">
        <v>67.709999999999994</v>
      </c>
      <c r="G666" t="s">
        <v>350</v>
      </c>
      <c r="H666">
        <v>6.67</v>
      </c>
      <c r="I666">
        <v>8.6</v>
      </c>
      <c r="J666">
        <v>408.04</v>
      </c>
      <c r="K666">
        <v>5232.5</v>
      </c>
      <c r="L666">
        <v>29.41</v>
      </c>
      <c r="M666">
        <v>2.29</v>
      </c>
      <c r="N666">
        <v>29.82</v>
      </c>
    </row>
    <row r="667" spans="1:14">
      <c r="A667" s="28">
        <v>1100</v>
      </c>
      <c r="B667" t="s">
        <v>930</v>
      </c>
      <c r="C667" t="s">
        <v>347</v>
      </c>
      <c r="D667">
        <v>35.17</v>
      </c>
      <c r="E667">
        <v>1034.28</v>
      </c>
      <c r="F667">
        <v>7.02</v>
      </c>
      <c r="G667" t="s">
        <v>349</v>
      </c>
      <c r="H667">
        <v>-5.15</v>
      </c>
      <c r="I667">
        <v>-6.89</v>
      </c>
      <c r="J667">
        <v>-357.58</v>
      </c>
      <c r="K667">
        <v>5671.39</v>
      </c>
      <c r="M667">
        <v>0.53</v>
      </c>
      <c r="N667">
        <v>9.9</v>
      </c>
    </row>
    <row r="668" spans="1:14">
      <c r="A668" s="28">
        <v>1076</v>
      </c>
      <c r="B668" t="s">
        <v>1606</v>
      </c>
      <c r="C668" t="s">
        <v>348</v>
      </c>
      <c r="D668">
        <v>35.32</v>
      </c>
      <c r="E668">
        <v>657.29</v>
      </c>
      <c r="F668">
        <v>7.56</v>
      </c>
      <c r="G668">
        <v>99.92</v>
      </c>
      <c r="H668">
        <v>7.53</v>
      </c>
      <c r="I668">
        <v>12.09</v>
      </c>
      <c r="J668">
        <v>317.5</v>
      </c>
      <c r="K668">
        <v>3786.45</v>
      </c>
      <c r="L668">
        <v>30.46</v>
      </c>
      <c r="M668">
        <v>2.5499999999999998</v>
      </c>
      <c r="N668">
        <v>38.32</v>
      </c>
    </row>
    <row r="669" spans="1:14">
      <c r="A669" s="28">
        <v>1028</v>
      </c>
      <c r="B669" t="s">
        <v>1223</v>
      </c>
      <c r="C669" t="s">
        <v>348</v>
      </c>
      <c r="D669">
        <v>35.4</v>
      </c>
      <c r="E669">
        <v>14472.23</v>
      </c>
      <c r="F669">
        <v>8.52</v>
      </c>
      <c r="G669">
        <v>-66.52</v>
      </c>
      <c r="H669">
        <v>6.65</v>
      </c>
      <c r="I669">
        <v>9.18</v>
      </c>
      <c r="J669">
        <v>4829</v>
      </c>
      <c r="K669">
        <v>68213.16</v>
      </c>
      <c r="L669">
        <v>26.51</v>
      </c>
      <c r="M669">
        <v>1.88</v>
      </c>
      <c r="N669">
        <v>14.01</v>
      </c>
    </row>
    <row r="670" spans="1:14">
      <c r="A670" s="28">
        <v>346</v>
      </c>
      <c r="B670" t="s">
        <v>245</v>
      </c>
      <c r="C670" t="s">
        <v>347</v>
      </c>
      <c r="D670">
        <v>35.42</v>
      </c>
      <c r="E670">
        <v>1194.42</v>
      </c>
      <c r="F670">
        <v>35.92</v>
      </c>
      <c r="G670">
        <v>162.46</v>
      </c>
      <c r="H670">
        <v>7.05</v>
      </c>
      <c r="I670">
        <v>9.7799999999999994</v>
      </c>
      <c r="J670">
        <v>1532.24</v>
      </c>
      <c r="K670">
        <v>12944.16</v>
      </c>
      <c r="L670">
        <v>3.31</v>
      </c>
      <c r="M670">
        <v>0.39</v>
      </c>
      <c r="N670">
        <v>2.2799999999999998</v>
      </c>
    </row>
    <row r="671" spans="1:14">
      <c r="A671" s="28">
        <v>540</v>
      </c>
      <c r="B671" t="s">
        <v>674</v>
      </c>
      <c r="C671" t="s">
        <v>348</v>
      </c>
      <c r="D671">
        <v>35.54</v>
      </c>
      <c r="E671">
        <v>4684.57</v>
      </c>
      <c r="F671">
        <v>23.98</v>
      </c>
      <c r="G671">
        <v>-19.18</v>
      </c>
      <c r="H671">
        <v>10.32</v>
      </c>
      <c r="I671">
        <v>13.51</v>
      </c>
      <c r="J671">
        <v>2735.22</v>
      </c>
      <c r="K671">
        <v>23922.87</v>
      </c>
      <c r="L671">
        <v>11.02</v>
      </c>
      <c r="M671">
        <v>1.26</v>
      </c>
      <c r="N671">
        <v>6.26</v>
      </c>
    </row>
    <row r="672" spans="1:14">
      <c r="A672" s="28">
        <v>389</v>
      </c>
      <c r="B672" t="s">
        <v>705</v>
      </c>
      <c r="C672" t="s">
        <v>348</v>
      </c>
      <c r="D672">
        <v>35.58</v>
      </c>
      <c r="E672">
        <v>416.11</v>
      </c>
      <c r="F672">
        <v>32.17</v>
      </c>
      <c r="G672">
        <v>-29.54</v>
      </c>
      <c r="H672">
        <v>8.0500000000000007</v>
      </c>
      <c r="I672">
        <v>10.52</v>
      </c>
      <c r="J672">
        <v>260.74</v>
      </c>
      <c r="K672">
        <v>2607.5</v>
      </c>
      <c r="L672">
        <v>18.29</v>
      </c>
      <c r="M672">
        <v>1.83</v>
      </c>
      <c r="N672">
        <v>5.96</v>
      </c>
    </row>
    <row r="673" spans="1:14">
      <c r="A673" s="28">
        <v>1016</v>
      </c>
      <c r="B673" t="s">
        <v>1416</v>
      </c>
      <c r="C673" t="s">
        <v>347</v>
      </c>
      <c r="D673">
        <v>35.82</v>
      </c>
      <c r="E673">
        <v>51.61</v>
      </c>
      <c r="F673">
        <v>8.81</v>
      </c>
      <c r="G673" t="s">
        <v>349</v>
      </c>
      <c r="H673">
        <v>-57.5</v>
      </c>
      <c r="I673">
        <v>-84.75</v>
      </c>
      <c r="J673">
        <v>-4958.78</v>
      </c>
      <c r="K673">
        <v>7058.22</v>
      </c>
      <c r="M673">
        <v>2.2000000000000002</v>
      </c>
    </row>
    <row r="674" spans="1:14">
      <c r="A674" s="28">
        <v>8</v>
      </c>
      <c r="B674" t="s">
        <v>2661</v>
      </c>
      <c r="C674" t="s">
        <v>348</v>
      </c>
      <c r="D674">
        <v>35.82</v>
      </c>
      <c r="E674">
        <v>46.11</v>
      </c>
      <c r="F674">
        <v>1870.95</v>
      </c>
      <c r="G674" t="s">
        <v>2788</v>
      </c>
      <c r="H674">
        <v>-21.79</v>
      </c>
      <c r="I674">
        <v>-28.42</v>
      </c>
      <c r="J674">
        <v>-249.51</v>
      </c>
      <c r="K674">
        <v>730.54</v>
      </c>
      <c r="M674">
        <v>9.5399999999999991</v>
      </c>
    </row>
    <row r="675" spans="1:14">
      <c r="A675" s="28">
        <v>819</v>
      </c>
      <c r="B675" t="s">
        <v>2131</v>
      </c>
      <c r="C675" t="s">
        <v>348</v>
      </c>
      <c r="D675">
        <v>35.979999999999997</v>
      </c>
      <c r="E675">
        <v>853.79</v>
      </c>
      <c r="F675">
        <v>13.62</v>
      </c>
      <c r="G675" t="s">
        <v>2788</v>
      </c>
      <c r="H675">
        <v>-42.18</v>
      </c>
      <c r="I675">
        <v>-61.43</v>
      </c>
      <c r="J675">
        <v>-577.38</v>
      </c>
      <c r="K675">
        <v>906.13</v>
      </c>
      <c r="M675">
        <v>0.5</v>
      </c>
      <c r="N675">
        <v>14.54</v>
      </c>
    </row>
    <row r="676" spans="1:14">
      <c r="A676" s="28">
        <v>65</v>
      </c>
      <c r="B676" t="s">
        <v>1278</v>
      </c>
      <c r="C676" t="s">
        <v>347</v>
      </c>
      <c r="D676">
        <v>350.37</v>
      </c>
      <c r="E676">
        <v>1084.45</v>
      </c>
      <c r="F676">
        <v>154.44999999999999</v>
      </c>
      <c r="G676">
        <v>111.59</v>
      </c>
      <c r="H676">
        <v>5.68</v>
      </c>
      <c r="I676">
        <v>22.38</v>
      </c>
      <c r="J676">
        <v>12817.69</v>
      </c>
      <c r="K676">
        <v>62146.61</v>
      </c>
      <c r="L676">
        <v>9.7100000000000009</v>
      </c>
      <c r="M676">
        <v>2</v>
      </c>
      <c r="N676">
        <v>13.22</v>
      </c>
    </row>
    <row r="677" spans="1:14">
      <c r="A677" s="28">
        <v>370</v>
      </c>
      <c r="B677" t="s">
        <v>264</v>
      </c>
      <c r="C677" t="s">
        <v>348</v>
      </c>
      <c r="D677">
        <v>354.45</v>
      </c>
      <c r="E677">
        <v>2070.14</v>
      </c>
      <c r="F677">
        <v>33.380000000000003</v>
      </c>
      <c r="G677">
        <v>-21.55</v>
      </c>
      <c r="H677">
        <v>1.1100000000000001</v>
      </c>
      <c r="I677">
        <v>5.05</v>
      </c>
      <c r="J677">
        <v>1044.54</v>
      </c>
      <c r="K677">
        <v>21701.42</v>
      </c>
      <c r="L677">
        <v>8.2200000000000006</v>
      </c>
      <c r="M677">
        <v>0.4</v>
      </c>
    </row>
    <row r="678" spans="1:14">
      <c r="A678" s="28">
        <v>347</v>
      </c>
      <c r="B678" t="s">
        <v>2831</v>
      </c>
      <c r="C678" t="s">
        <v>348</v>
      </c>
      <c r="D678">
        <v>359.08</v>
      </c>
      <c r="E678">
        <v>2890.26</v>
      </c>
      <c r="F678">
        <v>35.9</v>
      </c>
      <c r="G678">
        <v>214.2</v>
      </c>
      <c r="H678">
        <v>6.2</v>
      </c>
      <c r="I678">
        <v>29.29</v>
      </c>
      <c r="J678">
        <v>384.87</v>
      </c>
      <c r="K678">
        <v>1441.09</v>
      </c>
      <c r="N678">
        <v>5.31</v>
      </c>
    </row>
    <row r="679" spans="1:14">
      <c r="A679" s="28">
        <v>661</v>
      </c>
      <c r="B679" t="s">
        <v>1956</v>
      </c>
      <c r="C679" t="s">
        <v>348</v>
      </c>
      <c r="D679">
        <v>36.020000000000003</v>
      </c>
      <c r="E679">
        <v>5781.84</v>
      </c>
      <c r="F679">
        <v>18.46</v>
      </c>
      <c r="G679">
        <v>-10.29</v>
      </c>
      <c r="H679">
        <v>4.8499999999999996</v>
      </c>
      <c r="I679">
        <v>6.1</v>
      </c>
      <c r="J679">
        <v>1746.48</v>
      </c>
      <c r="K679">
        <v>29409.18</v>
      </c>
      <c r="L679">
        <v>25.48</v>
      </c>
      <c r="M679">
        <v>1.51</v>
      </c>
      <c r="N679">
        <v>17.420000000000002</v>
      </c>
    </row>
    <row r="680" spans="1:14">
      <c r="A680" s="28">
        <v>660</v>
      </c>
      <c r="B680" t="s">
        <v>1802</v>
      </c>
      <c r="C680" t="s">
        <v>348</v>
      </c>
      <c r="D680">
        <v>36.07</v>
      </c>
      <c r="E680">
        <v>493.28</v>
      </c>
      <c r="F680">
        <v>18.52</v>
      </c>
      <c r="G680">
        <v>243.69</v>
      </c>
      <c r="H680">
        <v>31.71</v>
      </c>
      <c r="I680">
        <v>59</v>
      </c>
      <c r="J680">
        <v>385.25</v>
      </c>
      <c r="K680">
        <v>1003.36</v>
      </c>
      <c r="L680">
        <v>9.49</v>
      </c>
      <c r="M680">
        <v>3.64</v>
      </c>
      <c r="N680">
        <v>6.58</v>
      </c>
    </row>
    <row r="681" spans="1:14">
      <c r="A681" s="28">
        <v>783</v>
      </c>
      <c r="B681" t="s">
        <v>1805</v>
      </c>
      <c r="C681" t="s">
        <v>348</v>
      </c>
      <c r="D681">
        <v>36.130000000000003</v>
      </c>
      <c r="E681">
        <v>869.68</v>
      </c>
      <c r="F681">
        <v>14.61</v>
      </c>
      <c r="G681" t="s">
        <v>350</v>
      </c>
      <c r="H681">
        <v>5.52</v>
      </c>
      <c r="I681">
        <v>8.26</v>
      </c>
      <c r="J681">
        <v>330.09</v>
      </c>
      <c r="K681">
        <v>4848.38</v>
      </c>
      <c r="L681">
        <v>11.47</v>
      </c>
      <c r="M681">
        <v>0.78</v>
      </c>
    </row>
    <row r="682" spans="1:14">
      <c r="A682" s="28">
        <v>910</v>
      </c>
      <c r="B682" t="s">
        <v>2308</v>
      </c>
      <c r="C682" t="s">
        <v>347</v>
      </c>
      <c r="D682">
        <v>36.36</v>
      </c>
      <c r="E682">
        <v>230.25</v>
      </c>
      <c r="F682">
        <v>11.03</v>
      </c>
      <c r="G682" t="s">
        <v>350</v>
      </c>
      <c r="H682">
        <v>0.96</v>
      </c>
      <c r="I682">
        <v>1.42</v>
      </c>
      <c r="J682">
        <v>23.18</v>
      </c>
      <c r="K682">
        <v>1651.25</v>
      </c>
      <c r="L682">
        <v>91.88</v>
      </c>
      <c r="M682">
        <v>1.29</v>
      </c>
      <c r="N682">
        <v>150.85</v>
      </c>
    </row>
    <row r="683" spans="1:14">
      <c r="A683" s="28">
        <v>139</v>
      </c>
      <c r="B683" t="s">
        <v>88</v>
      </c>
      <c r="C683" t="s">
        <v>347</v>
      </c>
      <c r="D683">
        <v>36.39</v>
      </c>
      <c r="E683">
        <v>131.61000000000001</v>
      </c>
      <c r="F683">
        <v>76.739999999999995</v>
      </c>
      <c r="G683">
        <v>163.72999999999999</v>
      </c>
      <c r="H683">
        <v>11.55</v>
      </c>
      <c r="I683">
        <v>15.64</v>
      </c>
      <c r="J683">
        <v>1727.15</v>
      </c>
      <c r="K683">
        <v>11580.57</v>
      </c>
      <c r="L683">
        <v>4.57</v>
      </c>
      <c r="M683">
        <v>0.68</v>
      </c>
    </row>
    <row r="684" spans="1:14">
      <c r="A684" s="28">
        <v>550</v>
      </c>
      <c r="B684" t="s">
        <v>2099</v>
      </c>
      <c r="C684" t="s">
        <v>348</v>
      </c>
      <c r="D684">
        <v>36.4</v>
      </c>
      <c r="E684">
        <v>1276.25</v>
      </c>
      <c r="F684">
        <v>23.44</v>
      </c>
      <c r="G684">
        <v>1.34</v>
      </c>
      <c r="H684">
        <v>27.35</v>
      </c>
      <c r="I684">
        <v>44.55</v>
      </c>
      <c r="J684">
        <v>2060.0100000000002</v>
      </c>
      <c r="K684">
        <v>6881.27</v>
      </c>
      <c r="L684">
        <v>8.3699999999999992</v>
      </c>
      <c r="M684">
        <v>2.5099999999999998</v>
      </c>
      <c r="N684">
        <v>12.94</v>
      </c>
    </row>
    <row r="685" spans="1:14">
      <c r="A685" s="28">
        <v>159</v>
      </c>
      <c r="B685" t="s">
        <v>2644</v>
      </c>
      <c r="C685" t="s">
        <v>348</v>
      </c>
      <c r="D685">
        <v>36.5</v>
      </c>
      <c r="E685">
        <v>4735.6499999999996</v>
      </c>
      <c r="F685">
        <v>67.75</v>
      </c>
      <c r="G685" t="s">
        <v>350</v>
      </c>
      <c r="H685">
        <v>12.49</v>
      </c>
      <c r="I685">
        <v>18.260000000000002</v>
      </c>
      <c r="J685">
        <v>3481.8</v>
      </c>
      <c r="K685">
        <v>24178.27</v>
      </c>
      <c r="L685">
        <v>29.21</v>
      </c>
      <c r="M685">
        <v>4.21</v>
      </c>
      <c r="N685">
        <v>23.75</v>
      </c>
    </row>
    <row r="686" spans="1:14">
      <c r="A686" s="28">
        <v>789</v>
      </c>
      <c r="B686" t="s">
        <v>834</v>
      </c>
      <c r="C686" t="s">
        <v>348</v>
      </c>
      <c r="D686">
        <v>36.6</v>
      </c>
      <c r="E686">
        <v>223.79</v>
      </c>
      <c r="F686">
        <v>14.48</v>
      </c>
      <c r="G686">
        <v>234.03</v>
      </c>
      <c r="H686">
        <v>8.4499999999999993</v>
      </c>
      <c r="I686">
        <v>14.69</v>
      </c>
      <c r="J686">
        <v>230.77</v>
      </c>
      <c r="K686">
        <v>1618.95</v>
      </c>
      <c r="L686">
        <v>29.99</v>
      </c>
      <c r="M686">
        <v>4.2699999999999996</v>
      </c>
      <c r="N686">
        <v>23.98</v>
      </c>
    </row>
    <row r="687" spans="1:14">
      <c r="A687" s="28">
        <v>43</v>
      </c>
      <c r="B687" t="s">
        <v>1466</v>
      </c>
      <c r="C687" t="s">
        <v>348</v>
      </c>
      <c r="D687">
        <v>36.840000000000003</v>
      </c>
      <c r="E687">
        <v>7430.11</v>
      </c>
      <c r="F687">
        <v>233.17</v>
      </c>
      <c r="G687">
        <v>76.69</v>
      </c>
      <c r="H687">
        <v>17.61</v>
      </c>
      <c r="I687">
        <v>24.77</v>
      </c>
      <c r="J687">
        <v>391.34</v>
      </c>
      <c r="K687">
        <v>1882.53</v>
      </c>
      <c r="L687">
        <v>6.42</v>
      </c>
      <c r="M687">
        <v>1.34</v>
      </c>
      <c r="N687">
        <v>6.73</v>
      </c>
    </row>
    <row r="688" spans="1:14">
      <c r="A688" s="28">
        <v>355</v>
      </c>
      <c r="B688" t="s">
        <v>2628</v>
      </c>
      <c r="C688" t="s">
        <v>347</v>
      </c>
      <c r="D688">
        <v>361.51</v>
      </c>
      <c r="E688">
        <v>401.49</v>
      </c>
      <c r="F688">
        <v>35.020000000000003</v>
      </c>
      <c r="G688" t="s">
        <v>2788</v>
      </c>
      <c r="H688">
        <v>-0.57999999999999996</v>
      </c>
      <c r="I688">
        <v>-2.5499999999999998</v>
      </c>
      <c r="J688">
        <v>-101.17</v>
      </c>
      <c r="K688">
        <v>5014.9399999999996</v>
      </c>
      <c r="M688">
        <v>1.55</v>
      </c>
      <c r="N688">
        <v>19.91</v>
      </c>
    </row>
    <row r="689" spans="1:14">
      <c r="A689" s="28">
        <v>175</v>
      </c>
      <c r="B689" t="s">
        <v>1286</v>
      </c>
      <c r="C689" t="s">
        <v>348</v>
      </c>
      <c r="D689">
        <v>37</v>
      </c>
      <c r="E689">
        <v>1912.23</v>
      </c>
      <c r="F689">
        <v>63.67</v>
      </c>
      <c r="G689">
        <v>118.62</v>
      </c>
      <c r="H689">
        <v>30.04</v>
      </c>
      <c r="I689">
        <v>40.770000000000003</v>
      </c>
      <c r="J689">
        <v>3384</v>
      </c>
      <c r="K689">
        <v>10171.450000000001</v>
      </c>
      <c r="L689">
        <v>29.94</v>
      </c>
      <c r="M689">
        <v>9.9600000000000009</v>
      </c>
      <c r="N689">
        <v>22.47</v>
      </c>
    </row>
    <row r="690" spans="1:14">
      <c r="A690" s="28">
        <v>829</v>
      </c>
      <c r="B690" t="s">
        <v>548</v>
      </c>
      <c r="C690" t="s">
        <v>348</v>
      </c>
      <c r="D690">
        <v>37.020000000000003</v>
      </c>
      <c r="E690">
        <v>533.39</v>
      </c>
      <c r="F690">
        <v>13.35</v>
      </c>
      <c r="G690">
        <v>25.59</v>
      </c>
      <c r="H690">
        <v>5.01</v>
      </c>
      <c r="I690">
        <v>6.81</v>
      </c>
      <c r="J690">
        <v>213.11</v>
      </c>
      <c r="K690">
        <v>3166.97</v>
      </c>
      <c r="L690">
        <v>23.41</v>
      </c>
      <c r="M690">
        <v>1.58</v>
      </c>
      <c r="N690">
        <v>9.0500000000000007</v>
      </c>
    </row>
    <row r="691" spans="1:14">
      <c r="A691" s="28">
        <v>391</v>
      </c>
      <c r="B691" t="s">
        <v>1232</v>
      </c>
      <c r="C691" t="s">
        <v>348</v>
      </c>
      <c r="D691">
        <v>37.03</v>
      </c>
      <c r="E691">
        <v>1635.77</v>
      </c>
      <c r="F691">
        <v>32.020000000000003</v>
      </c>
      <c r="G691">
        <v>115.21</v>
      </c>
      <c r="H691">
        <v>4.17</v>
      </c>
      <c r="I691">
        <v>5.4</v>
      </c>
      <c r="J691">
        <v>422.54</v>
      </c>
      <c r="K691">
        <v>8678.8700000000008</v>
      </c>
      <c r="L691">
        <v>35.07</v>
      </c>
      <c r="M691">
        <v>1.71</v>
      </c>
      <c r="N691">
        <v>22.64</v>
      </c>
    </row>
    <row r="692" spans="1:14">
      <c r="A692" s="28">
        <v>645</v>
      </c>
      <c r="B692" t="s">
        <v>934</v>
      </c>
      <c r="C692" t="s">
        <v>347</v>
      </c>
      <c r="D692">
        <v>37.08</v>
      </c>
      <c r="E692">
        <v>7945.05</v>
      </c>
      <c r="F692">
        <v>19.09</v>
      </c>
      <c r="G692">
        <v>169.4</v>
      </c>
      <c r="H692">
        <v>3.94</v>
      </c>
      <c r="I692">
        <v>5.47</v>
      </c>
      <c r="J692">
        <v>2126.44</v>
      </c>
      <c r="K692">
        <v>40225.26</v>
      </c>
      <c r="L692">
        <v>14.65</v>
      </c>
      <c r="M692">
        <v>0.77</v>
      </c>
      <c r="N692">
        <v>34.08</v>
      </c>
    </row>
    <row r="693" spans="1:14">
      <c r="A693" s="28">
        <v>520</v>
      </c>
      <c r="B693" t="s">
        <v>2035</v>
      </c>
      <c r="C693" t="s">
        <v>348</v>
      </c>
      <c r="D693">
        <v>37.11</v>
      </c>
      <c r="E693">
        <v>1211.17</v>
      </c>
      <c r="F693">
        <v>24.64</v>
      </c>
      <c r="G693">
        <v>34.57</v>
      </c>
      <c r="H693">
        <v>3.88</v>
      </c>
      <c r="I693">
        <v>4.68</v>
      </c>
      <c r="J693">
        <v>305.02</v>
      </c>
      <c r="K693">
        <v>6555.84</v>
      </c>
      <c r="L693">
        <v>17.61</v>
      </c>
      <c r="M693">
        <v>0.82</v>
      </c>
      <c r="N693">
        <v>34.11</v>
      </c>
    </row>
    <row r="694" spans="1:14">
      <c r="A694" s="28">
        <v>26</v>
      </c>
      <c r="B694" t="s">
        <v>1579</v>
      </c>
      <c r="C694" t="s">
        <v>348</v>
      </c>
      <c r="D694">
        <v>37.44</v>
      </c>
      <c r="E694">
        <v>502.72</v>
      </c>
      <c r="F694">
        <v>388.97</v>
      </c>
      <c r="G694" t="s">
        <v>350</v>
      </c>
      <c r="H694">
        <v>6.66</v>
      </c>
      <c r="I694">
        <v>9.89</v>
      </c>
      <c r="J694">
        <v>273.55</v>
      </c>
      <c r="K694">
        <v>3013.61</v>
      </c>
      <c r="L694">
        <v>14.02</v>
      </c>
      <c r="M694">
        <v>1.27</v>
      </c>
      <c r="N694">
        <v>20.09</v>
      </c>
    </row>
    <row r="695" spans="1:14">
      <c r="A695" s="28">
        <v>804</v>
      </c>
      <c r="B695" t="s">
        <v>1001</v>
      </c>
      <c r="C695" t="s">
        <v>348</v>
      </c>
      <c r="D695">
        <v>37.549999999999997</v>
      </c>
      <c r="E695">
        <v>2383</v>
      </c>
      <c r="F695">
        <v>13.96</v>
      </c>
      <c r="G695" t="s">
        <v>349</v>
      </c>
      <c r="H695">
        <v>-24.51</v>
      </c>
      <c r="I695">
        <v>-30.44</v>
      </c>
      <c r="J695">
        <v>-4483.72</v>
      </c>
      <c r="K695">
        <v>12620.73</v>
      </c>
      <c r="M695">
        <v>2.5</v>
      </c>
    </row>
    <row r="696" spans="1:14">
      <c r="A696" s="28">
        <v>253</v>
      </c>
      <c r="B696" t="s">
        <v>2235</v>
      </c>
      <c r="C696" t="s">
        <v>348</v>
      </c>
      <c r="D696">
        <v>37.590000000000003</v>
      </c>
      <c r="E696">
        <v>798.41</v>
      </c>
      <c r="F696">
        <v>46.04</v>
      </c>
      <c r="G696">
        <v>69.28</v>
      </c>
      <c r="H696">
        <v>3.28</v>
      </c>
      <c r="I696">
        <v>4.47</v>
      </c>
      <c r="J696">
        <v>169.42</v>
      </c>
      <c r="K696">
        <v>4492.04</v>
      </c>
      <c r="L696">
        <v>88.42</v>
      </c>
      <c r="M696">
        <v>3.33</v>
      </c>
      <c r="N696">
        <v>48.55</v>
      </c>
    </row>
    <row r="697" spans="1:14">
      <c r="A697" s="28">
        <v>603</v>
      </c>
      <c r="B697" t="s">
        <v>2565</v>
      </c>
      <c r="C697" t="s">
        <v>348</v>
      </c>
      <c r="D697">
        <v>37.85</v>
      </c>
      <c r="E697">
        <v>423.97</v>
      </c>
      <c r="F697">
        <v>20.420000000000002</v>
      </c>
      <c r="G697">
        <v>23.4</v>
      </c>
      <c r="H697">
        <v>4.3899999999999997</v>
      </c>
      <c r="I697">
        <v>6.12</v>
      </c>
      <c r="J697">
        <v>146.22</v>
      </c>
      <c r="K697">
        <v>2550.4699999999998</v>
      </c>
      <c r="L697">
        <v>44.4</v>
      </c>
      <c r="M697">
        <v>2.5499999999999998</v>
      </c>
      <c r="N697">
        <v>39.590000000000003</v>
      </c>
    </row>
    <row r="698" spans="1:14">
      <c r="A698" s="28">
        <v>282</v>
      </c>
      <c r="B698" t="s">
        <v>2158</v>
      </c>
      <c r="C698" t="s">
        <v>347</v>
      </c>
      <c r="D698">
        <v>37.880000000000003</v>
      </c>
      <c r="E698">
        <v>505.29</v>
      </c>
      <c r="F698">
        <v>42.98</v>
      </c>
      <c r="G698">
        <v>1568.67</v>
      </c>
      <c r="H698">
        <v>8.83</v>
      </c>
      <c r="I698">
        <v>12.66</v>
      </c>
      <c r="J698">
        <v>360.34</v>
      </c>
      <c r="K698">
        <v>3026.44</v>
      </c>
      <c r="L698">
        <v>4.29</v>
      </c>
      <c r="M698">
        <v>0.51</v>
      </c>
      <c r="N698">
        <v>6.17</v>
      </c>
    </row>
    <row r="699" spans="1:14">
      <c r="A699" s="28">
        <v>220</v>
      </c>
      <c r="B699" t="s">
        <v>2832</v>
      </c>
      <c r="C699" t="s">
        <v>348</v>
      </c>
      <c r="D699">
        <v>37.89</v>
      </c>
      <c r="E699">
        <v>1366.13</v>
      </c>
      <c r="F699">
        <v>51.7</v>
      </c>
      <c r="G699" t="s">
        <v>2788</v>
      </c>
      <c r="H699">
        <v>-2.12</v>
      </c>
      <c r="I699">
        <v>-3</v>
      </c>
      <c r="J699">
        <v>-54.72</v>
      </c>
      <c r="K699">
        <v>1858.02</v>
      </c>
      <c r="M699">
        <v>4.18</v>
      </c>
      <c r="N699">
        <v>62.83</v>
      </c>
    </row>
    <row r="700" spans="1:14">
      <c r="A700" s="28">
        <v>475</v>
      </c>
      <c r="B700" t="s">
        <v>276</v>
      </c>
      <c r="C700" t="s">
        <v>348</v>
      </c>
      <c r="D700">
        <v>37.93</v>
      </c>
      <c r="E700">
        <v>2180.85</v>
      </c>
      <c r="F700">
        <v>26.66</v>
      </c>
      <c r="G700">
        <v>-36.729999999999997</v>
      </c>
      <c r="H700">
        <v>3</v>
      </c>
      <c r="I700">
        <v>4.18</v>
      </c>
      <c r="J700">
        <v>469.82</v>
      </c>
      <c r="K700">
        <v>11404.26</v>
      </c>
      <c r="L700">
        <v>6.73</v>
      </c>
      <c r="M700">
        <v>0.28000000000000003</v>
      </c>
      <c r="N700">
        <v>8.82</v>
      </c>
    </row>
    <row r="701" spans="1:14">
      <c r="A701" s="28">
        <v>177</v>
      </c>
      <c r="B701" t="s">
        <v>1823</v>
      </c>
      <c r="C701" t="s">
        <v>348</v>
      </c>
      <c r="D701">
        <v>373.58</v>
      </c>
      <c r="E701">
        <v>383.25</v>
      </c>
      <c r="F701">
        <v>62.21</v>
      </c>
      <c r="G701" t="s">
        <v>2788</v>
      </c>
      <c r="H701">
        <v>-20.8</v>
      </c>
      <c r="I701">
        <v>-59.89</v>
      </c>
      <c r="J701">
        <v>-1978.06</v>
      </c>
      <c r="K701">
        <v>2416.2600000000002</v>
      </c>
      <c r="M701">
        <v>6.68</v>
      </c>
    </row>
    <row r="702" spans="1:14">
      <c r="A702" s="28">
        <v>878</v>
      </c>
      <c r="B702" t="s">
        <v>720</v>
      </c>
      <c r="C702" t="s">
        <v>348</v>
      </c>
      <c r="D702">
        <v>38.130000000000003</v>
      </c>
      <c r="E702">
        <v>1547.32</v>
      </c>
      <c r="F702">
        <v>11.62</v>
      </c>
      <c r="G702">
        <v>23.49</v>
      </c>
      <c r="H702">
        <v>5.79</v>
      </c>
      <c r="I702">
        <v>8.8699999999999992</v>
      </c>
      <c r="J702">
        <v>129.04</v>
      </c>
      <c r="K702">
        <v>1647.32</v>
      </c>
      <c r="L702">
        <v>14.31</v>
      </c>
      <c r="M702">
        <v>1.1200000000000001</v>
      </c>
      <c r="N702">
        <v>9.36</v>
      </c>
    </row>
    <row r="703" spans="1:14">
      <c r="A703" s="28">
        <v>955</v>
      </c>
      <c r="B703" t="s">
        <v>1475</v>
      </c>
      <c r="C703" t="s">
        <v>348</v>
      </c>
      <c r="D703">
        <v>38.14</v>
      </c>
      <c r="E703">
        <v>1049.97</v>
      </c>
      <c r="F703">
        <v>9.9700000000000006</v>
      </c>
      <c r="G703">
        <v>82.34</v>
      </c>
      <c r="H703">
        <v>1.87</v>
      </c>
      <c r="I703">
        <v>2.62</v>
      </c>
      <c r="J703">
        <v>139.91999999999999</v>
      </c>
      <c r="K703">
        <v>5749.83</v>
      </c>
      <c r="L703">
        <v>77.47</v>
      </c>
      <c r="M703">
        <v>1.89</v>
      </c>
      <c r="N703">
        <v>28.1</v>
      </c>
    </row>
    <row r="704" spans="1:14">
      <c r="A704" s="28">
        <v>229</v>
      </c>
      <c r="B704" t="s">
        <v>1287</v>
      </c>
      <c r="C704" t="s">
        <v>348</v>
      </c>
      <c r="D704">
        <v>38.17</v>
      </c>
      <c r="E704">
        <v>750.94</v>
      </c>
      <c r="F704">
        <v>49.53</v>
      </c>
      <c r="G704" t="s">
        <v>350</v>
      </c>
      <c r="H704">
        <v>9.19</v>
      </c>
      <c r="I704">
        <v>12.44</v>
      </c>
      <c r="J704">
        <v>94.64</v>
      </c>
      <c r="K704">
        <v>850.94</v>
      </c>
      <c r="L704">
        <v>17.649999999999999</v>
      </c>
      <c r="M704">
        <v>1.96</v>
      </c>
      <c r="N704">
        <v>10.09</v>
      </c>
    </row>
    <row r="705" spans="1:14">
      <c r="A705" s="28">
        <v>879</v>
      </c>
      <c r="B705" t="s">
        <v>655</v>
      </c>
      <c r="C705" t="s">
        <v>348</v>
      </c>
      <c r="D705">
        <v>38.32</v>
      </c>
      <c r="E705">
        <v>310.02999999999997</v>
      </c>
      <c r="F705">
        <v>11.59</v>
      </c>
      <c r="G705" t="s">
        <v>349</v>
      </c>
      <c r="H705">
        <v>-3.45</v>
      </c>
      <c r="I705">
        <v>-4.29</v>
      </c>
      <c r="J705">
        <v>-181.77</v>
      </c>
      <c r="K705">
        <v>4061.86</v>
      </c>
      <c r="M705">
        <v>1.51</v>
      </c>
      <c r="N705">
        <v>54.03</v>
      </c>
    </row>
    <row r="706" spans="1:14">
      <c r="A706" s="28">
        <v>210</v>
      </c>
      <c r="B706" t="s">
        <v>1333</v>
      </c>
      <c r="C706" t="s">
        <v>348</v>
      </c>
      <c r="D706">
        <v>38.35</v>
      </c>
      <c r="E706">
        <v>5878.59</v>
      </c>
      <c r="F706">
        <v>54.99</v>
      </c>
      <c r="G706">
        <v>324.89</v>
      </c>
      <c r="H706">
        <v>9.9</v>
      </c>
      <c r="I706">
        <v>13.24</v>
      </c>
      <c r="J706">
        <v>3586.37</v>
      </c>
      <c r="K706">
        <v>29892.93</v>
      </c>
      <c r="L706">
        <v>4.66</v>
      </c>
      <c r="M706">
        <v>0.56000000000000005</v>
      </c>
      <c r="N706">
        <v>2.08</v>
      </c>
    </row>
    <row r="707" spans="1:14">
      <c r="A707" s="28">
        <v>149</v>
      </c>
      <c r="B707" t="s">
        <v>1647</v>
      </c>
      <c r="C707" t="s">
        <v>348</v>
      </c>
      <c r="D707">
        <v>38.4</v>
      </c>
      <c r="E707">
        <v>54.41</v>
      </c>
      <c r="F707">
        <v>71.91</v>
      </c>
      <c r="G707" t="s">
        <v>350</v>
      </c>
      <c r="H707">
        <v>19.239999999999998</v>
      </c>
      <c r="I707">
        <v>27.98</v>
      </c>
      <c r="J707">
        <v>189.51</v>
      </c>
      <c r="K707">
        <v>772.07</v>
      </c>
      <c r="L707">
        <v>5.96</v>
      </c>
      <c r="M707">
        <v>1.46</v>
      </c>
      <c r="N707">
        <v>9.02</v>
      </c>
    </row>
    <row r="708" spans="1:14">
      <c r="A708" s="28">
        <v>136</v>
      </c>
      <c r="B708" t="s">
        <v>1437</v>
      </c>
      <c r="C708" t="s">
        <v>348</v>
      </c>
      <c r="D708">
        <v>38.81</v>
      </c>
      <c r="E708">
        <v>134.97</v>
      </c>
      <c r="F708">
        <v>79.510000000000005</v>
      </c>
      <c r="G708" t="s">
        <v>350</v>
      </c>
      <c r="H708">
        <v>8.5399999999999991</v>
      </c>
      <c r="I708">
        <v>11.72</v>
      </c>
      <c r="J708">
        <v>130.01</v>
      </c>
      <c r="K708">
        <v>1174.8599999999999</v>
      </c>
      <c r="L708">
        <v>29.84</v>
      </c>
      <c r="M708">
        <v>3.3</v>
      </c>
      <c r="N708">
        <v>32.28</v>
      </c>
    </row>
    <row r="709" spans="1:14">
      <c r="A709" s="28">
        <v>118</v>
      </c>
      <c r="B709" t="s">
        <v>1588</v>
      </c>
      <c r="C709" t="s">
        <v>348</v>
      </c>
      <c r="D709">
        <v>381.11</v>
      </c>
      <c r="E709">
        <v>35.85</v>
      </c>
      <c r="F709">
        <v>88.89</v>
      </c>
      <c r="G709" t="s">
        <v>2788</v>
      </c>
      <c r="H709">
        <v>-29.15</v>
      </c>
      <c r="I709">
        <v>-95.97</v>
      </c>
      <c r="J709">
        <v>-970.85</v>
      </c>
      <c r="K709">
        <v>679.25</v>
      </c>
      <c r="M709">
        <v>2.36</v>
      </c>
      <c r="N709">
        <v>242.14</v>
      </c>
    </row>
    <row r="710" spans="1:14">
      <c r="A710" s="28">
        <v>866</v>
      </c>
      <c r="B710" t="s">
        <v>888</v>
      </c>
      <c r="C710" t="s">
        <v>348</v>
      </c>
      <c r="D710">
        <v>39.19</v>
      </c>
      <c r="E710">
        <v>702.36</v>
      </c>
      <c r="F710">
        <v>12.1</v>
      </c>
      <c r="G710">
        <v>-14.19</v>
      </c>
      <c r="H710">
        <v>2.62</v>
      </c>
      <c r="I710">
        <v>3.62</v>
      </c>
      <c r="J710">
        <v>145.72999999999999</v>
      </c>
      <c r="K710">
        <v>4071.9</v>
      </c>
      <c r="L710">
        <v>23.4</v>
      </c>
      <c r="M710">
        <v>0.84</v>
      </c>
      <c r="N710">
        <v>10.4</v>
      </c>
    </row>
    <row r="711" spans="1:14">
      <c r="A711" s="28">
        <v>401</v>
      </c>
      <c r="B711" t="s">
        <v>864</v>
      </c>
      <c r="C711" t="s">
        <v>347</v>
      </c>
      <c r="D711">
        <v>39.28</v>
      </c>
      <c r="E711">
        <v>3223.79</v>
      </c>
      <c r="F711">
        <v>31.73</v>
      </c>
      <c r="G711">
        <v>157.71</v>
      </c>
      <c r="H711">
        <v>16.66</v>
      </c>
      <c r="I711">
        <v>23.06</v>
      </c>
      <c r="J711">
        <v>3458.89</v>
      </c>
      <c r="K711">
        <v>16618.96</v>
      </c>
      <c r="L711">
        <v>5.46</v>
      </c>
      <c r="M711">
        <v>1.1399999999999999</v>
      </c>
      <c r="N711">
        <v>2.85</v>
      </c>
    </row>
    <row r="712" spans="1:14">
      <c r="A712" s="28">
        <v>364</v>
      </c>
      <c r="B712" t="s">
        <v>1901</v>
      </c>
      <c r="C712" t="s">
        <v>348</v>
      </c>
      <c r="D712">
        <v>39.32</v>
      </c>
      <c r="E712">
        <v>1382.77</v>
      </c>
      <c r="F712">
        <v>34.380000000000003</v>
      </c>
      <c r="G712">
        <v>0.73</v>
      </c>
      <c r="H712">
        <v>10.79</v>
      </c>
      <c r="I712">
        <v>16.34</v>
      </c>
      <c r="J712">
        <v>516.6</v>
      </c>
      <c r="K712">
        <v>3706.93</v>
      </c>
      <c r="L712">
        <v>8.7200000000000006</v>
      </c>
      <c r="M712">
        <v>1.22</v>
      </c>
      <c r="N712">
        <v>6.65</v>
      </c>
    </row>
    <row r="713" spans="1:14">
      <c r="A713" s="28">
        <v>571</v>
      </c>
      <c r="B713" t="s">
        <v>2670</v>
      </c>
      <c r="C713" t="s">
        <v>348</v>
      </c>
      <c r="D713">
        <v>39.32</v>
      </c>
      <c r="E713">
        <v>1052.5</v>
      </c>
      <c r="F713">
        <v>22.16</v>
      </c>
      <c r="G713" t="s">
        <v>349</v>
      </c>
      <c r="H713">
        <v>-9.48</v>
      </c>
      <c r="I713">
        <v>-11.98</v>
      </c>
      <c r="J713">
        <v>-702.13</v>
      </c>
      <c r="K713">
        <v>5762.5</v>
      </c>
      <c r="M713">
        <v>0.47</v>
      </c>
      <c r="N713">
        <v>28.22</v>
      </c>
    </row>
    <row r="714" spans="1:14">
      <c r="A714" s="28">
        <v>950</v>
      </c>
      <c r="B714" t="s">
        <v>2401</v>
      </c>
      <c r="C714" t="s">
        <v>348</v>
      </c>
      <c r="D714">
        <v>39.35</v>
      </c>
      <c r="E714">
        <v>614.78</v>
      </c>
      <c r="F714">
        <v>10.18</v>
      </c>
      <c r="G714" t="s">
        <v>2788</v>
      </c>
      <c r="H714">
        <v>-21.77</v>
      </c>
      <c r="I714">
        <v>-36.75</v>
      </c>
      <c r="J714">
        <v>-1003.64</v>
      </c>
      <c r="K714">
        <v>3573.88</v>
      </c>
      <c r="M714">
        <v>4.8099999999999996</v>
      </c>
    </row>
    <row r="715" spans="1:14">
      <c r="A715" s="28">
        <v>1060</v>
      </c>
      <c r="B715" t="s">
        <v>583</v>
      </c>
      <c r="C715" t="s">
        <v>348</v>
      </c>
      <c r="D715">
        <v>39.700000000000003</v>
      </c>
      <c r="E715">
        <v>5930.8</v>
      </c>
      <c r="F715">
        <v>7.9</v>
      </c>
      <c r="G715">
        <v>-10.34</v>
      </c>
      <c r="H715">
        <v>6.47</v>
      </c>
      <c r="I715">
        <v>8.85</v>
      </c>
      <c r="J715">
        <v>2482.7600000000002</v>
      </c>
      <c r="K715">
        <v>30154</v>
      </c>
      <c r="L715">
        <v>8.68</v>
      </c>
      <c r="M715">
        <v>0.71</v>
      </c>
      <c r="N715">
        <v>4.6500000000000004</v>
      </c>
    </row>
    <row r="716" spans="1:14">
      <c r="A716" s="28">
        <v>240</v>
      </c>
      <c r="B716" t="s">
        <v>2020</v>
      </c>
      <c r="C716" t="s">
        <v>348</v>
      </c>
      <c r="D716">
        <v>39.840000000000003</v>
      </c>
      <c r="E716">
        <v>409.26</v>
      </c>
      <c r="F716">
        <v>48.16</v>
      </c>
      <c r="G716" t="s">
        <v>349</v>
      </c>
      <c r="H716">
        <v>-17.7</v>
      </c>
      <c r="I716">
        <v>-25.64</v>
      </c>
      <c r="J716">
        <v>-715.96</v>
      </c>
      <c r="K716">
        <v>2546.31</v>
      </c>
      <c r="M716">
        <v>0.94</v>
      </c>
    </row>
    <row r="717" spans="1:14">
      <c r="A717" s="28">
        <v>633</v>
      </c>
      <c r="B717" t="s">
        <v>604</v>
      </c>
      <c r="C717" t="s">
        <v>347</v>
      </c>
      <c r="D717">
        <v>39.94</v>
      </c>
      <c r="E717">
        <v>4062.83</v>
      </c>
      <c r="F717">
        <v>19.489999999999998</v>
      </c>
      <c r="G717">
        <v>100.18</v>
      </c>
      <c r="H717">
        <v>8.7200000000000006</v>
      </c>
      <c r="I717">
        <v>12.6</v>
      </c>
      <c r="J717">
        <v>26758.26</v>
      </c>
      <c r="K717">
        <v>226079.91</v>
      </c>
      <c r="L717">
        <v>7.61</v>
      </c>
      <c r="M717">
        <v>0.9</v>
      </c>
      <c r="N717">
        <v>5</v>
      </c>
    </row>
    <row r="718" spans="1:14">
      <c r="A718" s="28">
        <v>986</v>
      </c>
      <c r="B718" t="s">
        <v>1261</v>
      </c>
      <c r="C718" t="s">
        <v>348</v>
      </c>
      <c r="D718">
        <v>39.950000000000003</v>
      </c>
      <c r="E718">
        <v>339.79</v>
      </c>
      <c r="F718">
        <v>9.44</v>
      </c>
      <c r="G718">
        <v>3.45</v>
      </c>
      <c r="H718">
        <v>4.1100000000000003</v>
      </c>
      <c r="I718">
        <v>5.71</v>
      </c>
      <c r="J718">
        <v>122.58</v>
      </c>
      <c r="K718">
        <v>2198.9499999999998</v>
      </c>
      <c r="L718">
        <v>21.54</v>
      </c>
      <c r="M718">
        <v>1.2</v>
      </c>
      <c r="N718">
        <v>15.75</v>
      </c>
    </row>
    <row r="719" spans="1:14">
      <c r="A719" s="28">
        <v>106</v>
      </c>
      <c r="B719" t="s">
        <v>1932</v>
      </c>
      <c r="C719" t="s">
        <v>348</v>
      </c>
      <c r="D719">
        <v>39.96</v>
      </c>
      <c r="E719">
        <v>1055.3800000000001</v>
      </c>
      <c r="F719">
        <v>108.85</v>
      </c>
      <c r="G719" t="s">
        <v>2788</v>
      </c>
      <c r="H719">
        <v>-38.700000000000003</v>
      </c>
      <c r="I719">
        <v>-102.58</v>
      </c>
      <c r="J719">
        <v>-1700.06</v>
      </c>
      <c r="K719">
        <v>2888.44</v>
      </c>
      <c r="M719">
        <v>4.9800000000000004</v>
      </c>
    </row>
    <row r="720" spans="1:14">
      <c r="A720" s="28">
        <v>1090</v>
      </c>
      <c r="B720" t="s">
        <v>187</v>
      </c>
      <c r="C720" t="s">
        <v>347</v>
      </c>
      <c r="D720">
        <v>39.99</v>
      </c>
      <c r="E720">
        <v>1456.83</v>
      </c>
      <c r="F720">
        <v>7.3</v>
      </c>
      <c r="G720" t="s">
        <v>349</v>
      </c>
      <c r="H720">
        <v>-0.59</v>
      </c>
      <c r="I720">
        <v>-0.83</v>
      </c>
      <c r="J720">
        <v>-64.83</v>
      </c>
      <c r="K720">
        <v>7784.13</v>
      </c>
      <c r="M720">
        <v>0.34</v>
      </c>
    </row>
    <row r="721" spans="1:14">
      <c r="A721" s="28">
        <v>330</v>
      </c>
      <c r="B721" t="s">
        <v>2301</v>
      </c>
      <c r="C721" t="s">
        <v>347</v>
      </c>
      <c r="D721">
        <v>397.06</v>
      </c>
      <c r="F721">
        <v>37.659999999999997</v>
      </c>
      <c r="G721" t="s">
        <v>2788</v>
      </c>
      <c r="H721">
        <v>-5.69</v>
      </c>
      <c r="I721">
        <v>-24.74</v>
      </c>
      <c r="J721">
        <v>-520.4</v>
      </c>
      <c r="K721">
        <v>1891.86</v>
      </c>
      <c r="M721">
        <v>1.47</v>
      </c>
      <c r="N721">
        <v>19.899999999999999</v>
      </c>
    </row>
    <row r="722" spans="1:14">
      <c r="A722" s="28">
        <v>19</v>
      </c>
      <c r="B722" t="s">
        <v>138</v>
      </c>
      <c r="C722" t="s">
        <v>347</v>
      </c>
      <c r="D722">
        <v>4.29</v>
      </c>
      <c r="E722">
        <v>150.36000000000001</v>
      </c>
      <c r="F722">
        <v>596.11</v>
      </c>
      <c r="G722" t="s">
        <v>349</v>
      </c>
      <c r="H722">
        <v>-8.6199999999999992</v>
      </c>
      <c r="I722">
        <v>-15.54</v>
      </c>
      <c r="J722">
        <v>-5316.2</v>
      </c>
      <c r="K722">
        <v>21340.7</v>
      </c>
      <c r="M722">
        <v>0.41</v>
      </c>
      <c r="N722">
        <v>4.4000000000000004</v>
      </c>
    </row>
    <row r="723" spans="1:14">
      <c r="A723" s="28">
        <v>215</v>
      </c>
      <c r="B723" t="s">
        <v>2419</v>
      </c>
      <c r="C723" t="s">
        <v>348</v>
      </c>
      <c r="D723">
        <v>4.4800000000000004</v>
      </c>
      <c r="E723">
        <v>521.4</v>
      </c>
      <c r="F723">
        <v>53.74</v>
      </c>
      <c r="G723" t="s">
        <v>2788</v>
      </c>
      <c r="H723">
        <v>-4.53</v>
      </c>
      <c r="I723">
        <v>-4.6900000000000004</v>
      </c>
      <c r="J723">
        <v>-149.07</v>
      </c>
      <c r="K723">
        <v>3106.99</v>
      </c>
      <c r="M723">
        <v>0.9</v>
      </c>
    </row>
    <row r="724" spans="1:14">
      <c r="A724" s="28">
        <v>820</v>
      </c>
      <c r="B724" t="s">
        <v>831</v>
      </c>
      <c r="C724" t="s">
        <v>348</v>
      </c>
      <c r="D724">
        <v>4.75</v>
      </c>
      <c r="E724">
        <v>5094.42</v>
      </c>
      <c r="F724">
        <v>13.58</v>
      </c>
      <c r="G724" t="s">
        <v>349</v>
      </c>
      <c r="H724">
        <v>-1.02</v>
      </c>
      <c r="I724">
        <v>-1.06</v>
      </c>
      <c r="J724">
        <v>-264.70999999999998</v>
      </c>
      <c r="K724">
        <v>25972.09</v>
      </c>
      <c r="M724">
        <v>0.32</v>
      </c>
      <c r="N724">
        <v>41.79</v>
      </c>
    </row>
    <row r="725" spans="1:14">
      <c r="A725" s="28">
        <v>828</v>
      </c>
      <c r="B725" t="s">
        <v>538</v>
      </c>
      <c r="C725" t="s">
        <v>348</v>
      </c>
      <c r="D725">
        <v>4.91</v>
      </c>
      <c r="E725">
        <v>1447.51</v>
      </c>
      <c r="F725">
        <v>13.36</v>
      </c>
      <c r="G725">
        <v>-16.059999999999999</v>
      </c>
      <c r="H725">
        <v>7.38</v>
      </c>
      <c r="I725">
        <v>7.79</v>
      </c>
      <c r="J725">
        <v>194.5</v>
      </c>
      <c r="K725">
        <v>2579.19</v>
      </c>
      <c r="L725">
        <v>15.78</v>
      </c>
      <c r="M725">
        <v>1.19</v>
      </c>
      <c r="N725">
        <v>15.12</v>
      </c>
    </row>
    <row r="726" spans="1:14">
      <c r="A726" s="28">
        <v>1053</v>
      </c>
      <c r="B726" t="s">
        <v>828</v>
      </c>
      <c r="C726" t="s">
        <v>348</v>
      </c>
      <c r="D726">
        <v>40</v>
      </c>
      <c r="E726">
        <v>2986.45</v>
      </c>
      <c r="F726">
        <v>8</v>
      </c>
      <c r="G726">
        <v>22.79</v>
      </c>
      <c r="H726">
        <v>8.82</v>
      </c>
      <c r="I726">
        <v>11.93</v>
      </c>
      <c r="J726">
        <v>1639.92</v>
      </c>
      <c r="K726">
        <v>15432.25</v>
      </c>
      <c r="L726">
        <v>17.2</v>
      </c>
      <c r="M726">
        <v>1.83</v>
      </c>
      <c r="N726">
        <v>9.16</v>
      </c>
    </row>
    <row r="727" spans="1:14">
      <c r="A727" s="28">
        <v>125</v>
      </c>
      <c r="B727" t="s">
        <v>1648</v>
      </c>
      <c r="C727" t="s">
        <v>348</v>
      </c>
      <c r="D727">
        <v>40.07</v>
      </c>
      <c r="E727">
        <v>367.85</v>
      </c>
      <c r="F727">
        <v>85.34</v>
      </c>
      <c r="G727" t="s">
        <v>350</v>
      </c>
      <c r="H727">
        <v>31.48</v>
      </c>
      <c r="I727">
        <v>154.54</v>
      </c>
      <c r="J727">
        <v>381.29</v>
      </c>
      <c r="K727">
        <v>438.83</v>
      </c>
      <c r="L727">
        <v>3.95</v>
      </c>
      <c r="M727">
        <v>3.43</v>
      </c>
    </row>
    <row r="728" spans="1:14">
      <c r="A728" s="28">
        <v>688</v>
      </c>
      <c r="B728" t="s">
        <v>782</v>
      </c>
      <c r="C728" t="s">
        <v>347</v>
      </c>
      <c r="D728">
        <v>40.159999999999997</v>
      </c>
      <c r="E728">
        <v>4426.2299999999996</v>
      </c>
      <c r="F728">
        <v>17.059999999999999</v>
      </c>
      <c r="G728">
        <v>-0.68</v>
      </c>
      <c r="H728">
        <v>4.0999999999999996</v>
      </c>
      <c r="I728">
        <v>5.73</v>
      </c>
      <c r="J728">
        <v>1262.5999999999999</v>
      </c>
      <c r="K728">
        <v>22631.13</v>
      </c>
      <c r="L728">
        <v>8.31</v>
      </c>
      <c r="M728">
        <v>0.46</v>
      </c>
      <c r="N728">
        <v>5.47</v>
      </c>
    </row>
    <row r="729" spans="1:14">
      <c r="A729" s="28">
        <v>871</v>
      </c>
      <c r="B729" t="s">
        <v>139</v>
      </c>
      <c r="C729" t="s">
        <v>347</v>
      </c>
      <c r="D729">
        <v>40.49</v>
      </c>
      <c r="E729">
        <v>2310.9899999999998</v>
      </c>
      <c r="F729">
        <v>11.92</v>
      </c>
      <c r="G729">
        <v>78.95</v>
      </c>
      <c r="H729">
        <v>5.51</v>
      </c>
      <c r="I729">
        <v>7.83</v>
      </c>
      <c r="J729">
        <v>887.29</v>
      </c>
      <c r="K729">
        <v>12054.94</v>
      </c>
      <c r="L729">
        <v>7.17</v>
      </c>
      <c r="M729">
        <v>0.53</v>
      </c>
      <c r="N729">
        <v>5.0199999999999996</v>
      </c>
    </row>
    <row r="730" spans="1:14">
      <c r="A730" s="28">
        <v>429</v>
      </c>
      <c r="B730" t="s">
        <v>1855</v>
      </c>
      <c r="C730" t="s">
        <v>347</v>
      </c>
      <c r="D730">
        <v>40.5</v>
      </c>
      <c r="E730">
        <v>1373.25</v>
      </c>
      <c r="F730">
        <v>29.65</v>
      </c>
      <c r="G730">
        <v>-2.92</v>
      </c>
      <c r="H730">
        <v>4.8099999999999996</v>
      </c>
      <c r="I730">
        <v>7.41</v>
      </c>
      <c r="J730">
        <v>862.24</v>
      </c>
      <c r="K730">
        <v>14732.48</v>
      </c>
      <c r="L730">
        <v>170.83</v>
      </c>
      <c r="M730">
        <v>10</v>
      </c>
      <c r="N730">
        <v>99.16</v>
      </c>
    </row>
    <row r="731" spans="1:14">
      <c r="A731" s="28">
        <v>692</v>
      </c>
      <c r="B731" t="s">
        <v>90</v>
      </c>
      <c r="C731" t="s">
        <v>347</v>
      </c>
      <c r="D731">
        <v>40.51</v>
      </c>
      <c r="E731">
        <v>9277.4</v>
      </c>
      <c r="F731">
        <v>17.010000000000002</v>
      </c>
      <c r="G731">
        <v>-9.98</v>
      </c>
      <c r="H731">
        <v>4.05</v>
      </c>
      <c r="I731">
        <v>5.89</v>
      </c>
      <c r="J731">
        <v>5430.27</v>
      </c>
      <c r="K731">
        <v>93773.96</v>
      </c>
      <c r="L731">
        <v>7.56</v>
      </c>
      <c r="M731">
        <v>0.44</v>
      </c>
      <c r="N731">
        <v>3.42</v>
      </c>
    </row>
    <row r="732" spans="1:14">
      <c r="A732" s="28">
        <v>85</v>
      </c>
      <c r="B732" t="s">
        <v>1050</v>
      </c>
      <c r="C732" t="s">
        <v>348</v>
      </c>
      <c r="D732">
        <v>40.94</v>
      </c>
      <c r="E732">
        <v>4631.8</v>
      </c>
      <c r="F732">
        <v>126.79</v>
      </c>
      <c r="G732">
        <v>91.35</v>
      </c>
      <c r="H732">
        <v>25.91</v>
      </c>
      <c r="I732">
        <v>34.36</v>
      </c>
      <c r="J732">
        <v>2633.24</v>
      </c>
      <c r="K732">
        <v>9463.6</v>
      </c>
      <c r="N732">
        <v>0</v>
      </c>
    </row>
    <row r="733" spans="1:14">
      <c r="A733" s="28">
        <v>602</v>
      </c>
      <c r="B733" t="s">
        <v>1494</v>
      </c>
      <c r="C733" t="s">
        <v>348</v>
      </c>
      <c r="D733">
        <v>40.950000000000003</v>
      </c>
      <c r="E733">
        <v>1214.54</v>
      </c>
      <c r="F733">
        <v>20.43</v>
      </c>
      <c r="G733">
        <v>-20.8</v>
      </c>
      <c r="H733">
        <v>19.18</v>
      </c>
      <c r="I733">
        <v>26.41</v>
      </c>
      <c r="J733">
        <v>292.64999999999998</v>
      </c>
      <c r="K733">
        <v>1314.54</v>
      </c>
      <c r="L733">
        <v>35.840000000000003</v>
      </c>
      <c r="M733">
        <v>7.98</v>
      </c>
      <c r="N733">
        <v>23.07</v>
      </c>
    </row>
    <row r="734" spans="1:14">
      <c r="A734" s="28">
        <v>724</v>
      </c>
      <c r="B734" t="s">
        <v>202</v>
      </c>
      <c r="C734" t="s">
        <v>347</v>
      </c>
      <c r="D734">
        <v>407.21</v>
      </c>
      <c r="E734">
        <v>4188.6099999999997</v>
      </c>
      <c r="F734">
        <v>16.13</v>
      </c>
      <c r="G734">
        <v>-1.53</v>
      </c>
      <c r="H734">
        <v>1.27</v>
      </c>
      <c r="I734">
        <v>6.44</v>
      </c>
      <c r="J734">
        <v>1059.75</v>
      </c>
      <c r="K734">
        <v>18260.39</v>
      </c>
      <c r="L734">
        <v>5.48</v>
      </c>
      <c r="M734">
        <v>0.32</v>
      </c>
    </row>
    <row r="735" spans="1:14">
      <c r="A735" s="28">
        <v>173</v>
      </c>
      <c r="B735" t="s">
        <v>2079</v>
      </c>
      <c r="C735" t="s">
        <v>347</v>
      </c>
      <c r="D735">
        <v>41.02</v>
      </c>
      <c r="E735">
        <v>416.54</v>
      </c>
      <c r="F735">
        <v>64.290000000000006</v>
      </c>
      <c r="G735" t="s">
        <v>2788</v>
      </c>
      <c r="H735">
        <v>-6.09</v>
      </c>
      <c r="I735">
        <v>-8.5299999999999994</v>
      </c>
      <c r="J735">
        <v>-225.93</v>
      </c>
      <c r="K735">
        <v>2582.7199999999998</v>
      </c>
      <c r="M735">
        <v>0.54</v>
      </c>
      <c r="N735">
        <v>6.88</v>
      </c>
    </row>
    <row r="736" spans="1:14">
      <c r="A736" s="28">
        <v>754</v>
      </c>
      <c r="B736" t="s">
        <v>1695</v>
      </c>
      <c r="C736" t="s">
        <v>347</v>
      </c>
      <c r="D736">
        <v>41.03</v>
      </c>
      <c r="E736">
        <v>2249.31</v>
      </c>
      <c r="F736">
        <v>15.37</v>
      </c>
      <c r="G736">
        <v>-80.040000000000006</v>
      </c>
      <c r="H736">
        <v>1.71</v>
      </c>
      <c r="I736">
        <v>2.56</v>
      </c>
      <c r="J736">
        <v>118.97</v>
      </c>
      <c r="K736">
        <v>4698.62</v>
      </c>
      <c r="L736">
        <v>38.119999999999997</v>
      </c>
      <c r="M736">
        <v>0.97</v>
      </c>
      <c r="N736">
        <v>12.84</v>
      </c>
    </row>
    <row r="737" spans="1:14">
      <c r="A737" s="28">
        <v>299</v>
      </c>
      <c r="B737" t="s">
        <v>141</v>
      </c>
      <c r="C737" t="s">
        <v>347</v>
      </c>
      <c r="D737">
        <v>41.07</v>
      </c>
      <c r="E737">
        <v>597.69000000000005</v>
      </c>
      <c r="F737">
        <v>41.07</v>
      </c>
      <c r="G737">
        <v>-10.18</v>
      </c>
      <c r="H737">
        <v>2.86</v>
      </c>
      <c r="I737">
        <v>4</v>
      </c>
      <c r="J737">
        <v>272.83999999999997</v>
      </c>
      <c r="K737">
        <v>6976.86</v>
      </c>
      <c r="L737">
        <v>17.34</v>
      </c>
      <c r="M737">
        <v>0.68</v>
      </c>
      <c r="N737">
        <v>6.68</v>
      </c>
    </row>
    <row r="738" spans="1:14">
      <c r="A738" s="28">
        <v>1038</v>
      </c>
      <c r="B738" t="s">
        <v>563</v>
      </c>
      <c r="C738" t="s">
        <v>347</v>
      </c>
      <c r="D738">
        <v>41.16</v>
      </c>
      <c r="E738">
        <v>626.1</v>
      </c>
      <c r="F738">
        <v>8.27</v>
      </c>
      <c r="G738">
        <v>100.51</v>
      </c>
      <c r="H738">
        <v>14</v>
      </c>
      <c r="I738">
        <v>19.98</v>
      </c>
      <c r="J738">
        <v>678.27</v>
      </c>
      <c r="K738">
        <v>3630.49</v>
      </c>
      <c r="L738">
        <v>10.14</v>
      </c>
      <c r="M738">
        <v>1.9</v>
      </c>
      <c r="N738">
        <v>11.83</v>
      </c>
    </row>
    <row r="739" spans="1:14">
      <c r="A739" s="28">
        <v>721</v>
      </c>
      <c r="B739" t="s">
        <v>1592</v>
      </c>
      <c r="C739" t="s">
        <v>347</v>
      </c>
      <c r="D739">
        <v>41.38</v>
      </c>
      <c r="E739">
        <v>166.01</v>
      </c>
      <c r="F739">
        <v>16.16</v>
      </c>
      <c r="G739">
        <v>15.06</v>
      </c>
      <c r="H739">
        <v>10.52</v>
      </c>
      <c r="I739">
        <v>15.16</v>
      </c>
      <c r="J739">
        <v>181.36</v>
      </c>
      <c r="K739">
        <v>1330.07</v>
      </c>
      <c r="L739">
        <v>62.31</v>
      </c>
      <c r="M739">
        <v>8.5</v>
      </c>
      <c r="N739">
        <v>61.33</v>
      </c>
    </row>
    <row r="740" spans="1:14">
      <c r="A740" s="28">
        <v>1049</v>
      </c>
      <c r="B740" t="s">
        <v>996</v>
      </c>
      <c r="C740" t="s">
        <v>348</v>
      </c>
      <c r="D740">
        <v>41.53</v>
      </c>
      <c r="E740">
        <v>1556.66</v>
      </c>
      <c r="F740">
        <v>8.0299999999999994</v>
      </c>
      <c r="G740">
        <v>30.69</v>
      </c>
      <c r="H740">
        <v>4.3099999999999996</v>
      </c>
      <c r="I740">
        <v>6.04</v>
      </c>
      <c r="J740">
        <v>469.09</v>
      </c>
      <c r="K740">
        <v>8283.2999999999993</v>
      </c>
      <c r="L740">
        <v>12.13</v>
      </c>
      <c r="M740">
        <v>0.69</v>
      </c>
      <c r="N740">
        <v>8.4600000000000009</v>
      </c>
    </row>
    <row r="741" spans="1:14">
      <c r="A741" s="28">
        <v>518</v>
      </c>
      <c r="B741" t="s">
        <v>1280</v>
      </c>
      <c r="C741" t="s">
        <v>348</v>
      </c>
      <c r="D741">
        <v>41.55</v>
      </c>
      <c r="E741">
        <v>1015.65</v>
      </c>
      <c r="F741">
        <v>24.74</v>
      </c>
      <c r="G741">
        <v>172.75</v>
      </c>
      <c r="H741">
        <v>8.73</v>
      </c>
      <c r="I741">
        <v>11.67</v>
      </c>
      <c r="J741">
        <v>618.29</v>
      </c>
      <c r="K741">
        <v>5578.23</v>
      </c>
      <c r="L741">
        <v>14.48</v>
      </c>
      <c r="M741">
        <v>1.6</v>
      </c>
      <c r="N741">
        <v>15.92</v>
      </c>
    </row>
    <row r="742" spans="1:14">
      <c r="A742" s="28">
        <v>1091</v>
      </c>
      <c r="B742" t="s">
        <v>1069</v>
      </c>
      <c r="C742" t="s">
        <v>348</v>
      </c>
      <c r="D742">
        <v>41.61</v>
      </c>
      <c r="E742">
        <v>1883.27</v>
      </c>
      <c r="F742">
        <v>7.25</v>
      </c>
      <c r="G742">
        <v>-42.22</v>
      </c>
      <c r="H742">
        <v>3.18</v>
      </c>
      <c r="I742">
        <v>4.54</v>
      </c>
      <c r="J742">
        <v>409.36</v>
      </c>
      <c r="K742">
        <v>9477.44</v>
      </c>
      <c r="L742">
        <v>14.21</v>
      </c>
      <c r="M742">
        <v>0.61</v>
      </c>
      <c r="N742">
        <v>9.5299999999999994</v>
      </c>
    </row>
    <row r="743" spans="1:14">
      <c r="A743" s="28">
        <v>485</v>
      </c>
      <c r="B743" t="s">
        <v>961</v>
      </c>
      <c r="C743" t="s">
        <v>347</v>
      </c>
      <c r="D743">
        <v>41.67</v>
      </c>
      <c r="E743">
        <v>2442.9899999999998</v>
      </c>
      <c r="F743">
        <v>26.33</v>
      </c>
      <c r="G743">
        <v>279.58999999999997</v>
      </c>
      <c r="H743">
        <v>11.54</v>
      </c>
      <c r="I743">
        <v>17.170000000000002</v>
      </c>
      <c r="J743">
        <v>2008.78</v>
      </c>
      <c r="K743">
        <v>12714.97</v>
      </c>
      <c r="L743">
        <v>2.38</v>
      </c>
      <c r="M743">
        <v>0.38</v>
      </c>
      <c r="N743">
        <v>2.99</v>
      </c>
    </row>
    <row r="744" spans="1:14">
      <c r="A744" s="28">
        <v>193</v>
      </c>
      <c r="B744" t="s">
        <v>277</v>
      </c>
      <c r="C744" t="s">
        <v>348</v>
      </c>
      <c r="D744">
        <v>41.72</v>
      </c>
      <c r="E744">
        <v>1973.58</v>
      </c>
      <c r="F744">
        <v>57.68</v>
      </c>
      <c r="G744">
        <v>44.44</v>
      </c>
      <c r="H744">
        <v>6.45</v>
      </c>
      <c r="I744">
        <v>8.98</v>
      </c>
      <c r="J744">
        <v>876.34</v>
      </c>
      <c r="K744">
        <v>10558.51</v>
      </c>
      <c r="L744">
        <v>9.6999999999999993</v>
      </c>
      <c r="M744">
        <v>0.81</v>
      </c>
      <c r="N744">
        <v>45.83</v>
      </c>
    </row>
    <row r="745" spans="1:14">
      <c r="A745" s="28">
        <v>724</v>
      </c>
      <c r="B745" t="s">
        <v>2122</v>
      </c>
      <c r="C745" t="s">
        <v>347</v>
      </c>
      <c r="D745">
        <v>41.83</v>
      </c>
      <c r="E745">
        <v>14089.31</v>
      </c>
      <c r="F745">
        <v>16.13</v>
      </c>
      <c r="G745" t="s">
        <v>2788</v>
      </c>
      <c r="H745">
        <v>-0.28000000000000003</v>
      </c>
      <c r="I745">
        <v>-0.39</v>
      </c>
      <c r="J745">
        <v>-280.72000000000003</v>
      </c>
      <c r="K745">
        <v>70946.559999999998</v>
      </c>
      <c r="M745">
        <v>6.03</v>
      </c>
      <c r="N745">
        <v>811.39</v>
      </c>
    </row>
    <row r="746" spans="1:14">
      <c r="A746" s="28">
        <v>603</v>
      </c>
      <c r="B746" t="s">
        <v>2310</v>
      </c>
      <c r="C746" t="s">
        <v>348</v>
      </c>
      <c r="D746">
        <v>412.48</v>
      </c>
      <c r="E746">
        <v>579.91999999999996</v>
      </c>
      <c r="F746">
        <v>20.420000000000002</v>
      </c>
      <c r="G746" t="s">
        <v>350</v>
      </c>
      <c r="H746">
        <v>0.03</v>
      </c>
      <c r="I746">
        <v>0.12</v>
      </c>
      <c r="J746">
        <v>0.8</v>
      </c>
      <c r="K746">
        <v>679.92</v>
      </c>
      <c r="L746">
        <v>3670.09</v>
      </c>
      <c r="M746">
        <v>4.29</v>
      </c>
      <c r="N746">
        <v>36.14</v>
      </c>
    </row>
    <row r="747" spans="1:14">
      <c r="A747" s="28">
        <v>302</v>
      </c>
      <c r="B747" t="s">
        <v>1665</v>
      </c>
      <c r="C747" t="s">
        <v>347</v>
      </c>
      <c r="D747">
        <v>412.88</v>
      </c>
      <c r="E747">
        <v>256.04000000000002</v>
      </c>
      <c r="F747">
        <v>40.909999999999997</v>
      </c>
      <c r="G747" t="s">
        <v>2788</v>
      </c>
      <c r="H747">
        <v>-41.14</v>
      </c>
      <c r="I747">
        <v>-119.93</v>
      </c>
      <c r="J747">
        <v>-2627.45</v>
      </c>
      <c r="K747">
        <v>1780.19</v>
      </c>
      <c r="M747">
        <v>1.67</v>
      </c>
      <c r="N747">
        <v>47.51</v>
      </c>
    </row>
    <row r="748" spans="1:14">
      <c r="A748" s="28">
        <v>90</v>
      </c>
      <c r="B748" t="s">
        <v>1832</v>
      </c>
      <c r="C748" t="s">
        <v>348</v>
      </c>
      <c r="D748">
        <v>417.84</v>
      </c>
      <c r="E748">
        <v>382.34</v>
      </c>
      <c r="F748">
        <v>121.01</v>
      </c>
      <c r="G748">
        <v>165.61</v>
      </c>
      <c r="H748">
        <v>1.8</v>
      </c>
      <c r="I748">
        <v>7.52</v>
      </c>
      <c r="J748">
        <v>172.29</v>
      </c>
      <c r="K748">
        <v>2411.6999999999998</v>
      </c>
      <c r="L748">
        <v>51.66</v>
      </c>
      <c r="M748">
        <v>3.69</v>
      </c>
      <c r="N748">
        <v>37.04</v>
      </c>
    </row>
    <row r="749" spans="1:14">
      <c r="A749" s="28">
        <v>89</v>
      </c>
      <c r="B749" t="s">
        <v>1991</v>
      </c>
      <c r="C749" t="s">
        <v>348</v>
      </c>
      <c r="D749">
        <v>42.34</v>
      </c>
      <c r="E749">
        <v>541.99</v>
      </c>
      <c r="F749">
        <v>122.36</v>
      </c>
      <c r="G749" t="s">
        <v>350</v>
      </c>
      <c r="H749">
        <v>35.11</v>
      </c>
      <c r="I749">
        <v>64.09</v>
      </c>
      <c r="J749">
        <v>1410.92</v>
      </c>
      <c r="K749">
        <v>3209.93</v>
      </c>
      <c r="L749">
        <v>14.88</v>
      </c>
      <c r="M749">
        <v>6.54</v>
      </c>
      <c r="N749">
        <v>14.41</v>
      </c>
    </row>
    <row r="750" spans="1:14">
      <c r="A750" s="28">
        <v>120</v>
      </c>
      <c r="B750" t="s">
        <v>2618</v>
      </c>
      <c r="C750" t="s">
        <v>348</v>
      </c>
      <c r="D750">
        <v>42.36</v>
      </c>
      <c r="E750">
        <v>612.44000000000005</v>
      </c>
      <c r="F750">
        <v>87.97</v>
      </c>
      <c r="G750">
        <v>62.94</v>
      </c>
      <c r="H750">
        <v>18.28</v>
      </c>
      <c r="I750">
        <v>27.68</v>
      </c>
      <c r="J750">
        <v>320.61</v>
      </c>
      <c r="K750">
        <v>1424.88</v>
      </c>
      <c r="L750">
        <v>10.57</v>
      </c>
      <c r="M750">
        <v>2.38</v>
      </c>
      <c r="N750">
        <v>18.96</v>
      </c>
    </row>
    <row r="751" spans="1:14">
      <c r="A751" s="28">
        <v>642</v>
      </c>
      <c r="B751" t="s">
        <v>1079</v>
      </c>
      <c r="C751" t="s">
        <v>348</v>
      </c>
      <c r="D751">
        <v>42.39</v>
      </c>
      <c r="E751">
        <v>1381.3</v>
      </c>
      <c r="F751">
        <v>19.12</v>
      </c>
      <c r="G751">
        <v>85.75</v>
      </c>
      <c r="H751">
        <v>4.41</v>
      </c>
      <c r="I751">
        <v>6.22</v>
      </c>
      <c r="J751">
        <v>414.45</v>
      </c>
      <c r="K751">
        <v>7406.52</v>
      </c>
      <c r="L751">
        <v>26.73</v>
      </c>
      <c r="M751">
        <v>1.5</v>
      </c>
      <c r="N751">
        <v>21.96</v>
      </c>
    </row>
    <row r="752" spans="1:14">
      <c r="A752" s="28">
        <v>990</v>
      </c>
      <c r="B752" t="s">
        <v>355</v>
      </c>
      <c r="C752" t="s">
        <v>348</v>
      </c>
      <c r="D752">
        <v>42.61</v>
      </c>
      <c r="E752">
        <v>565.47</v>
      </c>
      <c r="F752">
        <v>9.39</v>
      </c>
      <c r="G752" t="s">
        <v>2788</v>
      </c>
      <c r="H752">
        <v>-0.04</v>
      </c>
      <c r="I752">
        <v>-0.06</v>
      </c>
      <c r="J752">
        <v>-1.81</v>
      </c>
      <c r="K752">
        <v>3327.36</v>
      </c>
      <c r="M752">
        <v>0.65</v>
      </c>
      <c r="N752">
        <v>126.13</v>
      </c>
    </row>
    <row r="753" spans="1:14">
      <c r="A753" s="28">
        <v>87</v>
      </c>
      <c r="B753" t="s">
        <v>1014</v>
      </c>
      <c r="C753" t="s">
        <v>348</v>
      </c>
      <c r="D753">
        <v>42.66</v>
      </c>
      <c r="E753">
        <v>1690.29</v>
      </c>
      <c r="F753">
        <v>125.62</v>
      </c>
      <c r="G753" t="s">
        <v>350</v>
      </c>
      <c r="H753">
        <v>3.51</v>
      </c>
      <c r="I753">
        <v>4.67</v>
      </c>
      <c r="J753">
        <v>371.61</v>
      </c>
      <c r="K753">
        <v>9015.6299999999992</v>
      </c>
      <c r="L753">
        <v>17.57</v>
      </c>
      <c r="M753">
        <v>0.72</v>
      </c>
      <c r="N753">
        <v>7.54</v>
      </c>
    </row>
    <row r="754" spans="1:14">
      <c r="A754" s="28">
        <v>1102</v>
      </c>
      <c r="B754" t="s">
        <v>177</v>
      </c>
      <c r="C754" t="s">
        <v>347</v>
      </c>
      <c r="D754">
        <v>42.88</v>
      </c>
      <c r="E754">
        <v>780.41</v>
      </c>
      <c r="F754">
        <v>6.92</v>
      </c>
      <c r="G754">
        <v>36.58</v>
      </c>
      <c r="H754">
        <v>4.47</v>
      </c>
      <c r="I754">
        <v>6.33</v>
      </c>
      <c r="J754">
        <v>3212.57</v>
      </c>
      <c r="K754">
        <v>50988.84</v>
      </c>
      <c r="L754">
        <v>12.5</v>
      </c>
      <c r="M754">
        <v>0.79</v>
      </c>
    </row>
    <row r="755" spans="1:14">
      <c r="A755" s="28">
        <v>1111</v>
      </c>
      <c r="B755" t="s">
        <v>1630</v>
      </c>
      <c r="C755" t="s">
        <v>348</v>
      </c>
      <c r="D755">
        <v>42.89</v>
      </c>
      <c r="E755">
        <v>1602.93</v>
      </c>
      <c r="F755">
        <v>6.64</v>
      </c>
      <c r="G755">
        <v>125.61</v>
      </c>
      <c r="H755">
        <v>6.27</v>
      </c>
      <c r="I755">
        <v>9.1300000000000008</v>
      </c>
      <c r="J755">
        <v>743.76</v>
      </c>
      <c r="K755">
        <v>8514.66</v>
      </c>
      <c r="L755">
        <v>7.44</v>
      </c>
      <c r="M755">
        <v>0.65</v>
      </c>
      <c r="N755">
        <v>6.75</v>
      </c>
    </row>
    <row r="756" spans="1:14">
      <c r="A756" s="28">
        <v>56</v>
      </c>
      <c r="B756" t="s">
        <v>1775</v>
      </c>
      <c r="C756" t="s">
        <v>348</v>
      </c>
      <c r="D756">
        <v>42.9</v>
      </c>
      <c r="E756">
        <v>1091.74</v>
      </c>
      <c r="F756">
        <v>180.65</v>
      </c>
      <c r="G756" t="s">
        <v>2788</v>
      </c>
      <c r="H756">
        <v>-11.82</v>
      </c>
      <c r="I756">
        <v>-14.62</v>
      </c>
      <c r="J756">
        <v>-873.33</v>
      </c>
      <c r="K756">
        <v>5958.71</v>
      </c>
      <c r="M756">
        <v>1.85</v>
      </c>
    </row>
    <row r="757" spans="1:14">
      <c r="A757" s="28">
        <v>323</v>
      </c>
      <c r="B757" t="s">
        <v>2568</v>
      </c>
      <c r="C757" t="s">
        <v>348</v>
      </c>
      <c r="D757">
        <v>43.05</v>
      </c>
      <c r="E757">
        <v>142.12</v>
      </c>
      <c r="F757">
        <v>38.32</v>
      </c>
      <c r="G757" t="s">
        <v>349</v>
      </c>
      <c r="H757">
        <v>-9.24</v>
      </c>
      <c r="I757">
        <v>-13.96</v>
      </c>
      <c r="J757">
        <v>-160.44999999999999</v>
      </c>
      <c r="K757">
        <v>1210.6099999999999</v>
      </c>
      <c r="M757">
        <v>3.62</v>
      </c>
    </row>
    <row r="758" spans="1:14">
      <c r="A758" s="28">
        <v>698</v>
      </c>
      <c r="B758" t="s">
        <v>232</v>
      </c>
      <c r="C758" t="s">
        <v>347</v>
      </c>
      <c r="D758">
        <v>43.07</v>
      </c>
      <c r="E758">
        <v>3775.41</v>
      </c>
      <c r="F758">
        <v>16.760000000000002</v>
      </c>
      <c r="G758">
        <v>-3.26</v>
      </c>
      <c r="H758">
        <v>3.45</v>
      </c>
      <c r="I758">
        <v>5.01</v>
      </c>
      <c r="J758">
        <v>945.3</v>
      </c>
      <c r="K758">
        <v>19377.07</v>
      </c>
      <c r="L758">
        <v>12.32</v>
      </c>
      <c r="M758">
        <v>0.6</v>
      </c>
      <c r="N758">
        <v>8.65</v>
      </c>
    </row>
    <row r="759" spans="1:14">
      <c r="A759" s="28">
        <v>750</v>
      </c>
      <c r="B759" t="s">
        <v>1325</v>
      </c>
      <c r="C759" t="s">
        <v>348</v>
      </c>
      <c r="D759">
        <v>43.08</v>
      </c>
      <c r="E759">
        <v>1307.03</v>
      </c>
      <c r="F759">
        <v>15.51</v>
      </c>
      <c r="G759">
        <v>-0.81</v>
      </c>
      <c r="H759">
        <v>2.95</v>
      </c>
      <c r="I759">
        <v>3.96</v>
      </c>
      <c r="J759">
        <v>274.19</v>
      </c>
      <c r="K759">
        <v>7035.14</v>
      </c>
      <c r="L759">
        <v>29.14</v>
      </c>
      <c r="M759">
        <v>1.1399999999999999</v>
      </c>
      <c r="N759">
        <v>20.9</v>
      </c>
    </row>
    <row r="760" spans="1:14">
      <c r="A760" s="28">
        <v>81</v>
      </c>
      <c r="B760" t="s">
        <v>1095</v>
      </c>
      <c r="C760" t="s">
        <v>348</v>
      </c>
      <c r="D760">
        <v>43.08</v>
      </c>
      <c r="E760">
        <v>7016.19</v>
      </c>
      <c r="F760">
        <v>130.63</v>
      </c>
      <c r="G760">
        <v>87.86</v>
      </c>
      <c r="H760">
        <v>8.7100000000000009</v>
      </c>
      <c r="I760">
        <v>12.89</v>
      </c>
      <c r="J760">
        <v>861.71</v>
      </c>
      <c r="K760">
        <v>7116.19</v>
      </c>
      <c r="L760">
        <v>19.149999999999999</v>
      </c>
      <c r="M760">
        <v>2.3199999999999998</v>
      </c>
      <c r="N760">
        <v>21.15</v>
      </c>
    </row>
    <row r="761" spans="1:14">
      <c r="A761" s="28">
        <v>526</v>
      </c>
      <c r="B761" t="s">
        <v>2480</v>
      </c>
      <c r="C761" t="s">
        <v>348</v>
      </c>
      <c r="D761">
        <v>43.2</v>
      </c>
      <c r="E761">
        <v>481.86</v>
      </c>
      <c r="F761">
        <v>24.47</v>
      </c>
      <c r="G761" t="s">
        <v>2788</v>
      </c>
      <c r="H761">
        <v>-8.42</v>
      </c>
      <c r="I761">
        <v>-11.72</v>
      </c>
      <c r="J761">
        <v>-361.03</v>
      </c>
      <c r="K761">
        <v>2909.3</v>
      </c>
      <c r="M761">
        <v>3.94</v>
      </c>
      <c r="N761">
        <v>23.78</v>
      </c>
    </row>
    <row r="762" spans="1:14">
      <c r="A762" s="28">
        <v>155</v>
      </c>
      <c r="B762" t="s">
        <v>2764</v>
      </c>
      <c r="C762" t="s">
        <v>348</v>
      </c>
      <c r="D762">
        <v>43.22</v>
      </c>
      <c r="E762">
        <v>577.97</v>
      </c>
      <c r="F762">
        <v>68.63</v>
      </c>
      <c r="G762" t="s">
        <v>2788</v>
      </c>
      <c r="H762">
        <v>-1.29</v>
      </c>
      <c r="I762">
        <v>-1.89</v>
      </c>
      <c r="J762">
        <v>-64.569999999999993</v>
      </c>
      <c r="K762">
        <v>3389.85</v>
      </c>
      <c r="M762">
        <v>3.25</v>
      </c>
    </row>
    <row r="763" spans="1:14">
      <c r="A763" s="28">
        <v>788</v>
      </c>
      <c r="B763" t="s">
        <v>900</v>
      </c>
      <c r="C763" t="s">
        <v>348</v>
      </c>
      <c r="D763">
        <v>43.22</v>
      </c>
      <c r="E763">
        <v>4155.26</v>
      </c>
      <c r="F763">
        <v>14.5</v>
      </c>
      <c r="G763">
        <v>-34.92</v>
      </c>
      <c r="H763">
        <v>4.08</v>
      </c>
      <c r="I763">
        <v>5.91</v>
      </c>
      <c r="J763">
        <v>608.41999999999996</v>
      </c>
      <c r="K763">
        <v>10646.74</v>
      </c>
      <c r="L763">
        <v>27.06</v>
      </c>
      <c r="M763">
        <v>1.55</v>
      </c>
      <c r="N763">
        <v>17.43</v>
      </c>
    </row>
    <row r="764" spans="1:14">
      <c r="A764" s="28">
        <v>408</v>
      </c>
      <c r="B764" t="s">
        <v>1910</v>
      </c>
      <c r="C764" t="s">
        <v>348</v>
      </c>
      <c r="D764">
        <v>43.29</v>
      </c>
      <c r="E764">
        <v>179.01</v>
      </c>
      <c r="F764">
        <v>31.06</v>
      </c>
      <c r="G764" t="s">
        <v>2788</v>
      </c>
      <c r="H764">
        <v>-13.39</v>
      </c>
      <c r="I764">
        <v>-20.100000000000001</v>
      </c>
      <c r="J764">
        <v>-305.48</v>
      </c>
      <c r="K764">
        <v>1395.05</v>
      </c>
      <c r="M764">
        <v>2.09</v>
      </c>
    </row>
    <row r="765" spans="1:14">
      <c r="A765" s="28">
        <v>479</v>
      </c>
      <c r="B765" t="s">
        <v>621</v>
      </c>
      <c r="C765" t="s">
        <v>348</v>
      </c>
      <c r="D765">
        <v>43.35</v>
      </c>
      <c r="E765">
        <v>2186.61</v>
      </c>
      <c r="F765">
        <v>26.46</v>
      </c>
      <c r="G765">
        <v>88.02</v>
      </c>
      <c r="H765">
        <v>1.03</v>
      </c>
      <c r="I765">
        <v>1.46</v>
      </c>
      <c r="J765">
        <v>162.79</v>
      </c>
      <c r="K765">
        <v>11433.07</v>
      </c>
      <c r="L765">
        <v>56.45</v>
      </c>
      <c r="M765">
        <v>0.8</v>
      </c>
      <c r="N765">
        <v>10.75</v>
      </c>
    </row>
    <row r="766" spans="1:14">
      <c r="A766" s="28">
        <v>599</v>
      </c>
      <c r="B766" t="s">
        <v>2326</v>
      </c>
      <c r="C766" t="s">
        <v>347</v>
      </c>
      <c r="D766">
        <v>43.61</v>
      </c>
      <c r="E766">
        <v>4530.1400000000003</v>
      </c>
      <c r="F766">
        <v>20.57</v>
      </c>
      <c r="G766">
        <v>35.56</v>
      </c>
      <c r="H766">
        <v>7.88</v>
      </c>
      <c r="I766">
        <v>12.18</v>
      </c>
      <c r="J766">
        <v>13290.25</v>
      </c>
      <c r="K766">
        <v>115753.42</v>
      </c>
      <c r="L766">
        <v>57.18</v>
      </c>
      <c r="M766">
        <v>6.57</v>
      </c>
      <c r="N766">
        <v>37.07</v>
      </c>
    </row>
    <row r="767" spans="1:14">
      <c r="A767" s="28">
        <v>362</v>
      </c>
      <c r="B767" t="s">
        <v>1489</v>
      </c>
      <c r="C767" t="s">
        <v>348</v>
      </c>
      <c r="D767">
        <v>43.66</v>
      </c>
      <c r="E767">
        <v>1038.6400000000001</v>
      </c>
      <c r="F767">
        <v>34.5</v>
      </c>
      <c r="G767" t="s">
        <v>350</v>
      </c>
      <c r="H767">
        <v>2.56</v>
      </c>
      <c r="I767">
        <v>3.39</v>
      </c>
      <c r="J767">
        <v>187.87</v>
      </c>
      <c r="K767">
        <v>5693.18</v>
      </c>
      <c r="L767">
        <v>42.21</v>
      </c>
      <c r="M767">
        <v>1.39</v>
      </c>
      <c r="N767">
        <v>28.12</v>
      </c>
    </row>
    <row r="768" spans="1:14">
      <c r="A768" s="28">
        <v>669</v>
      </c>
      <c r="B768" t="s">
        <v>2756</v>
      </c>
      <c r="C768" t="s">
        <v>348</v>
      </c>
      <c r="D768">
        <v>43.98</v>
      </c>
      <c r="E768">
        <v>268.3</v>
      </c>
      <c r="F768">
        <v>18.04</v>
      </c>
      <c r="G768" t="s">
        <v>2788</v>
      </c>
      <c r="H768">
        <v>-1.1200000000000001</v>
      </c>
      <c r="I768">
        <v>-1.54</v>
      </c>
      <c r="J768">
        <v>-24.56</v>
      </c>
      <c r="K768">
        <v>1513.17</v>
      </c>
      <c r="M768">
        <v>0.34</v>
      </c>
    </row>
    <row r="769" spans="1:14">
      <c r="A769" s="28">
        <v>641</v>
      </c>
      <c r="B769" t="s">
        <v>1345</v>
      </c>
      <c r="C769" t="s">
        <v>348</v>
      </c>
      <c r="D769">
        <v>44.08</v>
      </c>
      <c r="E769">
        <v>1081.06</v>
      </c>
      <c r="F769">
        <v>19.149999999999999</v>
      </c>
      <c r="G769">
        <v>71.12</v>
      </c>
      <c r="H769">
        <v>12.19</v>
      </c>
      <c r="I769">
        <v>16.649999999999999</v>
      </c>
      <c r="J769">
        <v>453.18</v>
      </c>
      <c r="K769">
        <v>2952.65</v>
      </c>
      <c r="L769">
        <v>13.74</v>
      </c>
      <c r="M769">
        <v>2.11</v>
      </c>
      <c r="N769">
        <v>10.45</v>
      </c>
    </row>
    <row r="770" spans="1:14">
      <c r="A770" s="28">
        <v>678</v>
      </c>
      <c r="B770" t="s">
        <v>163</v>
      </c>
      <c r="C770" t="s">
        <v>347</v>
      </c>
      <c r="D770">
        <v>44.4</v>
      </c>
      <c r="E770">
        <v>1747.02</v>
      </c>
      <c r="F770">
        <v>17.52</v>
      </c>
      <c r="G770">
        <v>90.46</v>
      </c>
      <c r="H770">
        <v>3.19</v>
      </c>
      <c r="I770">
        <v>4.34</v>
      </c>
      <c r="J770">
        <v>379.28</v>
      </c>
      <c r="K770">
        <v>9235.09</v>
      </c>
      <c r="L770">
        <v>8.9499999999999993</v>
      </c>
      <c r="M770">
        <v>0.37</v>
      </c>
      <c r="N770">
        <v>11.93</v>
      </c>
    </row>
    <row r="771" spans="1:14">
      <c r="A771" s="28">
        <v>134</v>
      </c>
      <c r="B771" t="s">
        <v>1530</v>
      </c>
      <c r="C771" t="s">
        <v>348</v>
      </c>
      <c r="D771">
        <v>44.42</v>
      </c>
      <c r="E771">
        <v>84.76</v>
      </c>
      <c r="F771">
        <v>80.430000000000007</v>
      </c>
      <c r="G771">
        <v>327.27999999999997</v>
      </c>
      <c r="H771">
        <v>3.29</v>
      </c>
      <c r="I771">
        <v>5.16</v>
      </c>
      <c r="J771">
        <v>44.53</v>
      </c>
      <c r="K771">
        <v>923.8</v>
      </c>
      <c r="L771">
        <v>51.32</v>
      </c>
      <c r="M771">
        <v>2.4700000000000002</v>
      </c>
      <c r="N771">
        <v>25.93</v>
      </c>
    </row>
    <row r="772" spans="1:14">
      <c r="A772" s="28">
        <v>227</v>
      </c>
      <c r="B772" t="s">
        <v>2498</v>
      </c>
      <c r="C772" t="s">
        <v>348</v>
      </c>
      <c r="D772">
        <v>44.45</v>
      </c>
      <c r="E772">
        <v>2454.94</v>
      </c>
      <c r="F772">
        <v>49.71</v>
      </c>
      <c r="G772" t="s">
        <v>349</v>
      </c>
      <c r="H772">
        <v>-2.34</v>
      </c>
      <c r="I772">
        <v>-4.57</v>
      </c>
      <c r="J772">
        <v>-66.489999999999995</v>
      </c>
      <c r="K772">
        <v>2519.81</v>
      </c>
      <c r="N772">
        <v>0</v>
      </c>
    </row>
    <row r="773" spans="1:14">
      <c r="A773" s="28">
        <v>1013</v>
      </c>
      <c r="B773" t="s">
        <v>698</v>
      </c>
      <c r="C773" t="s">
        <v>348</v>
      </c>
      <c r="D773">
        <v>44.45</v>
      </c>
      <c r="E773">
        <v>347.42</v>
      </c>
      <c r="F773">
        <v>8.89</v>
      </c>
      <c r="G773">
        <v>7.27</v>
      </c>
      <c r="H773">
        <v>4.04</v>
      </c>
      <c r="I773">
        <v>5.95</v>
      </c>
      <c r="J773">
        <v>129.19</v>
      </c>
      <c r="K773">
        <v>2237.08</v>
      </c>
      <c r="L773">
        <v>14.2</v>
      </c>
      <c r="M773">
        <v>0.82</v>
      </c>
      <c r="N773">
        <v>7.97</v>
      </c>
    </row>
    <row r="774" spans="1:14">
      <c r="A774" s="28">
        <v>766</v>
      </c>
      <c r="B774" t="s">
        <v>2681</v>
      </c>
      <c r="C774" t="s">
        <v>348</v>
      </c>
      <c r="D774">
        <v>44.46</v>
      </c>
      <c r="E774">
        <v>1368.81</v>
      </c>
      <c r="F774">
        <v>15.08</v>
      </c>
      <c r="G774">
        <v>54.56</v>
      </c>
      <c r="H774">
        <v>12.58</v>
      </c>
      <c r="I774">
        <v>18.440000000000001</v>
      </c>
      <c r="J774">
        <v>235.42</v>
      </c>
      <c r="K774">
        <v>1468.81</v>
      </c>
      <c r="L774">
        <v>7.89</v>
      </c>
      <c r="M774">
        <v>1.26</v>
      </c>
      <c r="N774">
        <v>4</v>
      </c>
    </row>
    <row r="775" spans="1:14">
      <c r="A775" s="28">
        <v>577</v>
      </c>
      <c r="B775" t="s">
        <v>1088</v>
      </c>
      <c r="C775" t="s">
        <v>347</v>
      </c>
      <c r="D775">
        <v>44.49</v>
      </c>
      <c r="E775">
        <v>14781.05</v>
      </c>
      <c r="F775">
        <v>21.77</v>
      </c>
      <c r="G775">
        <v>-21.51</v>
      </c>
      <c r="H775">
        <v>3.92</v>
      </c>
      <c r="I775">
        <v>5.38</v>
      </c>
      <c r="J775">
        <v>3940.45</v>
      </c>
      <c r="K775">
        <v>74405.23</v>
      </c>
      <c r="L775">
        <v>13.15</v>
      </c>
      <c r="M775">
        <v>0.7</v>
      </c>
      <c r="N775">
        <v>6.23</v>
      </c>
    </row>
    <row r="776" spans="1:14">
      <c r="A776" s="28">
        <v>1076</v>
      </c>
      <c r="B776" t="s">
        <v>170</v>
      </c>
      <c r="C776" t="s">
        <v>347</v>
      </c>
      <c r="D776">
        <v>44.57</v>
      </c>
      <c r="E776">
        <v>576.91</v>
      </c>
      <c r="F776">
        <v>7.56</v>
      </c>
      <c r="G776">
        <v>-33.03</v>
      </c>
      <c r="H776">
        <v>2.98</v>
      </c>
      <c r="I776">
        <v>4.3499999999999996</v>
      </c>
      <c r="J776">
        <v>717.81</v>
      </c>
      <c r="K776">
        <v>16922.7</v>
      </c>
      <c r="L776">
        <v>11.34</v>
      </c>
      <c r="M776">
        <v>0.48</v>
      </c>
      <c r="N776">
        <v>4.42</v>
      </c>
    </row>
    <row r="777" spans="1:14">
      <c r="A777" s="28">
        <v>584</v>
      </c>
      <c r="B777" t="s">
        <v>1012</v>
      </c>
      <c r="C777" t="s">
        <v>348</v>
      </c>
      <c r="D777">
        <v>44.7</v>
      </c>
      <c r="E777">
        <v>1439.17</v>
      </c>
      <c r="F777">
        <v>21.59</v>
      </c>
      <c r="G777">
        <v>41.69</v>
      </c>
      <c r="H777">
        <v>11.91</v>
      </c>
      <c r="I777">
        <v>15.85</v>
      </c>
      <c r="J777">
        <v>1070.1199999999999</v>
      </c>
      <c r="K777">
        <v>7695.84</v>
      </c>
      <c r="L777">
        <v>7.57</v>
      </c>
      <c r="M777">
        <v>1.05</v>
      </c>
      <c r="N777">
        <v>5.17</v>
      </c>
    </row>
    <row r="778" spans="1:14">
      <c r="A778" s="28">
        <v>13</v>
      </c>
      <c r="B778" t="s">
        <v>2833</v>
      </c>
      <c r="C778" t="s">
        <v>348</v>
      </c>
      <c r="D778">
        <v>44.75</v>
      </c>
      <c r="E778">
        <v>56.18</v>
      </c>
      <c r="F778">
        <v>728.29</v>
      </c>
      <c r="G778">
        <v>227.5</v>
      </c>
      <c r="H778">
        <v>31.32</v>
      </c>
      <c r="I778">
        <v>43.24</v>
      </c>
      <c r="J778">
        <v>66.2</v>
      </c>
      <c r="K778">
        <v>156.18</v>
      </c>
      <c r="N778">
        <v>0</v>
      </c>
    </row>
    <row r="779" spans="1:14">
      <c r="A779" s="28">
        <v>585</v>
      </c>
      <c r="B779" t="s">
        <v>1988</v>
      </c>
      <c r="C779" t="s">
        <v>347</v>
      </c>
      <c r="D779">
        <v>44.76</v>
      </c>
      <c r="E779">
        <v>80.62</v>
      </c>
      <c r="F779">
        <v>21.56</v>
      </c>
      <c r="G779" t="s">
        <v>2788</v>
      </c>
      <c r="H779">
        <v>-24.57</v>
      </c>
      <c r="I779">
        <v>-38.46</v>
      </c>
      <c r="J779">
        <v>-236.24</v>
      </c>
      <c r="K779">
        <v>903.12</v>
      </c>
    </row>
    <row r="780" spans="1:14">
      <c r="A780" s="28">
        <v>715</v>
      </c>
      <c r="B780" t="s">
        <v>2139</v>
      </c>
      <c r="C780" t="s">
        <v>347</v>
      </c>
      <c r="D780">
        <v>44.83</v>
      </c>
      <c r="E780">
        <v>286.22000000000003</v>
      </c>
      <c r="F780">
        <v>16.23</v>
      </c>
      <c r="G780">
        <v>-7.65</v>
      </c>
      <c r="H780">
        <v>5.35</v>
      </c>
      <c r="I780">
        <v>7.54</v>
      </c>
      <c r="J780">
        <v>144.33000000000001</v>
      </c>
      <c r="K780">
        <v>1969.16</v>
      </c>
      <c r="L780">
        <v>30.55</v>
      </c>
      <c r="M780">
        <v>2.2400000000000002</v>
      </c>
      <c r="N780">
        <v>25.68</v>
      </c>
    </row>
    <row r="781" spans="1:14">
      <c r="A781" s="28">
        <v>135</v>
      </c>
      <c r="B781" t="s">
        <v>2671</v>
      </c>
      <c r="C781" t="s">
        <v>348</v>
      </c>
      <c r="D781">
        <v>44.84</v>
      </c>
      <c r="E781">
        <v>253.88</v>
      </c>
      <c r="F781">
        <v>80.11</v>
      </c>
      <c r="G781" t="s">
        <v>2788</v>
      </c>
      <c r="H781">
        <v>-7.41</v>
      </c>
      <c r="I781">
        <v>-11.21</v>
      </c>
      <c r="J781">
        <v>-193.72</v>
      </c>
      <c r="K781">
        <v>1791.05</v>
      </c>
      <c r="M781">
        <v>1.25</v>
      </c>
    </row>
    <row r="782" spans="1:14">
      <c r="A782" s="28">
        <v>544</v>
      </c>
      <c r="B782" t="s">
        <v>2442</v>
      </c>
      <c r="C782" t="s">
        <v>348</v>
      </c>
      <c r="D782">
        <v>44.86</v>
      </c>
      <c r="E782">
        <v>3320.42</v>
      </c>
      <c r="F782">
        <v>23.87</v>
      </c>
      <c r="G782">
        <v>221.02</v>
      </c>
      <c r="H782">
        <v>6.36</v>
      </c>
      <c r="I782">
        <v>9.18</v>
      </c>
      <c r="J782">
        <v>603.29</v>
      </c>
      <c r="K782">
        <v>6840.83</v>
      </c>
      <c r="L782">
        <v>16.13</v>
      </c>
      <c r="M782">
        <v>1.42</v>
      </c>
      <c r="N782">
        <v>12.3</v>
      </c>
    </row>
    <row r="783" spans="1:14">
      <c r="A783" s="28">
        <v>1008</v>
      </c>
      <c r="B783" t="s">
        <v>2440</v>
      </c>
      <c r="C783" t="s">
        <v>348</v>
      </c>
      <c r="D783">
        <v>44.96</v>
      </c>
      <c r="E783">
        <v>429.17</v>
      </c>
      <c r="F783">
        <v>8.99</v>
      </c>
      <c r="G783" t="s">
        <v>349</v>
      </c>
      <c r="H783">
        <v>-30.75</v>
      </c>
      <c r="I783">
        <v>-45.86</v>
      </c>
      <c r="J783">
        <v>-178.66</v>
      </c>
      <c r="K783">
        <v>529.16999999999996</v>
      </c>
      <c r="M783">
        <v>2.85</v>
      </c>
      <c r="N783">
        <v>31.63</v>
      </c>
    </row>
    <row r="784" spans="1:14">
      <c r="A784" s="28">
        <v>908</v>
      </c>
      <c r="B784" t="s">
        <v>832</v>
      </c>
      <c r="C784" t="s">
        <v>348</v>
      </c>
      <c r="D784">
        <v>44.98</v>
      </c>
      <c r="E784">
        <v>251.92</v>
      </c>
      <c r="F784">
        <v>11.07</v>
      </c>
      <c r="G784">
        <v>152.47999999999999</v>
      </c>
      <c r="H784">
        <v>2.12</v>
      </c>
      <c r="I784">
        <v>3.03</v>
      </c>
      <c r="J784">
        <v>53.34</v>
      </c>
      <c r="K784">
        <v>1759.62</v>
      </c>
      <c r="L784">
        <v>67.77</v>
      </c>
      <c r="M784">
        <v>2.0499999999999998</v>
      </c>
      <c r="N784">
        <v>19.21</v>
      </c>
    </row>
    <row r="785" spans="1:14">
      <c r="A785" s="28">
        <v>681</v>
      </c>
      <c r="B785" t="s">
        <v>1998</v>
      </c>
      <c r="C785" t="s">
        <v>347</v>
      </c>
      <c r="D785">
        <v>449.44</v>
      </c>
      <c r="E785">
        <v>32.909999999999997</v>
      </c>
      <c r="F785">
        <v>17.45</v>
      </c>
      <c r="G785" t="s">
        <v>2788</v>
      </c>
      <c r="H785">
        <v>-6.74</v>
      </c>
      <c r="I785">
        <v>-30.7</v>
      </c>
      <c r="J785">
        <v>-765.53</v>
      </c>
      <c r="K785">
        <v>1993.72</v>
      </c>
      <c r="M785">
        <v>1.25</v>
      </c>
      <c r="N785">
        <v>3.58</v>
      </c>
    </row>
    <row r="786" spans="1:14">
      <c r="A786" s="28">
        <v>848</v>
      </c>
      <c r="B786" t="s">
        <v>1809</v>
      </c>
      <c r="C786" t="s">
        <v>348</v>
      </c>
      <c r="D786">
        <v>45.04</v>
      </c>
      <c r="E786">
        <v>5022.37</v>
      </c>
      <c r="F786">
        <v>12.67</v>
      </c>
      <c r="G786">
        <v>6140.03</v>
      </c>
      <c r="H786">
        <v>4.55</v>
      </c>
      <c r="I786">
        <v>6.87</v>
      </c>
      <c r="J786">
        <v>1706.99</v>
      </c>
      <c r="K786">
        <v>25611.84</v>
      </c>
      <c r="L786">
        <v>9.9499999999999993</v>
      </c>
      <c r="M786">
        <v>0.66</v>
      </c>
      <c r="N786">
        <v>7.42</v>
      </c>
    </row>
    <row r="787" spans="1:14">
      <c r="A787" s="28">
        <v>325</v>
      </c>
      <c r="B787" t="s">
        <v>2678</v>
      </c>
      <c r="C787" t="s">
        <v>348</v>
      </c>
      <c r="D787">
        <v>45.06</v>
      </c>
      <c r="E787">
        <v>435.85</v>
      </c>
      <c r="F787">
        <v>38.229999999999997</v>
      </c>
      <c r="G787" t="s">
        <v>350</v>
      </c>
      <c r="H787">
        <v>1.89</v>
      </c>
      <c r="I787">
        <v>2.78</v>
      </c>
      <c r="J787">
        <v>65.739999999999995</v>
      </c>
      <c r="K787">
        <v>2679.26</v>
      </c>
      <c r="L787">
        <v>37.950000000000003</v>
      </c>
      <c r="M787">
        <v>0.93</v>
      </c>
      <c r="N787">
        <v>12.47</v>
      </c>
    </row>
    <row r="788" spans="1:14">
      <c r="A788" s="28">
        <v>304</v>
      </c>
      <c r="B788" t="s">
        <v>1225</v>
      </c>
      <c r="C788" t="s">
        <v>348</v>
      </c>
      <c r="D788">
        <v>45.12</v>
      </c>
      <c r="E788">
        <v>2864.18</v>
      </c>
      <c r="F788">
        <v>40.56</v>
      </c>
      <c r="G788">
        <v>10.27</v>
      </c>
      <c r="H788">
        <v>8.15</v>
      </c>
      <c r="I788">
        <v>12.5</v>
      </c>
      <c r="J788">
        <v>1661.82</v>
      </c>
      <c r="K788">
        <v>14820.9</v>
      </c>
      <c r="L788">
        <v>7.19</v>
      </c>
      <c r="M788">
        <v>0.81</v>
      </c>
      <c r="N788">
        <v>5</v>
      </c>
    </row>
    <row r="789" spans="1:14">
      <c r="A789" s="28">
        <v>233</v>
      </c>
      <c r="B789" t="s">
        <v>710</v>
      </c>
      <c r="C789" t="s">
        <v>347</v>
      </c>
      <c r="D789">
        <v>45.15</v>
      </c>
      <c r="E789">
        <v>24303.54</v>
      </c>
      <c r="F789">
        <v>49.34</v>
      </c>
      <c r="G789">
        <v>44.11</v>
      </c>
      <c r="H789">
        <v>32.11</v>
      </c>
      <c r="I789">
        <v>51.29</v>
      </c>
      <c r="J789">
        <v>10066.74</v>
      </c>
      <c r="K789">
        <v>24403.54</v>
      </c>
      <c r="L789">
        <v>14.35</v>
      </c>
      <c r="M789">
        <v>5.92</v>
      </c>
      <c r="N789">
        <v>10.15</v>
      </c>
    </row>
    <row r="790" spans="1:14">
      <c r="A790" s="28">
        <v>983</v>
      </c>
      <c r="B790" t="s">
        <v>330</v>
      </c>
      <c r="C790" t="s">
        <v>348</v>
      </c>
      <c r="D790">
        <v>45.27</v>
      </c>
      <c r="E790">
        <v>1632.96</v>
      </c>
      <c r="F790">
        <v>9.5</v>
      </c>
      <c r="G790">
        <v>302.08</v>
      </c>
      <c r="H790">
        <v>17.32</v>
      </c>
      <c r="I790">
        <v>26.38</v>
      </c>
      <c r="J790">
        <v>1873.09</v>
      </c>
      <c r="K790">
        <v>8664.7900000000009</v>
      </c>
      <c r="L790">
        <v>7.02</v>
      </c>
      <c r="M790">
        <v>1.52</v>
      </c>
      <c r="N790">
        <v>5.85</v>
      </c>
    </row>
    <row r="791" spans="1:14">
      <c r="A791" s="28">
        <v>1101</v>
      </c>
      <c r="B791" t="s">
        <v>907</v>
      </c>
      <c r="C791" t="s">
        <v>348</v>
      </c>
      <c r="D791">
        <v>45.29</v>
      </c>
      <c r="E791">
        <v>340.37</v>
      </c>
      <c r="F791">
        <v>7.01</v>
      </c>
      <c r="G791">
        <v>0.13</v>
      </c>
      <c r="H791">
        <v>5.9</v>
      </c>
      <c r="I791">
        <v>8.43</v>
      </c>
      <c r="J791">
        <v>202.56</v>
      </c>
      <c r="K791">
        <v>2486.84</v>
      </c>
      <c r="L791">
        <v>23.43</v>
      </c>
      <c r="M791">
        <v>1.91</v>
      </c>
      <c r="N791">
        <v>9.89</v>
      </c>
    </row>
    <row r="792" spans="1:14">
      <c r="A792" s="28">
        <v>440</v>
      </c>
      <c r="B792" t="s">
        <v>2835</v>
      </c>
      <c r="C792" t="s">
        <v>348</v>
      </c>
      <c r="D792">
        <v>45.67</v>
      </c>
      <c r="E792">
        <v>609.92999999999995</v>
      </c>
      <c r="F792">
        <v>28.72</v>
      </c>
      <c r="G792" t="s">
        <v>2788</v>
      </c>
      <c r="H792">
        <v>-2.21</v>
      </c>
      <c r="I792">
        <v>-3.09</v>
      </c>
      <c r="J792">
        <v>-108.71</v>
      </c>
      <c r="K792">
        <v>3549.66</v>
      </c>
      <c r="M792">
        <v>2.42</v>
      </c>
      <c r="N792">
        <v>12.94</v>
      </c>
    </row>
    <row r="793" spans="1:14">
      <c r="A793" s="28">
        <v>577</v>
      </c>
      <c r="B793" t="s">
        <v>1935</v>
      </c>
      <c r="C793" t="s">
        <v>348</v>
      </c>
      <c r="D793">
        <v>45.77</v>
      </c>
      <c r="E793">
        <v>1310.23</v>
      </c>
      <c r="F793">
        <v>21.77</v>
      </c>
      <c r="G793" t="s">
        <v>349</v>
      </c>
      <c r="H793">
        <v>-0.28999999999999998</v>
      </c>
      <c r="I793">
        <v>-0.38</v>
      </c>
      <c r="J793">
        <v>-23.93</v>
      </c>
      <c r="K793">
        <v>7051.13</v>
      </c>
      <c r="M793">
        <v>3.19</v>
      </c>
    </row>
    <row r="794" spans="1:14">
      <c r="A794" s="28">
        <v>827</v>
      </c>
      <c r="B794" t="s">
        <v>1377</v>
      </c>
      <c r="C794" t="s">
        <v>347</v>
      </c>
      <c r="D794">
        <v>45.78</v>
      </c>
      <c r="E794">
        <v>3752.45</v>
      </c>
      <c r="F794">
        <v>13.41</v>
      </c>
      <c r="G794">
        <v>-5.16</v>
      </c>
      <c r="H794">
        <v>4.28</v>
      </c>
      <c r="I794">
        <v>6.3</v>
      </c>
      <c r="J794">
        <v>11667.43</v>
      </c>
      <c r="K794">
        <v>195249.66</v>
      </c>
      <c r="L794">
        <v>40.450000000000003</v>
      </c>
      <c r="M794">
        <v>2.42</v>
      </c>
      <c r="N794">
        <v>31.32</v>
      </c>
    </row>
    <row r="795" spans="1:14">
      <c r="A795" s="28">
        <v>608</v>
      </c>
      <c r="B795" t="s">
        <v>2397</v>
      </c>
      <c r="C795" t="s">
        <v>348</v>
      </c>
      <c r="D795">
        <v>45.87</v>
      </c>
      <c r="E795">
        <v>1081.31</v>
      </c>
      <c r="F795">
        <v>20.2</v>
      </c>
      <c r="G795" t="s">
        <v>350</v>
      </c>
      <c r="H795">
        <v>4.03</v>
      </c>
      <c r="I795">
        <v>5.72</v>
      </c>
      <c r="J795">
        <v>322.94</v>
      </c>
      <c r="K795">
        <v>5906.57</v>
      </c>
      <c r="L795">
        <v>13.32</v>
      </c>
      <c r="M795">
        <v>0.73</v>
      </c>
      <c r="N795">
        <v>5.54</v>
      </c>
    </row>
    <row r="796" spans="1:14">
      <c r="A796" s="28">
        <v>964</v>
      </c>
      <c r="B796" t="s">
        <v>2048</v>
      </c>
      <c r="C796" t="s">
        <v>348</v>
      </c>
      <c r="D796">
        <v>454.16</v>
      </c>
      <c r="E796">
        <v>393.61</v>
      </c>
      <c r="F796">
        <v>9.86</v>
      </c>
      <c r="G796" t="s">
        <v>350</v>
      </c>
      <c r="H796">
        <v>1.72</v>
      </c>
      <c r="I796">
        <v>11.61</v>
      </c>
      <c r="J796">
        <v>241.31</v>
      </c>
      <c r="K796">
        <v>2468.0500000000002</v>
      </c>
      <c r="L796">
        <v>33.57</v>
      </c>
      <c r="M796">
        <v>3.28</v>
      </c>
      <c r="N796">
        <v>13.86</v>
      </c>
    </row>
    <row r="797" spans="1:14">
      <c r="A797" s="28">
        <v>262</v>
      </c>
      <c r="B797" t="s">
        <v>1252</v>
      </c>
      <c r="C797" t="s">
        <v>348</v>
      </c>
      <c r="D797">
        <v>46.08</v>
      </c>
      <c r="E797">
        <v>2514.4299999999998</v>
      </c>
      <c r="F797">
        <v>44.96</v>
      </c>
      <c r="G797">
        <v>103.15</v>
      </c>
      <c r="H797">
        <v>10.27</v>
      </c>
      <c r="I797">
        <v>14.91</v>
      </c>
      <c r="J797">
        <v>1767.51</v>
      </c>
      <c r="K797">
        <v>13172.52</v>
      </c>
      <c r="L797">
        <v>17.96</v>
      </c>
      <c r="M797">
        <v>2.41</v>
      </c>
      <c r="N797">
        <v>13.29</v>
      </c>
    </row>
    <row r="798" spans="1:14">
      <c r="A798" s="28">
        <v>593</v>
      </c>
      <c r="B798" t="s">
        <v>673</v>
      </c>
      <c r="C798" t="s">
        <v>348</v>
      </c>
      <c r="D798">
        <v>46.13</v>
      </c>
      <c r="E798">
        <v>1051.3</v>
      </c>
      <c r="F798">
        <v>20.92</v>
      </c>
      <c r="G798">
        <v>1015.49</v>
      </c>
      <c r="H798">
        <v>8.0500000000000007</v>
      </c>
      <c r="I798">
        <v>12.05</v>
      </c>
      <c r="J798">
        <v>662.46</v>
      </c>
      <c r="K798">
        <v>5822.94</v>
      </c>
      <c r="L798">
        <v>4.24</v>
      </c>
      <c r="M798">
        <v>0.48</v>
      </c>
      <c r="N798">
        <v>16.39</v>
      </c>
    </row>
    <row r="799" spans="1:14">
      <c r="A799" s="28">
        <v>76</v>
      </c>
      <c r="B799" t="s">
        <v>2043</v>
      </c>
      <c r="C799" t="s">
        <v>348</v>
      </c>
      <c r="D799">
        <v>46.2</v>
      </c>
      <c r="E799">
        <v>266.07</v>
      </c>
      <c r="F799">
        <v>139.94</v>
      </c>
      <c r="G799" t="s">
        <v>2788</v>
      </c>
      <c r="H799">
        <v>-31.92</v>
      </c>
      <c r="I799">
        <v>-54.08</v>
      </c>
      <c r="J799">
        <v>-211.16</v>
      </c>
      <c r="K799">
        <v>366.07</v>
      </c>
      <c r="M799">
        <v>1.79</v>
      </c>
    </row>
    <row r="800" spans="1:14">
      <c r="A800" s="28">
        <v>751</v>
      </c>
      <c r="B800" t="s">
        <v>2267</v>
      </c>
      <c r="C800" t="s">
        <v>348</v>
      </c>
      <c r="D800">
        <v>46.21</v>
      </c>
      <c r="E800">
        <v>128.9</v>
      </c>
      <c r="F800">
        <v>15.45</v>
      </c>
      <c r="G800" t="s">
        <v>2788</v>
      </c>
      <c r="H800">
        <v>-9.6199999999999992</v>
      </c>
      <c r="I800">
        <v>-13.59</v>
      </c>
      <c r="J800">
        <v>-169.92</v>
      </c>
      <c r="K800">
        <v>1144.52</v>
      </c>
      <c r="M800">
        <v>0.66</v>
      </c>
    </row>
    <row r="801" spans="1:14">
      <c r="A801" s="28">
        <v>1043</v>
      </c>
      <c r="B801" t="s">
        <v>1968</v>
      </c>
      <c r="C801" t="s">
        <v>348</v>
      </c>
      <c r="D801">
        <v>46.27</v>
      </c>
      <c r="E801">
        <v>347.48</v>
      </c>
      <c r="F801">
        <v>8.17</v>
      </c>
      <c r="G801">
        <v>20.88</v>
      </c>
      <c r="H801">
        <v>3.24</v>
      </c>
      <c r="I801">
        <v>4.34</v>
      </c>
      <c r="J801">
        <v>94.55</v>
      </c>
      <c r="K801">
        <v>2237.41</v>
      </c>
      <c r="L801">
        <v>26.39</v>
      </c>
      <c r="M801">
        <v>1.1200000000000001</v>
      </c>
      <c r="N801">
        <v>18.760000000000002</v>
      </c>
    </row>
    <row r="802" spans="1:14">
      <c r="A802" s="28">
        <v>88</v>
      </c>
      <c r="B802" t="s">
        <v>83</v>
      </c>
      <c r="C802" t="s">
        <v>347</v>
      </c>
      <c r="D802">
        <v>46.77</v>
      </c>
      <c r="E802">
        <v>2131.6799999999998</v>
      </c>
      <c r="F802">
        <v>122.51</v>
      </c>
      <c r="G802">
        <v>-13.14</v>
      </c>
      <c r="H802">
        <v>3.21</v>
      </c>
      <c r="I802">
        <v>4.84</v>
      </c>
      <c r="J802">
        <v>492.79</v>
      </c>
      <c r="K802">
        <v>11158.41</v>
      </c>
      <c r="L802">
        <v>15.42</v>
      </c>
      <c r="M802">
        <v>0.68</v>
      </c>
      <c r="N802">
        <v>10.07</v>
      </c>
    </row>
    <row r="803" spans="1:14">
      <c r="A803" s="28">
        <v>664</v>
      </c>
      <c r="B803" t="s">
        <v>2836</v>
      </c>
      <c r="C803" t="s">
        <v>348</v>
      </c>
      <c r="D803">
        <v>460.15</v>
      </c>
      <c r="E803">
        <v>353.98</v>
      </c>
      <c r="F803">
        <v>18.23</v>
      </c>
      <c r="G803" t="s">
        <v>2788</v>
      </c>
      <c r="H803">
        <v>-13.63</v>
      </c>
      <c r="I803">
        <v>-56.75</v>
      </c>
      <c r="J803">
        <v>-1534.49</v>
      </c>
      <c r="K803">
        <v>1936.84</v>
      </c>
      <c r="M803">
        <v>1.96</v>
      </c>
    </row>
    <row r="804" spans="1:14">
      <c r="A804" s="28">
        <v>803</v>
      </c>
      <c r="B804" t="s">
        <v>963</v>
      </c>
      <c r="C804" t="s">
        <v>348</v>
      </c>
      <c r="D804">
        <v>465.56</v>
      </c>
      <c r="E804">
        <v>1825.86</v>
      </c>
      <c r="F804">
        <v>14.04</v>
      </c>
      <c r="G804">
        <v>32.090000000000003</v>
      </c>
      <c r="H804">
        <v>3.9</v>
      </c>
      <c r="I804">
        <v>21.96</v>
      </c>
      <c r="J804">
        <v>4411.3999999999996</v>
      </c>
      <c r="K804">
        <v>19258.59</v>
      </c>
      <c r="L804">
        <v>5.41</v>
      </c>
      <c r="M804">
        <v>1.24</v>
      </c>
      <c r="N804">
        <v>3.7</v>
      </c>
    </row>
    <row r="805" spans="1:14">
      <c r="A805" s="28">
        <v>152</v>
      </c>
      <c r="B805" t="s">
        <v>2098</v>
      </c>
      <c r="C805" t="s">
        <v>348</v>
      </c>
      <c r="D805">
        <v>47.19</v>
      </c>
      <c r="E805">
        <v>74.23</v>
      </c>
      <c r="F805">
        <v>70.55</v>
      </c>
      <c r="G805" t="s">
        <v>349</v>
      </c>
      <c r="H805">
        <v>-30.13</v>
      </c>
      <c r="I805">
        <v>-39.18</v>
      </c>
      <c r="J805">
        <v>-712.75</v>
      </c>
      <c r="K805">
        <v>1742.26</v>
      </c>
      <c r="M805">
        <v>1.52</v>
      </c>
    </row>
    <row r="806" spans="1:14">
      <c r="A806" s="28">
        <v>63</v>
      </c>
      <c r="B806" t="s">
        <v>2610</v>
      </c>
      <c r="C806" t="s">
        <v>348</v>
      </c>
      <c r="D806">
        <v>47.34</v>
      </c>
      <c r="E806">
        <v>67.64</v>
      </c>
      <c r="F806">
        <v>159.31</v>
      </c>
      <c r="G806" t="s">
        <v>2788</v>
      </c>
      <c r="H806">
        <v>-8.32</v>
      </c>
      <c r="I806">
        <v>-11.19</v>
      </c>
      <c r="J806">
        <v>-92</v>
      </c>
      <c r="K806">
        <v>838.21</v>
      </c>
      <c r="M806">
        <v>0.6</v>
      </c>
    </row>
    <row r="807" spans="1:14">
      <c r="A807" s="28">
        <v>747</v>
      </c>
      <c r="B807" t="s">
        <v>380</v>
      </c>
      <c r="C807" t="s">
        <v>348</v>
      </c>
      <c r="D807">
        <v>47.4</v>
      </c>
      <c r="E807">
        <v>1071.73</v>
      </c>
      <c r="F807">
        <v>15.63</v>
      </c>
      <c r="G807">
        <v>32.94</v>
      </c>
      <c r="H807">
        <v>3.68</v>
      </c>
      <c r="I807">
        <v>5.6</v>
      </c>
      <c r="J807">
        <v>327.33</v>
      </c>
      <c r="K807">
        <v>5858.66</v>
      </c>
      <c r="L807">
        <v>18.88</v>
      </c>
      <c r="M807">
        <v>1.05</v>
      </c>
      <c r="N807">
        <v>9.0500000000000007</v>
      </c>
    </row>
    <row r="808" spans="1:14">
      <c r="A808" s="28">
        <v>732</v>
      </c>
      <c r="B808" t="s">
        <v>2837</v>
      </c>
      <c r="C808" t="s">
        <v>348</v>
      </c>
      <c r="D808">
        <v>47.45</v>
      </c>
      <c r="E808">
        <v>318.44</v>
      </c>
      <c r="F808">
        <v>15.93</v>
      </c>
      <c r="G808" t="s">
        <v>2788</v>
      </c>
      <c r="H808">
        <v>-45.6</v>
      </c>
      <c r="I808">
        <v>-62.73</v>
      </c>
      <c r="J808">
        <v>-1724.82</v>
      </c>
      <c r="K808">
        <v>2092.1799999999998</v>
      </c>
    </row>
    <row r="809" spans="1:14">
      <c r="A809" s="28">
        <v>424</v>
      </c>
      <c r="B809" t="s">
        <v>270</v>
      </c>
      <c r="C809" t="s">
        <v>348</v>
      </c>
      <c r="D809">
        <v>47.75</v>
      </c>
      <c r="E809">
        <v>4840.43</v>
      </c>
      <c r="F809">
        <v>30.1</v>
      </c>
      <c r="G809">
        <v>27.86</v>
      </c>
      <c r="H809">
        <v>4.42</v>
      </c>
      <c r="I809">
        <v>6.61</v>
      </c>
      <c r="J809">
        <v>1584.67</v>
      </c>
      <c r="K809">
        <v>24702.16</v>
      </c>
      <c r="L809">
        <v>4.43</v>
      </c>
      <c r="M809">
        <v>0.28000000000000003</v>
      </c>
      <c r="N809">
        <v>4.0199999999999996</v>
      </c>
    </row>
    <row r="810" spans="1:14">
      <c r="A810" s="28">
        <v>319</v>
      </c>
      <c r="B810" t="s">
        <v>113</v>
      </c>
      <c r="C810" t="s">
        <v>347</v>
      </c>
      <c r="D810">
        <v>47.88</v>
      </c>
      <c r="E810">
        <v>7401.91</v>
      </c>
      <c r="F810">
        <v>38.56</v>
      </c>
      <c r="G810">
        <v>140.44</v>
      </c>
      <c r="H810">
        <v>4.01</v>
      </c>
      <c r="I810">
        <v>6.09</v>
      </c>
      <c r="J810">
        <v>2085.52</v>
      </c>
      <c r="K810">
        <v>37509.56</v>
      </c>
      <c r="L810">
        <v>10.55</v>
      </c>
      <c r="M810">
        <v>0.59</v>
      </c>
      <c r="N810">
        <v>11.88</v>
      </c>
    </row>
    <row r="811" spans="1:14">
      <c r="A811" s="28">
        <v>808</v>
      </c>
      <c r="B811" t="s">
        <v>1992</v>
      </c>
      <c r="C811" t="s">
        <v>348</v>
      </c>
      <c r="D811">
        <v>47.91</v>
      </c>
      <c r="E811">
        <v>1382.33</v>
      </c>
      <c r="F811">
        <v>13.93</v>
      </c>
      <c r="G811" t="s">
        <v>350</v>
      </c>
      <c r="H811">
        <v>5.73</v>
      </c>
      <c r="I811">
        <v>8.51</v>
      </c>
      <c r="J811">
        <v>604.6</v>
      </c>
      <c r="K811">
        <v>7411.64</v>
      </c>
      <c r="L811">
        <v>4.47</v>
      </c>
      <c r="M811">
        <v>0.36</v>
      </c>
      <c r="N811">
        <v>4.7</v>
      </c>
    </row>
    <row r="812" spans="1:14">
      <c r="A812" s="28">
        <v>601</v>
      </c>
      <c r="B812" t="s">
        <v>2284</v>
      </c>
      <c r="C812" t="s">
        <v>348</v>
      </c>
      <c r="D812">
        <v>48.01</v>
      </c>
      <c r="E812">
        <v>184.23</v>
      </c>
      <c r="F812">
        <v>20.51</v>
      </c>
      <c r="G812">
        <v>-58.1</v>
      </c>
      <c r="H812">
        <v>1.1299999999999999</v>
      </c>
      <c r="I812">
        <v>1.61</v>
      </c>
      <c r="J812">
        <v>22.31</v>
      </c>
      <c r="K812">
        <v>1421.13</v>
      </c>
      <c r="L812">
        <v>62.45</v>
      </c>
      <c r="M812">
        <v>0.98</v>
      </c>
      <c r="N812">
        <v>21.13</v>
      </c>
    </row>
    <row r="813" spans="1:14">
      <c r="A813" s="28">
        <v>1104</v>
      </c>
      <c r="B813" t="s">
        <v>1978</v>
      </c>
      <c r="C813" t="s">
        <v>348</v>
      </c>
      <c r="D813">
        <v>48.1</v>
      </c>
      <c r="E813">
        <v>350.94</v>
      </c>
      <c r="F813">
        <v>6.9</v>
      </c>
      <c r="G813">
        <v>-8.8000000000000007</v>
      </c>
      <c r="H813">
        <v>4.29</v>
      </c>
      <c r="I813">
        <v>6.28</v>
      </c>
      <c r="J813">
        <v>134.5</v>
      </c>
      <c r="K813">
        <v>2254.6999999999998</v>
      </c>
      <c r="L813">
        <v>24.2</v>
      </c>
      <c r="M813">
        <v>1.44</v>
      </c>
      <c r="N813">
        <v>37.57</v>
      </c>
    </row>
    <row r="814" spans="1:14">
      <c r="A814" s="28">
        <v>198</v>
      </c>
      <c r="B814" t="s">
        <v>2274</v>
      </c>
      <c r="C814" t="s">
        <v>347</v>
      </c>
      <c r="D814">
        <v>48.11</v>
      </c>
      <c r="E814">
        <v>198.05</v>
      </c>
      <c r="F814">
        <v>57.14</v>
      </c>
      <c r="G814" t="s">
        <v>2788</v>
      </c>
      <c r="H814">
        <v>-1.1299999999999999</v>
      </c>
      <c r="I814">
        <v>-1.61</v>
      </c>
      <c r="J814">
        <v>-22.72</v>
      </c>
      <c r="K814">
        <v>1365.33</v>
      </c>
      <c r="M814">
        <v>0.79</v>
      </c>
      <c r="N814">
        <v>7.9</v>
      </c>
    </row>
    <row r="815" spans="1:14">
      <c r="A815" s="28">
        <v>449</v>
      </c>
      <c r="B815" t="s">
        <v>267</v>
      </c>
      <c r="C815" t="s">
        <v>348</v>
      </c>
      <c r="D815">
        <v>48.36</v>
      </c>
      <c r="E815">
        <v>2251.4499999999998</v>
      </c>
      <c r="F815">
        <v>28.29</v>
      </c>
      <c r="G815">
        <v>27.11</v>
      </c>
      <c r="H815">
        <v>13.94</v>
      </c>
      <c r="I815">
        <v>20.59</v>
      </c>
      <c r="J815">
        <v>2198.64</v>
      </c>
      <c r="K815">
        <v>11757.26</v>
      </c>
      <c r="L815">
        <v>7.46</v>
      </c>
      <c r="M815">
        <v>1.39</v>
      </c>
      <c r="N815">
        <v>5.31</v>
      </c>
    </row>
    <row r="816" spans="1:14">
      <c r="A816" s="28">
        <v>772</v>
      </c>
      <c r="B816" t="s">
        <v>1496</v>
      </c>
      <c r="C816" t="s">
        <v>348</v>
      </c>
      <c r="D816">
        <v>48.58</v>
      </c>
      <c r="E816">
        <v>780.05</v>
      </c>
      <c r="F816">
        <v>14.9</v>
      </c>
      <c r="G816" t="s">
        <v>2788</v>
      </c>
      <c r="H816">
        <v>-0.54</v>
      </c>
      <c r="I816">
        <v>-0.84</v>
      </c>
      <c r="J816">
        <v>-36.979999999999997</v>
      </c>
      <c r="K816">
        <v>4400.2700000000004</v>
      </c>
      <c r="M816">
        <v>1.1100000000000001</v>
      </c>
    </row>
    <row r="817" spans="1:14">
      <c r="A817" s="28">
        <v>503</v>
      </c>
      <c r="B817" t="s">
        <v>760</v>
      </c>
      <c r="C817" t="s">
        <v>348</v>
      </c>
      <c r="D817">
        <v>48.6</v>
      </c>
      <c r="E817">
        <v>1179.3499999999999</v>
      </c>
      <c r="F817">
        <v>25.51</v>
      </c>
      <c r="G817" t="s">
        <v>349</v>
      </c>
      <c r="H817">
        <v>-0.09</v>
      </c>
      <c r="I817">
        <v>-0.13</v>
      </c>
      <c r="J817">
        <v>-8.5399999999999991</v>
      </c>
      <c r="K817">
        <v>6396.73</v>
      </c>
      <c r="M817">
        <v>0.69</v>
      </c>
      <c r="N817">
        <v>15.89</v>
      </c>
    </row>
    <row r="818" spans="1:14">
      <c r="A818" s="28">
        <v>50</v>
      </c>
      <c r="B818" t="s">
        <v>1587</v>
      </c>
      <c r="C818" t="s">
        <v>348</v>
      </c>
      <c r="D818">
        <v>48.72</v>
      </c>
      <c r="E818">
        <v>723.93</v>
      </c>
      <c r="F818">
        <v>193.41</v>
      </c>
      <c r="G818" t="s">
        <v>350</v>
      </c>
      <c r="H818">
        <v>10.6</v>
      </c>
      <c r="I818">
        <v>17.670000000000002</v>
      </c>
      <c r="J818">
        <v>607.08000000000004</v>
      </c>
      <c r="K818">
        <v>4119.6499999999996</v>
      </c>
      <c r="L818">
        <v>14.84</v>
      </c>
      <c r="M818">
        <v>2.19</v>
      </c>
      <c r="N818">
        <v>28.29</v>
      </c>
    </row>
    <row r="819" spans="1:14">
      <c r="A819" s="28">
        <v>414</v>
      </c>
      <c r="B819" t="s">
        <v>2059</v>
      </c>
      <c r="C819" t="s">
        <v>348</v>
      </c>
      <c r="D819">
        <v>48.78</v>
      </c>
      <c r="E819">
        <v>277.25</v>
      </c>
      <c r="F819">
        <v>30.56</v>
      </c>
      <c r="G819">
        <v>391.72</v>
      </c>
      <c r="H819">
        <v>19.32</v>
      </c>
      <c r="I819">
        <v>29.63</v>
      </c>
      <c r="J819">
        <v>491.56</v>
      </c>
      <c r="K819">
        <v>1886.23</v>
      </c>
      <c r="L819">
        <v>7.99</v>
      </c>
      <c r="M819">
        <v>2.08</v>
      </c>
      <c r="N819">
        <v>5.98</v>
      </c>
    </row>
    <row r="820" spans="1:14">
      <c r="A820" s="28">
        <v>582</v>
      </c>
      <c r="B820" t="s">
        <v>589</v>
      </c>
      <c r="C820" t="s">
        <v>347</v>
      </c>
      <c r="D820">
        <v>48.79</v>
      </c>
      <c r="E820">
        <v>812.37</v>
      </c>
      <c r="F820">
        <v>21.67</v>
      </c>
      <c r="G820">
        <v>109.77</v>
      </c>
      <c r="H820">
        <v>4.91</v>
      </c>
      <c r="I820">
        <v>7.07</v>
      </c>
      <c r="J820">
        <v>1439.89</v>
      </c>
      <c r="K820">
        <v>23495.07</v>
      </c>
      <c r="L820">
        <v>10</v>
      </c>
      <c r="M820">
        <v>0.61</v>
      </c>
      <c r="N820">
        <v>10.58</v>
      </c>
    </row>
    <row r="821" spans="1:14">
      <c r="A821" s="28">
        <v>553</v>
      </c>
      <c r="B821" t="s">
        <v>2501</v>
      </c>
      <c r="C821" t="s">
        <v>348</v>
      </c>
      <c r="D821">
        <v>48.81</v>
      </c>
      <c r="E821">
        <v>626.62</v>
      </c>
      <c r="F821">
        <v>23.32</v>
      </c>
      <c r="G821" t="s">
        <v>349</v>
      </c>
      <c r="H821">
        <v>-1.81</v>
      </c>
      <c r="I821">
        <v>-2.3199999999999998</v>
      </c>
      <c r="J821">
        <v>-85.04</v>
      </c>
      <c r="K821">
        <v>3633.12</v>
      </c>
      <c r="M821">
        <v>1.72</v>
      </c>
      <c r="N821">
        <v>46.13</v>
      </c>
    </row>
    <row r="822" spans="1:14">
      <c r="A822" s="28">
        <v>234</v>
      </c>
      <c r="B822" t="s">
        <v>2838</v>
      </c>
      <c r="C822" t="s">
        <v>348</v>
      </c>
      <c r="D822">
        <v>49.08</v>
      </c>
      <c r="E822">
        <v>1903.52</v>
      </c>
      <c r="F822">
        <v>49.05</v>
      </c>
      <c r="G822">
        <v>301.77999999999997</v>
      </c>
      <c r="H822">
        <v>6.98</v>
      </c>
      <c r="I822">
        <v>10.25</v>
      </c>
      <c r="J822">
        <v>972.26</v>
      </c>
      <c r="K822">
        <v>10017.61</v>
      </c>
      <c r="L822">
        <v>2.87</v>
      </c>
      <c r="M822">
        <v>0.28000000000000003</v>
      </c>
      <c r="N822">
        <v>2.11</v>
      </c>
    </row>
    <row r="823" spans="1:14">
      <c r="A823" s="28">
        <v>245</v>
      </c>
      <c r="B823" t="s">
        <v>2420</v>
      </c>
      <c r="C823" t="s">
        <v>348</v>
      </c>
      <c r="D823">
        <v>49.23</v>
      </c>
      <c r="E823">
        <v>1554.53</v>
      </c>
      <c r="F823">
        <v>47.18</v>
      </c>
      <c r="G823">
        <v>160.68</v>
      </c>
      <c r="H823">
        <v>13.04</v>
      </c>
      <c r="I823">
        <v>26.95</v>
      </c>
      <c r="J823">
        <v>1545.41</v>
      </c>
      <c r="K823">
        <v>8272.67</v>
      </c>
      <c r="L823">
        <v>22.65</v>
      </c>
      <c r="M823">
        <v>4.2300000000000004</v>
      </c>
      <c r="N823">
        <v>18.52</v>
      </c>
    </row>
    <row r="824" spans="1:14">
      <c r="A824" s="28">
        <v>425</v>
      </c>
      <c r="B824" t="s">
        <v>2434</v>
      </c>
      <c r="C824" t="s">
        <v>348</v>
      </c>
      <c r="D824">
        <v>49.25</v>
      </c>
      <c r="E824">
        <v>4765.33</v>
      </c>
      <c r="F824">
        <v>30.03</v>
      </c>
      <c r="G824" t="s">
        <v>350</v>
      </c>
      <c r="H824">
        <v>0.49</v>
      </c>
      <c r="I824">
        <v>0.83</v>
      </c>
      <c r="J824">
        <v>33.86</v>
      </c>
      <c r="K824">
        <v>4865.33</v>
      </c>
      <c r="L824">
        <v>211.47</v>
      </c>
      <c r="M824">
        <v>1.47</v>
      </c>
      <c r="N824">
        <v>37.14</v>
      </c>
    </row>
    <row r="825" spans="1:14">
      <c r="A825" s="28">
        <v>412</v>
      </c>
      <c r="B825" t="s">
        <v>77</v>
      </c>
      <c r="C825" t="s">
        <v>347</v>
      </c>
      <c r="D825">
        <v>49.58</v>
      </c>
      <c r="E825">
        <v>2270.34</v>
      </c>
      <c r="F825">
        <v>30.8</v>
      </c>
      <c r="G825" t="s">
        <v>349</v>
      </c>
      <c r="H825">
        <v>-0.76</v>
      </c>
      <c r="I825">
        <v>-1.28</v>
      </c>
      <c r="J825">
        <v>-193.03</v>
      </c>
      <c r="K825">
        <v>11851.7</v>
      </c>
      <c r="M825">
        <v>0.55000000000000004</v>
      </c>
    </row>
    <row r="826" spans="1:14">
      <c r="A826" s="28">
        <v>191</v>
      </c>
      <c r="B826" t="s">
        <v>1304</v>
      </c>
      <c r="C826" t="s">
        <v>347</v>
      </c>
      <c r="D826">
        <v>49.7</v>
      </c>
      <c r="E826">
        <v>1457.19</v>
      </c>
      <c r="F826">
        <v>58.24</v>
      </c>
      <c r="G826">
        <v>148.9</v>
      </c>
      <c r="H826">
        <v>2.7</v>
      </c>
      <c r="I826">
        <v>3.59</v>
      </c>
      <c r="J826">
        <v>259.89999999999998</v>
      </c>
      <c r="K826">
        <v>7637.57</v>
      </c>
      <c r="L826">
        <v>124.85</v>
      </c>
      <c r="M826">
        <v>4.25</v>
      </c>
      <c r="N826">
        <v>172.59</v>
      </c>
    </row>
    <row r="827" spans="1:14">
      <c r="A827" s="28">
        <v>345</v>
      </c>
      <c r="B827" t="s">
        <v>1110</v>
      </c>
      <c r="C827" t="s">
        <v>348</v>
      </c>
      <c r="D827">
        <v>49.74</v>
      </c>
      <c r="E827">
        <v>1209.46</v>
      </c>
      <c r="F827">
        <v>35.979999999999997</v>
      </c>
      <c r="G827">
        <v>50.01</v>
      </c>
      <c r="H827">
        <v>7</v>
      </c>
      <c r="I827">
        <v>10.3</v>
      </c>
      <c r="J827">
        <v>644.79999999999995</v>
      </c>
      <c r="K827">
        <v>6547.31</v>
      </c>
      <c r="L827">
        <v>5.82</v>
      </c>
      <c r="M827">
        <v>0.56999999999999995</v>
      </c>
      <c r="N827">
        <v>5.24</v>
      </c>
    </row>
    <row r="828" spans="1:14">
      <c r="A828" s="28">
        <v>481</v>
      </c>
      <c r="B828" t="s">
        <v>692</v>
      </c>
      <c r="C828" t="s">
        <v>347</v>
      </c>
      <c r="D828">
        <v>49.96</v>
      </c>
      <c r="E828">
        <v>573.64</v>
      </c>
      <c r="F828">
        <v>26.41</v>
      </c>
      <c r="G828">
        <v>52.86</v>
      </c>
      <c r="H828">
        <v>8.99</v>
      </c>
      <c r="I828">
        <v>14.13</v>
      </c>
      <c r="J828">
        <v>890.22</v>
      </c>
      <c r="K828">
        <v>6736.4</v>
      </c>
      <c r="L828">
        <v>9.82</v>
      </c>
      <c r="M828">
        <v>1.3</v>
      </c>
      <c r="N828">
        <v>5.8</v>
      </c>
    </row>
    <row r="829" spans="1:14">
      <c r="A829" s="28">
        <v>679</v>
      </c>
      <c r="B829" t="s">
        <v>755</v>
      </c>
      <c r="C829" t="s">
        <v>348</v>
      </c>
      <c r="D829">
        <v>49.98</v>
      </c>
      <c r="E829">
        <v>271.29000000000002</v>
      </c>
      <c r="F829">
        <v>17.5</v>
      </c>
      <c r="G829">
        <v>1.27</v>
      </c>
      <c r="H829">
        <v>3.93</v>
      </c>
      <c r="I829">
        <v>5.93</v>
      </c>
      <c r="J829">
        <v>112.87</v>
      </c>
      <c r="K829">
        <v>1961.33</v>
      </c>
      <c r="L829">
        <v>18.690000000000001</v>
      </c>
      <c r="M829">
        <v>1.08</v>
      </c>
      <c r="N829">
        <v>11.09</v>
      </c>
    </row>
    <row r="830" spans="1:14">
      <c r="A830" s="28">
        <v>109</v>
      </c>
      <c r="B830" t="s">
        <v>2713</v>
      </c>
      <c r="C830" t="s">
        <v>348</v>
      </c>
      <c r="D830">
        <v>496.63</v>
      </c>
      <c r="E830">
        <v>268.08999999999997</v>
      </c>
      <c r="F830">
        <v>103.25</v>
      </c>
      <c r="G830" t="s">
        <v>2788</v>
      </c>
      <c r="H830">
        <v>-7.03</v>
      </c>
      <c r="I830">
        <v>-36.11</v>
      </c>
      <c r="J830">
        <v>-762.84</v>
      </c>
      <c r="K830">
        <v>1844.08</v>
      </c>
      <c r="M830">
        <v>2.17</v>
      </c>
      <c r="N830">
        <v>1019.25</v>
      </c>
    </row>
    <row r="831" spans="1:14">
      <c r="A831" s="28">
        <v>322</v>
      </c>
      <c r="B831" t="s">
        <v>1324</v>
      </c>
      <c r="C831" t="s">
        <v>348</v>
      </c>
      <c r="D831">
        <v>5</v>
      </c>
      <c r="E831">
        <v>2249.48</v>
      </c>
      <c r="F831">
        <v>38.39</v>
      </c>
      <c r="G831" t="s">
        <v>350</v>
      </c>
      <c r="H831">
        <v>0.63</v>
      </c>
      <c r="I831">
        <v>0.66</v>
      </c>
      <c r="J831">
        <v>76.25</v>
      </c>
      <c r="K831">
        <v>11747.38</v>
      </c>
      <c r="L831">
        <v>231.07</v>
      </c>
      <c r="M831">
        <v>1.5</v>
      </c>
    </row>
    <row r="832" spans="1:14">
      <c r="A832" s="28">
        <v>809</v>
      </c>
      <c r="B832" t="s">
        <v>1298</v>
      </c>
      <c r="C832" t="s">
        <v>347</v>
      </c>
      <c r="D832">
        <v>5.3</v>
      </c>
      <c r="E832">
        <v>1843.5</v>
      </c>
      <c r="F832">
        <v>13.9</v>
      </c>
      <c r="G832">
        <v>38.020000000000003</v>
      </c>
      <c r="H832">
        <v>15.16</v>
      </c>
      <c r="I832">
        <v>15.94</v>
      </c>
      <c r="J832">
        <v>1279.7</v>
      </c>
      <c r="K832">
        <v>9717.49</v>
      </c>
      <c r="L832">
        <v>16.14</v>
      </c>
      <c r="M832">
        <v>2.13</v>
      </c>
      <c r="N832">
        <v>17.71</v>
      </c>
    </row>
    <row r="833" spans="1:14">
      <c r="A833" s="28">
        <v>360</v>
      </c>
      <c r="B833" t="s">
        <v>1055</v>
      </c>
      <c r="C833" t="s">
        <v>348</v>
      </c>
      <c r="D833">
        <v>5.51</v>
      </c>
      <c r="E833">
        <v>951.87</v>
      </c>
      <c r="F833">
        <v>34.65</v>
      </c>
      <c r="G833">
        <v>49.17</v>
      </c>
      <c r="H833">
        <v>1.42</v>
      </c>
      <c r="I833">
        <v>1.47</v>
      </c>
      <c r="J833">
        <v>77.209999999999994</v>
      </c>
      <c r="K833">
        <v>5259.36</v>
      </c>
      <c r="L833">
        <v>55.24</v>
      </c>
      <c r="M833">
        <v>0.81</v>
      </c>
      <c r="N833">
        <v>40.58</v>
      </c>
    </row>
    <row r="834" spans="1:14">
      <c r="A834" s="28">
        <v>47</v>
      </c>
      <c r="B834" t="s">
        <v>1769</v>
      </c>
      <c r="C834" t="s">
        <v>348</v>
      </c>
      <c r="D834">
        <v>5.61</v>
      </c>
      <c r="E834">
        <v>980.45</v>
      </c>
      <c r="F834">
        <v>199.35</v>
      </c>
      <c r="G834" t="s">
        <v>2788</v>
      </c>
      <c r="H834">
        <v>-5.97</v>
      </c>
      <c r="I834">
        <v>-7.56</v>
      </c>
      <c r="J834">
        <v>-365.32</v>
      </c>
      <c r="K834">
        <v>5402.25</v>
      </c>
      <c r="M834">
        <v>3.81</v>
      </c>
    </row>
    <row r="835" spans="1:14">
      <c r="A835" s="28">
        <v>238</v>
      </c>
      <c r="B835" t="s">
        <v>1908</v>
      </c>
      <c r="C835" t="s">
        <v>348</v>
      </c>
      <c r="D835">
        <v>5.74</v>
      </c>
      <c r="E835">
        <v>143.43</v>
      </c>
      <c r="F835">
        <v>48.34</v>
      </c>
      <c r="G835" t="s">
        <v>350</v>
      </c>
      <c r="H835">
        <v>3.24</v>
      </c>
      <c r="I835">
        <v>3.75</v>
      </c>
      <c r="J835">
        <v>26.22</v>
      </c>
      <c r="K835">
        <v>1217.17</v>
      </c>
      <c r="L835">
        <v>47.28</v>
      </c>
      <c r="M835">
        <v>1.02</v>
      </c>
      <c r="N835">
        <v>54.16</v>
      </c>
    </row>
    <row r="836" spans="1:14">
      <c r="A836" s="28">
        <v>102</v>
      </c>
      <c r="B836" t="s">
        <v>183</v>
      </c>
      <c r="C836" t="s">
        <v>347</v>
      </c>
      <c r="D836">
        <v>5.76</v>
      </c>
      <c r="E836">
        <v>8699.1299999999992</v>
      </c>
      <c r="F836">
        <v>110.95</v>
      </c>
      <c r="G836">
        <v>127.06</v>
      </c>
      <c r="H836">
        <v>8.92</v>
      </c>
      <c r="I836">
        <v>9.42</v>
      </c>
      <c r="J836">
        <v>3929.13</v>
      </c>
      <c r="K836">
        <v>43995.64</v>
      </c>
      <c r="L836">
        <v>15.63</v>
      </c>
      <c r="M836">
        <v>1.4</v>
      </c>
      <c r="N836">
        <v>15</v>
      </c>
    </row>
    <row r="837" spans="1:14">
      <c r="A837" s="28">
        <v>385</v>
      </c>
      <c r="B837" t="s">
        <v>1937</v>
      </c>
      <c r="C837" t="s">
        <v>348</v>
      </c>
      <c r="D837">
        <v>5.77</v>
      </c>
      <c r="E837">
        <v>1440.16</v>
      </c>
      <c r="F837">
        <v>32.28</v>
      </c>
      <c r="G837" t="s">
        <v>350</v>
      </c>
      <c r="H837">
        <v>4.33</v>
      </c>
      <c r="I837">
        <v>4.59</v>
      </c>
      <c r="J837">
        <v>68.2</v>
      </c>
      <c r="K837">
        <v>1540.16</v>
      </c>
      <c r="L837">
        <v>68.84</v>
      </c>
      <c r="M837">
        <v>3.05</v>
      </c>
      <c r="N837">
        <v>139.26</v>
      </c>
    </row>
    <row r="838" spans="1:14">
      <c r="A838" s="28">
        <v>542</v>
      </c>
      <c r="B838" t="s">
        <v>1767</v>
      </c>
      <c r="C838" t="s">
        <v>348</v>
      </c>
      <c r="D838">
        <v>5.92</v>
      </c>
      <c r="E838">
        <v>165.4</v>
      </c>
      <c r="F838">
        <v>23.96</v>
      </c>
      <c r="G838" t="s">
        <v>2788</v>
      </c>
      <c r="H838">
        <v>-18.07</v>
      </c>
      <c r="I838">
        <v>-19.72</v>
      </c>
      <c r="J838">
        <v>-287.81</v>
      </c>
      <c r="K838">
        <v>1326.98</v>
      </c>
      <c r="M838">
        <v>1.62</v>
      </c>
    </row>
    <row r="839" spans="1:14">
      <c r="A839" s="28">
        <v>396</v>
      </c>
      <c r="B839" t="s">
        <v>2372</v>
      </c>
      <c r="C839" t="s">
        <v>348</v>
      </c>
      <c r="D839">
        <v>5.92</v>
      </c>
      <c r="E839">
        <v>355.6</v>
      </c>
      <c r="F839">
        <v>31.81</v>
      </c>
      <c r="G839" t="s">
        <v>2788</v>
      </c>
      <c r="H839">
        <v>-3.88</v>
      </c>
      <c r="I839">
        <v>-4.4400000000000004</v>
      </c>
      <c r="J839">
        <v>-103.19</v>
      </c>
      <c r="K839">
        <v>2275.6</v>
      </c>
      <c r="M839">
        <v>0.8</v>
      </c>
    </row>
    <row r="840" spans="1:14">
      <c r="A840" s="28">
        <v>612</v>
      </c>
      <c r="B840" t="s">
        <v>913</v>
      </c>
      <c r="C840" t="s">
        <v>347</v>
      </c>
      <c r="D840">
        <v>5.94</v>
      </c>
      <c r="E840">
        <v>738.22</v>
      </c>
      <c r="F840">
        <v>20.100000000000001</v>
      </c>
      <c r="G840">
        <v>-40.61</v>
      </c>
      <c r="H840">
        <v>3.9</v>
      </c>
      <c r="I840">
        <v>4.1399999999999997</v>
      </c>
      <c r="J840">
        <v>1570.68</v>
      </c>
      <c r="K840">
        <v>41910.949999999997</v>
      </c>
      <c r="L840">
        <v>13.56</v>
      </c>
      <c r="M840">
        <v>0.51</v>
      </c>
      <c r="N840">
        <v>74.540000000000006</v>
      </c>
    </row>
    <row r="841" spans="1:14">
      <c r="A841" s="28">
        <v>34</v>
      </c>
      <c r="B841" t="s">
        <v>521</v>
      </c>
      <c r="C841" t="s">
        <v>348</v>
      </c>
      <c r="D841">
        <v>50.07</v>
      </c>
      <c r="E841">
        <v>1664.32</v>
      </c>
      <c r="F841">
        <v>299.62</v>
      </c>
      <c r="G841">
        <v>380.36</v>
      </c>
      <c r="H841">
        <v>23.23</v>
      </c>
      <c r="I841">
        <v>35.159999999999997</v>
      </c>
      <c r="J841">
        <v>647.12</v>
      </c>
      <c r="K841">
        <v>2205.4</v>
      </c>
      <c r="L841">
        <v>4.7</v>
      </c>
      <c r="M841">
        <v>1.38</v>
      </c>
      <c r="N841">
        <v>7.23</v>
      </c>
    </row>
    <row r="842" spans="1:14">
      <c r="A842" s="28">
        <v>315</v>
      </c>
      <c r="B842" t="s">
        <v>1057</v>
      </c>
      <c r="C842" t="s">
        <v>348</v>
      </c>
      <c r="D842">
        <v>50.11</v>
      </c>
      <c r="E842">
        <v>588.57000000000005</v>
      </c>
      <c r="F842">
        <v>39.17</v>
      </c>
      <c r="G842" t="s">
        <v>350</v>
      </c>
      <c r="H842">
        <v>1.25</v>
      </c>
      <c r="I842">
        <v>2.09</v>
      </c>
      <c r="J842">
        <v>70.53</v>
      </c>
      <c r="K842">
        <v>3442.85</v>
      </c>
      <c r="L842">
        <v>27.39</v>
      </c>
      <c r="M842">
        <v>0.56000000000000005</v>
      </c>
      <c r="N842">
        <v>2.79</v>
      </c>
    </row>
    <row r="843" spans="1:14">
      <c r="A843" s="28">
        <v>294</v>
      </c>
      <c r="B843" t="s">
        <v>505</v>
      </c>
      <c r="C843" t="s">
        <v>347</v>
      </c>
      <c r="D843">
        <v>50.39</v>
      </c>
      <c r="E843">
        <v>775.76</v>
      </c>
      <c r="F843">
        <v>41.6</v>
      </c>
      <c r="G843">
        <v>47.96</v>
      </c>
      <c r="H843">
        <v>17.36</v>
      </c>
      <c r="I843">
        <v>26.75</v>
      </c>
      <c r="J843">
        <v>2213.85</v>
      </c>
      <c r="K843">
        <v>8809.91</v>
      </c>
      <c r="L843">
        <v>15.02</v>
      </c>
      <c r="M843">
        <v>3.77</v>
      </c>
      <c r="N843">
        <v>15.86</v>
      </c>
    </row>
    <row r="844" spans="1:14">
      <c r="A844" s="28">
        <v>958</v>
      </c>
      <c r="B844" t="s">
        <v>1681</v>
      </c>
      <c r="C844" t="s">
        <v>348</v>
      </c>
      <c r="D844">
        <v>50.51</v>
      </c>
      <c r="E844">
        <v>1063.8499999999999</v>
      </c>
      <c r="F844">
        <v>9.92</v>
      </c>
      <c r="G844">
        <v>-43.52</v>
      </c>
      <c r="H844">
        <v>2.09</v>
      </c>
      <c r="I844">
        <v>3.32</v>
      </c>
      <c r="J844">
        <v>190.19</v>
      </c>
      <c r="K844">
        <v>5819.25</v>
      </c>
      <c r="L844">
        <v>19.22</v>
      </c>
      <c r="M844">
        <v>0.63</v>
      </c>
    </row>
    <row r="845" spans="1:14">
      <c r="A845" s="28">
        <v>755</v>
      </c>
      <c r="B845" t="s">
        <v>1581</v>
      </c>
      <c r="C845" t="s">
        <v>348</v>
      </c>
      <c r="D845">
        <v>50.57</v>
      </c>
      <c r="E845">
        <v>2027.67</v>
      </c>
      <c r="F845">
        <v>15.32</v>
      </c>
      <c r="G845">
        <v>90.97</v>
      </c>
      <c r="H845">
        <v>11.77</v>
      </c>
      <c r="I845">
        <v>16.71</v>
      </c>
      <c r="J845">
        <v>315.83</v>
      </c>
      <c r="K845">
        <v>2127.67</v>
      </c>
      <c r="L845">
        <v>5.24</v>
      </c>
      <c r="M845">
        <v>0.78</v>
      </c>
      <c r="N845">
        <v>3.9</v>
      </c>
    </row>
    <row r="846" spans="1:14">
      <c r="A846" s="28">
        <v>234</v>
      </c>
      <c r="B846" t="s">
        <v>1749</v>
      </c>
      <c r="C846" t="s">
        <v>348</v>
      </c>
      <c r="D846">
        <v>50.62</v>
      </c>
      <c r="E846">
        <v>131.25</v>
      </c>
      <c r="F846">
        <v>49.05</v>
      </c>
      <c r="G846" t="s">
        <v>350</v>
      </c>
      <c r="H846">
        <v>3.99</v>
      </c>
      <c r="I846">
        <v>8.41</v>
      </c>
      <c r="J846">
        <v>71.53</v>
      </c>
      <c r="K846">
        <v>1156.24</v>
      </c>
      <c r="N846">
        <v>0</v>
      </c>
    </row>
    <row r="847" spans="1:14">
      <c r="A847" s="28">
        <v>1079</v>
      </c>
      <c r="B847" t="s">
        <v>816</v>
      </c>
      <c r="C847" t="s">
        <v>348</v>
      </c>
      <c r="D847">
        <v>50.67</v>
      </c>
      <c r="E847">
        <v>1452.16</v>
      </c>
      <c r="F847">
        <v>7.54</v>
      </c>
      <c r="G847">
        <v>-32.299999999999997</v>
      </c>
      <c r="H847">
        <v>1.71</v>
      </c>
      <c r="I847">
        <v>2.56</v>
      </c>
      <c r="J847">
        <v>189.84</v>
      </c>
      <c r="K847">
        <v>7760.82</v>
      </c>
      <c r="L847">
        <v>25.97</v>
      </c>
      <c r="M847">
        <v>0.64</v>
      </c>
      <c r="N847">
        <v>12.87</v>
      </c>
    </row>
    <row r="848" spans="1:14">
      <c r="A848" s="28">
        <v>480</v>
      </c>
      <c r="B848" t="s">
        <v>979</v>
      </c>
      <c r="C848" t="s">
        <v>347</v>
      </c>
      <c r="D848">
        <v>50.71</v>
      </c>
      <c r="E848">
        <v>2219.16</v>
      </c>
      <c r="F848">
        <v>26.42</v>
      </c>
      <c r="G848">
        <v>114.71</v>
      </c>
      <c r="H848">
        <v>7.43</v>
      </c>
      <c r="I848">
        <v>10.94</v>
      </c>
      <c r="J848">
        <v>1202.1400000000001</v>
      </c>
      <c r="K848">
        <v>11595.82</v>
      </c>
      <c r="L848">
        <v>4.5999999999999996</v>
      </c>
      <c r="M848">
        <v>0.48</v>
      </c>
      <c r="N848">
        <v>3.6</v>
      </c>
    </row>
    <row r="849" spans="1:14">
      <c r="A849" s="28">
        <v>1061</v>
      </c>
      <c r="B849" t="s">
        <v>2261</v>
      </c>
      <c r="C849" t="s">
        <v>348</v>
      </c>
      <c r="D849">
        <v>50.72</v>
      </c>
      <c r="E849">
        <v>1519.64</v>
      </c>
      <c r="F849">
        <v>7.89</v>
      </c>
      <c r="G849" t="s">
        <v>2788</v>
      </c>
      <c r="H849">
        <v>-2.65</v>
      </c>
      <c r="I849">
        <v>-4.0599999999999996</v>
      </c>
      <c r="J849">
        <v>-65.69</v>
      </c>
      <c r="K849">
        <v>1619.64</v>
      </c>
      <c r="M849">
        <v>0.74</v>
      </c>
      <c r="N849">
        <v>104.81</v>
      </c>
    </row>
    <row r="850" spans="1:14">
      <c r="A850" s="28">
        <v>915</v>
      </c>
      <c r="B850" t="s">
        <v>2484</v>
      </c>
      <c r="C850" t="s">
        <v>348</v>
      </c>
      <c r="D850">
        <v>50.92</v>
      </c>
      <c r="E850">
        <v>524.65</v>
      </c>
      <c r="F850">
        <v>10.99</v>
      </c>
      <c r="G850">
        <v>33.119999999999997</v>
      </c>
      <c r="H850">
        <v>5.2</v>
      </c>
      <c r="I850">
        <v>7.86</v>
      </c>
      <c r="J850">
        <v>206.19</v>
      </c>
      <c r="K850">
        <v>3123.26</v>
      </c>
      <c r="L850">
        <v>16.2</v>
      </c>
      <c r="M850">
        <v>1.07</v>
      </c>
      <c r="N850">
        <v>19.399999999999999</v>
      </c>
    </row>
    <row r="851" spans="1:14">
      <c r="A851" s="28">
        <v>1026</v>
      </c>
      <c r="B851" t="s">
        <v>1824</v>
      </c>
      <c r="C851" t="s">
        <v>348</v>
      </c>
      <c r="D851">
        <v>51.01</v>
      </c>
      <c r="E851">
        <v>1985.76</v>
      </c>
      <c r="F851">
        <v>8.57</v>
      </c>
      <c r="G851">
        <v>-21.55</v>
      </c>
      <c r="H851">
        <v>21.33</v>
      </c>
      <c r="I851">
        <v>34.07</v>
      </c>
      <c r="J851">
        <v>3028</v>
      </c>
      <c r="K851">
        <v>10428.799999999999</v>
      </c>
      <c r="L851">
        <v>0.93</v>
      </c>
      <c r="M851">
        <v>0.27</v>
      </c>
      <c r="N851">
        <v>66.41</v>
      </c>
    </row>
    <row r="852" spans="1:14">
      <c r="A852" s="28">
        <v>576</v>
      </c>
      <c r="B852" t="s">
        <v>1099</v>
      </c>
      <c r="C852" t="s">
        <v>348</v>
      </c>
      <c r="D852">
        <v>51.02</v>
      </c>
      <c r="E852">
        <v>4721.87</v>
      </c>
      <c r="F852">
        <v>21.82</v>
      </c>
      <c r="G852">
        <v>89.19</v>
      </c>
      <c r="H852">
        <v>10.01</v>
      </c>
      <c r="I852">
        <v>15.91</v>
      </c>
      <c r="J852">
        <v>680.46</v>
      </c>
      <c r="K852">
        <v>4821.87</v>
      </c>
      <c r="L852">
        <v>5.2</v>
      </c>
      <c r="M852">
        <v>0.73</v>
      </c>
      <c r="N852">
        <v>8.02</v>
      </c>
    </row>
    <row r="853" spans="1:14">
      <c r="A853" s="28">
        <v>416</v>
      </c>
      <c r="B853" t="s">
        <v>2675</v>
      </c>
      <c r="C853" t="s">
        <v>348</v>
      </c>
      <c r="D853">
        <v>51.11</v>
      </c>
      <c r="E853">
        <v>12.15</v>
      </c>
      <c r="F853">
        <v>30.48</v>
      </c>
      <c r="G853" t="s">
        <v>2788</v>
      </c>
      <c r="H853">
        <v>-25.38</v>
      </c>
      <c r="I853">
        <v>-34.590000000000003</v>
      </c>
      <c r="J853">
        <v>-220.01</v>
      </c>
      <c r="K853">
        <v>560.74</v>
      </c>
      <c r="M853">
        <v>7.03</v>
      </c>
    </row>
    <row r="854" spans="1:14">
      <c r="A854" s="28">
        <v>632</v>
      </c>
      <c r="B854" t="s">
        <v>2133</v>
      </c>
      <c r="C854" t="s">
        <v>348</v>
      </c>
      <c r="D854">
        <v>51.14</v>
      </c>
      <c r="E854">
        <v>543.6</v>
      </c>
      <c r="F854">
        <v>19.5</v>
      </c>
      <c r="G854" t="s">
        <v>350</v>
      </c>
      <c r="H854">
        <v>5.46</v>
      </c>
      <c r="I854">
        <v>8.43</v>
      </c>
      <c r="J854">
        <v>259.62</v>
      </c>
      <c r="K854">
        <v>3218.01</v>
      </c>
      <c r="L854">
        <v>6.14</v>
      </c>
      <c r="M854">
        <v>0.5</v>
      </c>
      <c r="N854">
        <v>22.63</v>
      </c>
    </row>
    <row r="855" spans="1:14">
      <c r="A855" s="28">
        <v>1105</v>
      </c>
      <c r="B855" t="s">
        <v>1410</v>
      </c>
      <c r="C855" t="s">
        <v>348</v>
      </c>
      <c r="D855">
        <v>51.27</v>
      </c>
      <c r="E855">
        <v>1509.89</v>
      </c>
      <c r="F855">
        <v>6.86</v>
      </c>
      <c r="G855">
        <v>-12.94</v>
      </c>
      <c r="H855">
        <v>4.1100000000000003</v>
      </c>
      <c r="I855">
        <v>6.32</v>
      </c>
      <c r="J855">
        <v>471.84</v>
      </c>
      <c r="K855">
        <v>8049.45</v>
      </c>
      <c r="L855">
        <v>87.21</v>
      </c>
      <c r="M855">
        <v>5.1100000000000003</v>
      </c>
      <c r="N855">
        <v>203.44</v>
      </c>
    </row>
    <row r="856" spans="1:14">
      <c r="A856" s="28">
        <v>931</v>
      </c>
      <c r="B856" t="s">
        <v>1093</v>
      </c>
      <c r="C856" t="s">
        <v>348</v>
      </c>
      <c r="D856">
        <v>51.42</v>
      </c>
      <c r="E856">
        <v>1407.03</v>
      </c>
      <c r="F856">
        <v>10.51</v>
      </c>
      <c r="G856">
        <v>-58.98</v>
      </c>
      <c r="H856">
        <v>6.28</v>
      </c>
      <c r="I856">
        <v>9.32</v>
      </c>
      <c r="J856">
        <v>658.93</v>
      </c>
      <c r="K856">
        <v>7672.55</v>
      </c>
      <c r="L856">
        <v>6.46</v>
      </c>
      <c r="M856">
        <v>0.55000000000000004</v>
      </c>
      <c r="N856">
        <v>5.49</v>
      </c>
    </row>
    <row r="857" spans="1:14">
      <c r="A857" s="28">
        <v>1041</v>
      </c>
      <c r="B857" t="s">
        <v>2505</v>
      </c>
      <c r="C857" t="s">
        <v>348</v>
      </c>
      <c r="D857">
        <v>51.44</v>
      </c>
      <c r="E857">
        <v>399.3</v>
      </c>
      <c r="F857">
        <v>8.2100000000000009</v>
      </c>
      <c r="G857">
        <v>-11.21</v>
      </c>
      <c r="H857">
        <v>10.89</v>
      </c>
      <c r="I857">
        <v>17.28</v>
      </c>
      <c r="J857">
        <v>368.86</v>
      </c>
      <c r="K857">
        <v>2334.1</v>
      </c>
      <c r="L857">
        <v>12.44</v>
      </c>
      <c r="M857">
        <v>1.97</v>
      </c>
      <c r="N857">
        <v>14.44</v>
      </c>
    </row>
    <row r="858" spans="1:14">
      <c r="A858" s="28">
        <v>505</v>
      </c>
      <c r="B858" t="s">
        <v>329</v>
      </c>
      <c r="C858" t="s">
        <v>348</v>
      </c>
      <c r="D858">
        <v>51.63</v>
      </c>
      <c r="E858">
        <v>717.63</v>
      </c>
      <c r="F858">
        <v>25.45</v>
      </c>
      <c r="G858">
        <v>-11.55</v>
      </c>
      <c r="H858">
        <v>5.83</v>
      </c>
      <c r="I858">
        <v>8.6</v>
      </c>
      <c r="J858">
        <v>377.57</v>
      </c>
      <c r="K858">
        <v>4538.0600000000004</v>
      </c>
      <c r="L858">
        <v>10.25</v>
      </c>
      <c r="M858">
        <v>0.85</v>
      </c>
      <c r="N858">
        <v>9.09</v>
      </c>
    </row>
    <row r="859" spans="1:14">
      <c r="A859" s="28">
        <v>17</v>
      </c>
      <c r="B859" t="s">
        <v>2842</v>
      </c>
      <c r="C859" t="s">
        <v>348</v>
      </c>
      <c r="D859">
        <v>51.86</v>
      </c>
      <c r="E859">
        <v>68.569999999999993</v>
      </c>
      <c r="F859">
        <v>600.19000000000005</v>
      </c>
      <c r="G859" t="s">
        <v>2788</v>
      </c>
      <c r="H859">
        <v>-22.46</v>
      </c>
      <c r="I859">
        <v>-45.57</v>
      </c>
      <c r="J859">
        <v>-263.66000000000003</v>
      </c>
      <c r="K859">
        <v>842.85</v>
      </c>
      <c r="M859">
        <v>3.28</v>
      </c>
    </row>
    <row r="860" spans="1:14">
      <c r="A860" s="28">
        <v>115</v>
      </c>
      <c r="B860" t="s">
        <v>2497</v>
      </c>
      <c r="C860" t="s">
        <v>348</v>
      </c>
      <c r="D860">
        <v>51.88</v>
      </c>
      <c r="E860">
        <v>1510</v>
      </c>
      <c r="F860">
        <v>93.06</v>
      </c>
      <c r="G860" t="s">
        <v>2788</v>
      </c>
      <c r="H860">
        <v>-56.74</v>
      </c>
      <c r="I860">
        <v>-88.2</v>
      </c>
      <c r="J860">
        <v>-1343.7</v>
      </c>
      <c r="K860">
        <v>1610</v>
      </c>
      <c r="M860">
        <v>4.5999999999999996</v>
      </c>
    </row>
    <row r="861" spans="1:14">
      <c r="A861" s="28">
        <v>98</v>
      </c>
      <c r="B861" t="s">
        <v>1864</v>
      </c>
      <c r="C861" t="s">
        <v>347</v>
      </c>
      <c r="D861">
        <v>51.94</v>
      </c>
      <c r="E861">
        <v>471.31</v>
      </c>
      <c r="F861">
        <v>113.63</v>
      </c>
      <c r="G861" t="s">
        <v>350</v>
      </c>
      <c r="H861">
        <v>23.82</v>
      </c>
      <c r="I861">
        <v>37.700000000000003</v>
      </c>
      <c r="J861">
        <v>8619.51</v>
      </c>
      <c r="K861">
        <v>28565.57</v>
      </c>
      <c r="L861">
        <v>3.31</v>
      </c>
      <c r="M861">
        <v>1</v>
      </c>
      <c r="N861">
        <v>8451.76</v>
      </c>
    </row>
    <row r="862" spans="1:14">
      <c r="A862" s="28">
        <v>617</v>
      </c>
      <c r="B862" t="s">
        <v>2045</v>
      </c>
      <c r="C862" t="s">
        <v>348</v>
      </c>
      <c r="D862">
        <v>51.96</v>
      </c>
      <c r="E862">
        <v>173.82</v>
      </c>
      <c r="F862">
        <v>19.989999999999998</v>
      </c>
      <c r="G862" t="s">
        <v>2788</v>
      </c>
      <c r="H862">
        <v>-34.5</v>
      </c>
      <c r="I862">
        <v>-48.68</v>
      </c>
      <c r="J862">
        <v>-883.25</v>
      </c>
      <c r="K862">
        <v>1369.09</v>
      </c>
      <c r="M862">
        <v>2.61</v>
      </c>
    </row>
    <row r="863" spans="1:14">
      <c r="A863" s="28">
        <v>246</v>
      </c>
      <c r="B863" t="s">
        <v>2137</v>
      </c>
      <c r="C863" t="s">
        <v>348</v>
      </c>
      <c r="D863">
        <v>52.14</v>
      </c>
      <c r="E863">
        <v>984.39</v>
      </c>
      <c r="F863">
        <v>46.81</v>
      </c>
      <c r="G863">
        <v>36.43</v>
      </c>
      <c r="H863">
        <v>7.79</v>
      </c>
      <c r="I863">
        <v>11.21</v>
      </c>
      <c r="J863">
        <v>569.48</v>
      </c>
      <c r="K863">
        <v>5421.96</v>
      </c>
      <c r="L863">
        <v>100.44</v>
      </c>
      <c r="M863">
        <v>10.55</v>
      </c>
      <c r="N863">
        <v>75.349999999999994</v>
      </c>
    </row>
    <row r="864" spans="1:14">
      <c r="A864" s="28">
        <v>482</v>
      </c>
      <c r="B864" t="s">
        <v>1021</v>
      </c>
      <c r="C864" t="s">
        <v>348</v>
      </c>
      <c r="D864">
        <v>52.36</v>
      </c>
      <c r="E864">
        <v>787.41</v>
      </c>
      <c r="F864">
        <v>26.39</v>
      </c>
      <c r="G864" t="s">
        <v>2788</v>
      </c>
      <c r="H864">
        <v>-11.39</v>
      </c>
      <c r="I864">
        <v>-16.73</v>
      </c>
      <c r="J864">
        <v>-879.32</v>
      </c>
      <c r="K864">
        <v>5128.68</v>
      </c>
      <c r="M864">
        <v>0.71</v>
      </c>
    </row>
    <row r="865" spans="1:14">
      <c r="A865" s="28">
        <v>14</v>
      </c>
      <c r="B865" t="s">
        <v>1415</v>
      </c>
      <c r="C865" t="s">
        <v>348</v>
      </c>
      <c r="D865">
        <v>52.56</v>
      </c>
      <c r="E865">
        <v>4386.6000000000004</v>
      </c>
      <c r="F865">
        <v>683.74</v>
      </c>
      <c r="G865" t="s">
        <v>349</v>
      </c>
      <c r="H865">
        <v>-10.43</v>
      </c>
      <c r="I865">
        <v>-15.34</v>
      </c>
      <c r="J865">
        <v>-3312.93</v>
      </c>
      <c r="K865">
        <v>21785.65</v>
      </c>
      <c r="M865">
        <v>4.7300000000000004</v>
      </c>
      <c r="N865">
        <v>24.3</v>
      </c>
    </row>
    <row r="866" spans="1:14">
      <c r="A866" s="28">
        <v>515</v>
      </c>
      <c r="B866" t="s">
        <v>413</v>
      </c>
      <c r="C866" t="s">
        <v>347</v>
      </c>
      <c r="D866">
        <v>52.57</v>
      </c>
      <c r="E866">
        <v>1513.65</v>
      </c>
      <c r="F866">
        <v>24.96</v>
      </c>
      <c r="G866">
        <v>-8</v>
      </c>
      <c r="H866">
        <v>15.81</v>
      </c>
      <c r="I866">
        <v>24.02</v>
      </c>
      <c r="J866">
        <v>20554.87</v>
      </c>
      <c r="K866">
        <v>86889.04</v>
      </c>
      <c r="L866">
        <v>11.36</v>
      </c>
      <c r="M866">
        <v>2.69</v>
      </c>
      <c r="N866">
        <v>7.95</v>
      </c>
    </row>
    <row r="867" spans="1:14">
      <c r="A867" s="28">
        <v>763</v>
      </c>
      <c r="B867" t="s">
        <v>2593</v>
      </c>
      <c r="C867" t="s">
        <v>348</v>
      </c>
      <c r="D867">
        <v>52.75</v>
      </c>
      <c r="E867">
        <v>4570.6499999999996</v>
      </c>
      <c r="F867">
        <v>15.12</v>
      </c>
      <c r="G867">
        <v>12.26</v>
      </c>
      <c r="H867">
        <v>4.51</v>
      </c>
      <c r="I867">
        <v>7.18</v>
      </c>
      <c r="J867">
        <v>1597.76</v>
      </c>
      <c r="K867">
        <v>23353.24</v>
      </c>
      <c r="L867">
        <v>32.229999999999997</v>
      </c>
      <c r="M867">
        <v>2.21</v>
      </c>
      <c r="N867">
        <v>6.58</v>
      </c>
    </row>
    <row r="868" spans="1:14">
      <c r="A868" s="28">
        <v>634</v>
      </c>
      <c r="B868" t="s">
        <v>2839</v>
      </c>
      <c r="C868" t="s">
        <v>348</v>
      </c>
      <c r="D868">
        <v>523.95000000000005</v>
      </c>
      <c r="E868">
        <v>43.57</v>
      </c>
      <c r="F868">
        <v>19.309999999999999</v>
      </c>
      <c r="G868" t="s">
        <v>350</v>
      </c>
      <c r="H868">
        <v>0.45</v>
      </c>
      <c r="I868">
        <v>2.77</v>
      </c>
      <c r="J868">
        <v>19.62</v>
      </c>
      <c r="K868">
        <v>717.83</v>
      </c>
      <c r="L868">
        <v>140.69999999999999</v>
      </c>
      <c r="M868">
        <v>3.84</v>
      </c>
      <c r="N868">
        <v>17.649999999999999</v>
      </c>
    </row>
    <row r="869" spans="1:14">
      <c r="A869" s="28">
        <v>386</v>
      </c>
      <c r="B869" t="s">
        <v>2840</v>
      </c>
      <c r="C869" t="s">
        <v>348</v>
      </c>
      <c r="D869">
        <v>525.16999999999996</v>
      </c>
      <c r="E869">
        <v>21.01</v>
      </c>
      <c r="F869">
        <v>32.25</v>
      </c>
      <c r="G869" t="s">
        <v>349</v>
      </c>
      <c r="H869">
        <v>-15.13</v>
      </c>
      <c r="I869">
        <v>-71.069999999999993</v>
      </c>
      <c r="J869">
        <v>-535.96</v>
      </c>
      <c r="K869">
        <v>605.07000000000005</v>
      </c>
      <c r="M869">
        <v>14.2</v>
      </c>
    </row>
    <row r="870" spans="1:14">
      <c r="A870" s="28">
        <v>1095</v>
      </c>
      <c r="B870" t="s">
        <v>997</v>
      </c>
      <c r="C870" t="s">
        <v>348</v>
      </c>
      <c r="D870">
        <v>53.32</v>
      </c>
      <c r="E870">
        <v>2889.5</v>
      </c>
      <c r="F870">
        <v>7.19</v>
      </c>
      <c r="G870" t="s">
        <v>349</v>
      </c>
      <c r="H870">
        <v>-6.82</v>
      </c>
      <c r="I870">
        <v>-10.25</v>
      </c>
      <c r="J870">
        <v>-1374.57</v>
      </c>
      <c r="K870">
        <v>14947.52</v>
      </c>
      <c r="M870">
        <v>1.28</v>
      </c>
      <c r="N870">
        <v>17.309999999999999</v>
      </c>
    </row>
    <row r="871" spans="1:14">
      <c r="A871" s="28">
        <v>697</v>
      </c>
      <c r="B871" t="s">
        <v>2068</v>
      </c>
      <c r="C871" t="s">
        <v>348</v>
      </c>
      <c r="D871">
        <v>53.54</v>
      </c>
      <c r="E871">
        <v>1371.7</v>
      </c>
      <c r="F871">
        <v>16.8</v>
      </c>
      <c r="G871">
        <v>-72.08</v>
      </c>
      <c r="H871">
        <v>4.7300000000000004</v>
      </c>
      <c r="I871">
        <v>8.8800000000000008</v>
      </c>
      <c r="J871">
        <v>71.94</v>
      </c>
      <c r="K871">
        <v>1385.13</v>
      </c>
      <c r="N871">
        <v>0</v>
      </c>
    </row>
    <row r="872" spans="1:14">
      <c r="A872" s="28">
        <v>713</v>
      </c>
      <c r="B872" t="s">
        <v>2159</v>
      </c>
      <c r="C872" t="s">
        <v>348</v>
      </c>
      <c r="D872">
        <v>53.62</v>
      </c>
      <c r="E872">
        <v>741.64</v>
      </c>
      <c r="F872">
        <v>16.309999999999999</v>
      </c>
      <c r="G872" t="s">
        <v>349</v>
      </c>
      <c r="H872">
        <v>-3.3</v>
      </c>
      <c r="I872">
        <v>-5.23</v>
      </c>
      <c r="J872">
        <v>-42.74</v>
      </c>
      <c r="K872">
        <v>841.64</v>
      </c>
      <c r="M872">
        <v>0.93</v>
      </c>
      <c r="N872">
        <v>9.39</v>
      </c>
    </row>
    <row r="873" spans="1:14">
      <c r="A873" s="28">
        <v>1110</v>
      </c>
      <c r="B873" t="s">
        <v>2065</v>
      </c>
      <c r="C873" t="s">
        <v>348</v>
      </c>
      <c r="D873">
        <v>53.67</v>
      </c>
      <c r="E873">
        <v>188.52</v>
      </c>
      <c r="F873">
        <v>6.71</v>
      </c>
      <c r="G873">
        <v>-4.87</v>
      </c>
      <c r="H873">
        <v>2.61</v>
      </c>
      <c r="I873">
        <v>4.3899999999999997</v>
      </c>
      <c r="J873">
        <v>61.54</v>
      </c>
      <c r="K873">
        <v>1442.62</v>
      </c>
      <c r="L873">
        <v>45.17</v>
      </c>
      <c r="M873">
        <v>1.93</v>
      </c>
      <c r="N873">
        <v>86.65</v>
      </c>
    </row>
    <row r="874" spans="1:14">
      <c r="A874" s="28">
        <v>286</v>
      </c>
      <c r="B874" t="s">
        <v>2456</v>
      </c>
      <c r="C874" t="s">
        <v>348</v>
      </c>
      <c r="D874">
        <v>53.72</v>
      </c>
      <c r="E874">
        <v>1013.27</v>
      </c>
      <c r="F874">
        <v>42.42</v>
      </c>
      <c r="G874">
        <v>196.26</v>
      </c>
      <c r="H874">
        <v>35.11</v>
      </c>
      <c r="I874">
        <v>50.84</v>
      </c>
      <c r="J874">
        <v>444.39</v>
      </c>
      <c r="K874">
        <v>1113.27</v>
      </c>
      <c r="L874">
        <v>21</v>
      </c>
      <c r="M874">
        <v>8.3800000000000008</v>
      </c>
      <c r="N874">
        <v>17.260000000000002</v>
      </c>
    </row>
    <row r="875" spans="1:14">
      <c r="A875" s="28">
        <v>158</v>
      </c>
      <c r="B875" t="s">
        <v>84</v>
      </c>
      <c r="C875" t="s">
        <v>347</v>
      </c>
      <c r="D875">
        <v>53.84</v>
      </c>
      <c r="E875">
        <v>7782.94</v>
      </c>
      <c r="F875">
        <v>67.930000000000007</v>
      </c>
      <c r="G875">
        <v>252.53</v>
      </c>
      <c r="H875">
        <v>8.69</v>
      </c>
      <c r="I875">
        <v>13.47</v>
      </c>
      <c r="J875">
        <v>9786.76</v>
      </c>
      <c r="K875">
        <v>81264.36</v>
      </c>
      <c r="L875">
        <v>6.47</v>
      </c>
      <c r="M875">
        <v>0.78</v>
      </c>
      <c r="N875">
        <v>15.64</v>
      </c>
    </row>
    <row r="876" spans="1:14">
      <c r="A876" s="28">
        <v>157</v>
      </c>
      <c r="B876" t="s">
        <v>1934</v>
      </c>
      <c r="C876" t="s">
        <v>347</v>
      </c>
      <c r="D876">
        <v>535.69000000000005</v>
      </c>
      <c r="E876">
        <v>674.34</v>
      </c>
      <c r="F876">
        <v>68.069999999999993</v>
      </c>
      <c r="G876" t="s">
        <v>2788</v>
      </c>
      <c r="H876">
        <v>-12.23</v>
      </c>
      <c r="I876">
        <v>-100.69</v>
      </c>
      <c r="J876">
        <v>-2615.0100000000002</v>
      </c>
      <c r="K876">
        <v>3871.69</v>
      </c>
      <c r="M876">
        <v>3.73</v>
      </c>
    </row>
    <row r="877" spans="1:14">
      <c r="A877" s="28">
        <v>630</v>
      </c>
      <c r="B877" t="s">
        <v>2462</v>
      </c>
      <c r="C877" t="s">
        <v>347</v>
      </c>
      <c r="D877">
        <v>54.58</v>
      </c>
      <c r="E877">
        <v>569.91</v>
      </c>
      <c r="F877">
        <v>19.57</v>
      </c>
      <c r="G877">
        <v>19.899999999999999</v>
      </c>
      <c r="H877">
        <v>5.48</v>
      </c>
      <c r="I877">
        <v>8.7899999999999991</v>
      </c>
      <c r="J877">
        <v>295.69</v>
      </c>
      <c r="K877">
        <v>3538.16</v>
      </c>
      <c r="L877">
        <v>4.01</v>
      </c>
      <c r="M877">
        <v>0.33</v>
      </c>
      <c r="N877">
        <v>5.16</v>
      </c>
    </row>
    <row r="878" spans="1:14">
      <c r="A878" s="28">
        <v>221</v>
      </c>
      <c r="B878" t="s">
        <v>2189</v>
      </c>
      <c r="C878" t="s">
        <v>347</v>
      </c>
      <c r="D878">
        <v>54.77</v>
      </c>
      <c r="E878">
        <v>1223.3599999999999</v>
      </c>
      <c r="F878">
        <v>51.35</v>
      </c>
      <c r="G878" t="s">
        <v>350</v>
      </c>
      <c r="H878">
        <v>7.06</v>
      </c>
      <c r="I878">
        <v>11.06</v>
      </c>
      <c r="J878">
        <v>705.41</v>
      </c>
      <c r="K878">
        <v>6616.78</v>
      </c>
      <c r="L878">
        <v>19.12</v>
      </c>
      <c r="M878">
        <v>2.04</v>
      </c>
      <c r="N878">
        <v>10.26</v>
      </c>
    </row>
    <row r="879" spans="1:14">
      <c r="A879" s="28">
        <v>132</v>
      </c>
      <c r="B879" t="s">
        <v>965</v>
      </c>
      <c r="C879" t="s">
        <v>348</v>
      </c>
      <c r="D879">
        <v>54.77</v>
      </c>
      <c r="E879">
        <v>2478.1</v>
      </c>
      <c r="F879">
        <v>80.78</v>
      </c>
      <c r="G879">
        <v>1439.74</v>
      </c>
      <c r="H879">
        <v>53.56</v>
      </c>
      <c r="I879">
        <v>86.37</v>
      </c>
      <c r="J879">
        <v>8703.7900000000009</v>
      </c>
      <c r="K879">
        <v>14359.92</v>
      </c>
      <c r="L879">
        <v>1.1000000000000001</v>
      </c>
      <c r="M879">
        <v>0.67</v>
      </c>
      <c r="N879">
        <v>25.23</v>
      </c>
    </row>
    <row r="880" spans="1:14">
      <c r="A880" s="28">
        <v>978</v>
      </c>
      <c r="B880" t="s">
        <v>402</v>
      </c>
      <c r="C880" t="s">
        <v>347</v>
      </c>
      <c r="D880">
        <v>54.78</v>
      </c>
      <c r="E880">
        <v>6945.71</v>
      </c>
      <c r="F880">
        <v>9.59</v>
      </c>
      <c r="G880">
        <v>334.83</v>
      </c>
      <c r="H880">
        <v>12.48</v>
      </c>
      <c r="I880">
        <v>19.21</v>
      </c>
      <c r="J880">
        <v>3159.97</v>
      </c>
      <c r="K880">
        <v>17614.259999999998</v>
      </c>
      <c r="L880">
        <v>6.51</v>
      </c>
      <c r="M880">
        <v>1.17</v>
      </c>
      <c r="N880">
        <v>22.61</v>
      </c>
    </row>
    <row r="881" spans="1:14">
      <c r="A881" s="28">
        <v>352</v>
      </c>
      <c r="B881" t="s">
        <v>1380</v>
      </c>
      <c r="C881" t="s">
        <v>347</v>
      </c>
      <c r="D881">
        <v>54.82</v>
      </c>
      <c r="E881">
        <v>659.38</v>
      </c>
      <c r="F881">
        <v>35.409999999999997</v>
      </c>
      <c r="G881">
        <v>18.93</v>
      </c>
      <c r="H881">
        <v>11.36</v>
      </c>
      <c r="I881">
        <v>17.57</v>
      </c>
      <c r="J881">
        <v>603.22</v>
      </c>
      <c r="K881">
        <v>3796.89</v>
      </c>
      <c r="L881">
        <v>17.32</v>
      </c>
      <c r="M881">
        <v>2.75</v>
      </c>
      <c r="N881">
        <v>10.97</v>
      </c>
    </row>
    <row r="882" spans="1:14">
      <c r="A882" s="28">
        <v>53</v>
      </c>
      <c r="B882" t="s">
        <v>1747</v>
      </c>
      <c r="C882" t="s">
        <v>348</v>
      </c>
      <c r="D882">
        <v>54.87</v>
      </c>
      <c r="E882">
        <v>527.66</v>
      </c>
      <c r="F882">
        <v>190.81</v>
      </c>
      <c r="G882" t="s">
        <v>2788</v>
      </c>
      <c r="H882">
        <v>-12.39</v>
      </c>
      <c r="I882">
        <v>-18.670000000000002</v>
      </c>
      <c r="J882">
        <v>-629.34</v>
      </c>
      <c r="K882">
        <v>3138.31</v>
      </c>
      <c r="M882">
        <v>2.17</v>
      </c>
    </row>
    <row r="883" spans="1:14">
      <c r="A883" s="28">
        <v>955</v>
      </c>
      <c r="B883" t="s">
        <v>1156</v>
      </c>
      <c r="C883" t="s">
        <v>348</v>
      </c>
      <c r="D883">
        <v>54.88</v>
      </c>
      <c r="E883">
        <v>8122.96</v>
      </c>
      <c r="F883">
        <v>9.9700000000000006</v>
      </c>
      <c r="G883">
        <v>34.47</v>
      </c>
      <c r="H883">
        <v>2.09</v>
      </c>
      <c r="I883">
        <v>3.29</v>
      </c>
      <c r="J883">
        <v>1319.32</v>
      </c>
      <c r="K883">
        <v>41114.79</v>
      </c>
      <c r="L883">
        <v>28.08</v>
      </c>
      <c r="M883">
        <v>0.9</v>
      </c>
      <c r="N883">
        <v>15.78</v>
      </c>
    </row>
    <row r="884" spans="1:14">
      <c r="A884" s="28">
        <v>596</v>
      </c>
      <c r="B884" t="s">
        <v>1950</v>
      </c>
      <c r="C884" t="s">
        <v>347</v>
      </c>
      <c r="D884">
        <v>544.69000000000005</v>
      </c>
      <c r="E884">
        <v>419.4</v>
      </c>
      <c r="F884">
        <v>20.72</v>
      </c>
      <c r="G884">
        <v>-15.96</v>
      </c>
      <c r="H884">
        <v>2.16</v>
      </c>
      <c r="I884">
        <v>13.57</v>
      </c>
      <c r="J884">
        <v>332.79</v>
      </c>
      <c r="K884">
        <v>2596.9899999999998</v>
      </c>
      <c r="L884">
        <v>17.79</v>
      </c>
      <c r="M884">
        <v>2.2799999999999998</v>
      </c>
      <c r="N884">
        <v>5.58</v>
      </c>
    </row>
    <row r="885" spans="1:14">
      <c r="A885" s="28">
        <v>179</v>
      </c>
      <c r="B885" t="s">
        <v>1519</v>
      </c>
      <c r="C885" t="s">
        <v>348</v>
      </c>
      <c r="D885">
        <v>55.04</v>
      </c>
      <c r="E885">
        <v>9.85</v>
      </c>
      <c r="F885">
        <v>61.47</v>
      </c>
      <c r="G885" t="s">
        <v>350</v>
      </c>
      <c r="H885">
        <v>2.37</v>
      </c>
      <c r="I885">
        <v>4.5599999999999996</v>
      </c>
      <c r="J885">
        <v>19.61</v>
      </c>
      <c r="K885">
        <v>549.26</v>
      </c>
      <c r="L885">
        <v>265.62</v>
      </c>
      <c r="M885">
        <v>9.49</v>
      </c>
      <c r="N885">
        <v>53.97</v>
      </c>
    </row>
    <row r="886" spans="1:14">
      <c r="A886" s="28">
        <v>263</v>
      </c>
      <c r="B886" t="s">
        <v>2489</v>
      </c>
      <c r="C886" t="s">
        <v>348</v>
      </c>
      <c r="D886">
        <v>55.07</v>
      </c>
      <c r="E886">
        <v>980.91</v>
      </c>
      <c r="F886">
        <v>44.9</v>
      </c>
      <c r="G886" t="s">
        <v>2788</v>
      </c>
      <c r="H886">
        <v>-26.65</v>
      </c>
      <c r="I886">
        <v>-42.28</v>
      </c>
      <c r="J886">
        <v>-2561.7399999999998</v>
      </c>
      <c r="K886">
        <v>5404.55</v>
      </c>
      <c r="M886">
        <v>1.26</v>
      </c>
    </row>
    <row r="887" spans="1:14">
      <c r="A887" s="28">
        <v>922</v>
      </c>
      <c r="B887" t="s">
        <v>789</v>
      </c>
      <c r="C887" t="s">
        <v>348</v>
      </c>
      <c r="D887">
        <v>55.62</v>
      </c>
      <c r="E887">
        <v>297.8</v>
      </c>
      <c r="F887">
        <v>10.85</v>
      </c>
      <c r="G887">
        <v>71.19</v>
      </c>
      <c r="H887">
        <v>2.17</v>
      </c>
      <c r="I887">
        <v>3.36</v>
      </c>
      <c r="J887">
        <v>67.42</v>
      </c>
      <c r="K887">
        <v>1989.01</v>
      </c>
      <c r="L887">
        <v>42.72</v>
      </c>
      <c r="M887">
        <v>1.45</v>
      </c>
      <c r="N887">
        <v>22.08</v>
      </c>
    </row>
    <row r="888" spans="1:14">
      <c r="A888" s="28">
        <v>532</v>
      </c>
      <c r="B888" t="s">
        <v>860</v>
      </c>
      <c r="C888" t="s">
        <v>347</v>
      </c>
      <c r="D888">
        <v>55.64</v>
      </c>
      <c r="E888">
        <v>3129.84</v>
      </c>
      <c r="F888">
        <v>24.32</v>
      </c>
      <c r="G888" t="s">
        <v>349</v>
      </c>
      <c r="H888">
        <v>-0.35</v>
      </c>
      <c r="I888">
        <v>-0.5</v>
      </c>
      <c r="J888">
        <v>-79.73</v>
      </c>
      <c r="K888">
        <v>16149.19</v>
      </c>
      <c r="M888">
        <v>0.36</v>
      </c>
      <c r="N888">
        <v>6.51</v>
      </c>
    </row>
    <row r="889" spans="1:14">
      <c r="A889" s="28">
        <v>444</v>
      </c>
      <c r="B889" t="s">
        <v>1025</v>
      </c>
      <c r="C889" t="s">
        <v>348</v>
      </c>
      <c r="D889">
        <v>55.68</v>
      </c>
      <c r="E889">
        <v>1914.08</v>
      </c>
      <c r="F889">
        <v>28.61</v>
      </c>
      <c r="G889">
        <v>-40.6</v>
      </c>
      <c r="H889">
        <v>7.03</v>
      </c>
      <c r="I889">
        <v>11.76</v>
      </c>
      <c r="J889">
        <v>1055.3800000000001</v>
      </c>
      <c r="K889">
        <v>9838.92</v>
      </c>
      <c r="L889">
        <v>10.79</v>
      </c>
      <c r="M889">
        <v>1.1599999999999999</v>
      </c>
      <c r="N889">
        <v>10.55</v>
      </c>
    </row>
    <row r="890" spans="1:14">
      <c r="A890" s="28">
        <v>867</v>
      </c>
      <c r="B890" t="s">
        <v>952</v>
      </c>
      <c r="C890" t="s">
        <v>348</v>
      </c>
      <c r="D890">
        <v>55.73</v>
      </c>
      <c r="E890">
        <v>996.55</v>
      </c>
      <c r="F890">
        <v>12.03</v>
      </c>
      <c r="G890" t="s">
        <v>349</v>
      </c>
      <c r="H890">
        <v>-4.6500000000000004</v>
      </c>
      <c r="I890">
        <v>-7.32</v>
      </c>
      <c r="J890">
        <v>-399.59</v>
      </c>
      <c r="K890">
        <v>5482.75</v>
      </c>
      <c r="M890">
        <v>0.39</v>
      </c>
      <c r="N890">
        <v>23.89</v>
      </c>
    </row>
    <row r="891" spans="1:14">
      <c r="A891" s="28">
        <v>1008</v>
      </c>
      <c r="B891" t="s">
        <v>842</v>
      </c>
      <c r="C891" t="s">
        <v>347</v>
      </c>
      <c r="D891">
        <v>55.76</v>
      </c>
      <c r="E891">
        <v>1344.83</v>
      </c>
      <c r="F891">
        <v>8.99</v>
      </c>
      <c r="G891">
        <v>168.37</v>
      </c>
      <c r="H891">
        <v>4.1100000000000003</v>
      </c>
      <c r="I891">
        <v>6.51</v>
      </c>
      <c r="J891">
        <v>459.1</v>
      </c>
      <c r="K891">
        <v>7224.17</v>
      </c>
      <c r="L891">
        <v>11.85</v>
      </c>
      <c r="M891">
        <v>0.75</v>
      </c>
      <c r="N891">
        <v>8.1</v>
      </c>
    </row>
    <row r="892" spans="1:14">
      <c r="A892" s="28">
        <v>1085</v>
      </c>
      <c r="B892" t="s">
        <v>2184</v>
      </c>
      <c r="C892" t="s">
        <v>348</v>
      </c>
      <c r="D892">
        <v>55.85</v>
      </c>
      <c r="E892">
        <v>331.98</v>
      </c>
      <c r="F892">
        <v>7.36</v>
      </c>
      <c r="G892" t="s">
        <v>2788</v>
      </c>
      <c r="H892">
        <v>-20.52</v>
      </c>
      <c r="I892">
        <v>-31.09</v>
      </c>
      <c r="J892">
        <v>-654.30999999999995</v>
      </c>
      <c r="K892">
        <v>1807.35</v>
      </c>
      <c r="M892">
        <v>1.54</v>
      </c>
    </row>
    <row r="893" spans="1:14">
      <c r="A893" s="28">
        <v>965</v>
      </c>
      <c r="B893" t="s">
        <v>1162</v>
      </c>
      <c r="C893" t="s">
        <v>348</v>
      </c>
      <c r="D893">
        <v>55.95</v>
      </c>
      <c r="E893">
        <v>1030.97</v>
      </c>
      <c r="F893">
        <v>9.85</v>
      </c>
      <c r="G893">
        <v>-15.66</v>
      </c>
      <c r="H893">
        <v>4.4000000000000004</v>
      </c>
      <c r="I893">
        <v>6.87</v>
      </c>
      <c r="J893">
        <v>380.11</v>
      </c>
      <c r="K893">
        <v>5654.86</v>
      </c>
      <c r="L893">
        <v>21.39</v>
      </c>
      <c r="M893">
        <v>1.44</v>
      </c>
      <c r="N893">
        <v>11.24</v>
      </c>
    </row>
    <row r="894" spans="1:14">
      <c r="A894" s="28">
        <v>456</v>
      </c>
      <c r="B894" t="s">
        <v>2841</v>
      </c>
      <c r="C894" t="s">
        <v>348</v>
      </c>
      <c r="D894">
        <v>553.29999999999995</v>
      </c>
      <c r="E894">
        <v>39.270000000000003</v>
      </c>
      <c r="F894">
        <v>27.79</v>
      </c>
      <c r="G894" t="s">
        <v>349</v>
      </c>
      <c r="H894">
        <v>-8.25</v>
      </c>
      <c r="I894">
        <v>-47.18</v>
      </c>
      <c r="J894">
        <v>-379.14</v>
      </c>
      <c r="K894">
        <v>696.35</v>
      </c>
      <c r="M894">
        <v>5.74</v>
      </c>
      <c r="N894">
        <v>43.5</v>
      </c>
    </row>
    <row r="895" spans="1:14">
      <c r="A895" s="28">
        <v>472</v>
      </c>
      <c r="B895" t="s">
        <v>2863</v>
      </c>
      <c r="C895" t="s">
        <v>348</v>
      </c>
      <c r="D895">
        <v>5535.21</v>
      </c>
      <c r="F895">
        <v>26.77</v>
      </c>
      <c r="G895" t="s">
        <v>2788</v>
      </c>
      <c r="H895">
        <v>-38.28</v>
      </c>
      <c r="I895">
        <v>-186.88</v>
      </c>
      <c r="J895">
        <v>-656.99</v>
      </c>
      <c r="K895">
        <v>23.07</v>
      </c>
      <c r="M895">
        <v>258.39999999999998</v>
      </c>
    </row>
    <row r="896" spans="1:14">
      <c r="A896" s="28">
        <v>1063</v>
      </c>
      <c r="B896" t="s">
        <v>1338</v>
      </c>
      <c r="C896" t="s">
        <v>347</v>
      </c>
      <c r="D896">
        <v>56.17</v>
      </c>
      <c r="E896">
        <v>7194.71</v>
      </c>
      <c r="F896">
        <v>7.88</v>
      </c>
      <c r="G896">
        <v>81.87</v>
      </c>
      <c r="H896">
        <v>3.91</v>
      </c>
      <c r="I896">
        <v>5.99</v>
      </c>
      <c r="J896">
        <v>854.36</v>
      </c>
      <c r="K896">
        <v>14589.43</v>
      </c>
      <c r="L896">
        <v>72.69</v>
      </c>
      <c r="M896">
        <v>4.26</v>
      </c>
      <c r="N896">
        <v>48.93</v>
      </c>
    </row>
    <row r="897" spans="1:14">
      <c r="A897" s="28">
        <v>1028</v>
      </c>
      <c r="B897" t="s">
        <v>2545</v>
      </c>
      <c r="C897" t="s">
        <v>348</v>
      </c>
      <c r="D897">
        <v>56.2</v>
      </c>
      <c r="E897">
        <v>242.8</v>
      </c>
      <c r="F897">
        <v>8.52</v>
      </c>
      <c r="G897" t="s">
        <v>2788</v>
      </c>
      <c r="H897">
        <v>-6.06</v>
      </c>
      <c r="I897">
        <v>-9</v>
      </c>
      <c r="J897">
        <v>-166.1</v>
      </c>
      <c r="K897">
        <v>1714</v>
      </c>
      <c r="M897">
        <v>4.0999999999999996</v>
      </c>
    </row>
    <row r="898" spans="1:14">
      <c r="A898" s="28">
        <v>222</v>
      </c>
      <c r="B898" t="s">
        <v>1053</v>
      </c>
      <c r="C898" t="s">
        <v>348</v>
      </c>
      <c r="D898">
        <v>56.4</v>
      </c>
      <c r="E898">
        <v>614.83000000000004</v>
      </c>
      <c r="F898">
        <v>50.46</v>
      </c>
      <c r="G898" t="s">
        <v>350</v>
      </c>
      <c r="H898">
        <v>2.64</v>
      </c>
      <c r="I898">
        <v>3.84</v>
      </c>
      <c r="J898">
        <v>133.08000000000001</v>
      </c>
      <c r="K898">
        <v>3574.14</v>
      </c>
      <c r="L898">
        <v>42.83</v>
      </c>
      <c r="M898">
        <v>1.59</v>
      </c>
      <c r="N898">
        <v>23.58</v>
      </c>
    </row>
    <row r="899" spans="1:14">
      <c r="A899" s="28">
        <v>561</v>
      </c>
      <c r="B899" t="s">
        <v>1396</v>
      </c>
      <c r="C899" t="s">
        <v>348</v>
      </c>
      <c r="D899">
        <v>56.69</v>
      </c>
      <c r="E899">
        <v>5008.28</v>
      </c>
      <c r="F899">
        <v>22.73</v>
      </c>
      <c r="G899">
        <v>-72.64</v>
      </c>
      <c r="H899">
        <v>1</v>
      </c>
      <c r="I899">
        <v>1.74</v>
      </c>
      <c r="J899">
        <v>386.16</v>
      </c>
      <c r="K899">
        <v>25541.39</v>
      </c>
      <c r="L899">
        <v>187.74</v>
      </c>
      <c r="M899">
        <v>2.84</v>
      </c>
      <c r="N899">
        <v>43.76</v>
      </c>
    </row>
    <row r="900" spans="1:14">
      <c r="A900" s="28">
        <v>716</v>
      </c>
      <c r="B900" t="s">
        <v>759</v>
      </c>
      <c r="C900" t="s">
        <v>347</v>
      </c>
      <c r="D900">
        <v>56.78</v>
      </c>
      <c r="E900">
        <v>463.75</v>
      </c>
      <c r="F900">
        <v>16.21</v>
      </c>
      <c r="G900" t="s">
        <v>2788</v>
      </c>
      <c r="H900">
        <v>-4.87</v>
      </c>
      <c r="I900">
        <v>-7.31</v>
      </c>
      <c r="J900">
        <v>-416.19</v>
      </c>
      <c r="K900">
        <v>5744.69</v>
      </c>
      <c r="M900">
        <v>1.08</v>
      </c>
    </row>
    <row r="901" spans="1:14">
      <c r="A901" s="28">
        <v>255</v>
      </c>
      <c r="B901" t="s">
        <v>2340</v>
      </c>
      <c r="C901" t="s">
        <v>348</v>
      </c>
      <c r="D901">
        <v>56.82</v>
      </c>
      <c r="E901">
        <v>3119.7</v>
      </c>
      <c r="F901">
        <v>45.89</v>
      </c>
      <c r="G901" t="s">
        <v>2788</v>
      </c>
      <c r="H901">
        <v>-3.7</v>
      </c>
      <c r="I901">
        <v>-6.56</v>
      </c>
      <c r="J901">
        <v>-171.26</v>
      </c>
      <c r="K901">
        <v>3219.7</v>
      </c>
      <c r="M901">
        <v>1.2</v>
      </c>
    </row>
    <row r="902" spans="1:14">
      <c r="A902" s="28">
        <v>311</v>
      </c>
      <c r="B902" t="s">
        <v>2348</v>
      </c>
      <c r="C902" t="s">
        <v>347</v>
      </c>
      <c r="D902">
        <v>56.96</v>
      </c>
      <c r="E902">
        <v>11.69</v>
      </c>
      <c r="F902">
        <v>39.4</v>
      </c>
      <c r="G902" t="s">
        <v>349</v>
      </c>
      <c r="H902">
        <v>-16.25</v>
      </c>
      <c r="I902">
        <v>-24.3</v>
      </c>
      <c r="J902">
        <v>-147.25</v>
      </c>
      <c r="K902">
        <v>558.47</v>
      </c>
      <c r="M902">
        <v>0.52</v>
      </c>
    </row>
    <row r="903" spans="1:14">
      <c r="A903" s="28">
        <v>96</v>
      </c>
      <c r="B903" t="s">
        <v>1793</v>
      </c>
      <c r="C903" t="s">
        <v>347</v>
      </c>
      <c r="D903">
        <v>566.02</v>
      </c>
      <c r="E903">
        <v>192.29</v>
      </c>
      <c r="F903">
        <v>115.23</v>
      </c>
      <c r="G903" t="s">
        <v>350</v>
      </c>
      <c r="H903">
        <v>15.66</v>
      </c>
      <c r="I903">
        <v>112.52</v>
      </c>
      <c r="J903">
        <v>2564.4</v>
      </c>
      <c r="K903">
        <v>2922.93</v>
      </c>
      <c r="L903">
        <v>4.59</v>
      </c>
      <c r="M903">
        <v>4.03</v>
      </c>
      <c r="N903">
        <v>2.25</v>
      </c>
    </row>
    <row r="904" spans="1:14">
      <c r="A904" s="28">
        <v>226</v>
      </c>
      <c r="B904" t="s">
        <v>1686</v>
      </c>
      <c r="C904" t="s">
        <v>347</v>
      </c>
      <c r="D904">
        <v>566.45000000000005</v>
      </c>
      <c r="F904">
        <v>50.07</v>
      </c>
      <c r="G904" t="s">
        <v>2788</v>
      </c>
      <c r="H904">
        <v>-19.309999999999999</v>
      </c>
      <c r="I904">
        <v>-98</v>
      </c>
      <c r="J904">
        <v>-916.22</v>
      </c>
      <c r="K904">
        <v>811.3</v>
      </c>
      <c r="M904">
        <v>4.5199999999999996</v>
      </c>
    </row>
    <row r="905" spans="1:14">
      <c r="A905" s="28">
        <v>138</v>
      </c>
      <c r="B905" t="s">
        <v>2722</v>
      </c>
      <c r="C905" t="s">
        <v>348</v>
      </c>
      <c r="D905">
        <v>568.1</v>
      </c>
      <c r="E905">
        <v>3.96</v>
      </c>
      <c r="F905">
        <v>77.540000000000006</v>
      </c>
      <c r="G905" t="s">
        <v>2788</v>
      </c>
      <c r="H905">
        <v>-39.08</v>
      </c>
      <c r="I905">
        <v>-129.04</v>
      </c>
      <c r="J905">
        <v>-1056.4000000000001</v>
      </c>
      <c r="K905">
        <v>519.79</v>
      </c>
      <c r="M905">
        <v>31.17</v>
      </c>
    </row>
    <row r="906" spans="1:14">
      <c r="A906" s="28">
        <v>976</v>
      </c>
      <c r="B906" t="s">
        <v>520</v>
      </c>
      <c r="C906" t="s">
        <v>347</v>
      </c>
      <c r="D906">
        <v>57</v>
      </c>
      <c r="E906">
        <v>3938.19</v>
      </c>
      <c r="F906">
        <v>9.64</v>
      </c>
      <c r="G906">
        <v>-64.52</v>
      </c>
      <c r="H906">
        <v>1.23</v>
      </c>
      <c r="I906">
        <v>1.85</v>
      </c>
      <c r="J906">
        <v>179.93</v>
      </c>
      <c r="K906">
        <v>9801.07</v>
      </c>
      <c r="L906">
        <v>43.8</v>
      </c>
      <c r="M906">
        <v>0.8</v>
      </c>
      <c r="N906">
        <v>115.72</v>
      </c>
    </row>
    <row r="907" spans="1:14">
      <c r="A907" s="28">
        <v>684</v>
      </c>
      <c r="B907" t="s">
        <v>2394</v>
      </c>
      <c r="C907" t="s">
        <v>348</v>
      </c>
      <c r="D907">
        <v>57.24</v>
      </c>
      <c r="E907">
        <v>900.51</v>
      </c>
      <c r="F907">
        <v>17.32</v>
      </c>
      <c r="G907" t="s">
        <v>2788</v>
      </c>
      <c r="H907">
        <v>-14.61</v>
      </c>
      <c r="I907">
        <v>-22.89</v>
      </c>
      <c r="J907">
        <v>-213.13</v>
      </c>
      <c r="K907">
        <v>1000.51</v>
      </c>
      <c r="M907">
        <v>0.31</v>
      </c>
    </row>
    <row r="908" spans="1:14">
      <c r="A908" s="28">
        <v>891</v>
      </c>
      <c r="B908" t="s">
        <v>989</v>
      </c>
      <c r="C908" t="s">
        <v>347</v>
      </c>
      <c r="D908">
        <v>57.46</v>
      </c>
      <c r="E908">
        <v>2622.32</v>
      </c>
      <c r="F908">
        <v>11.34</v>
      </c>
      <c r="G908">
        <v>-57.29</v>
      </c>
      <c r="H908">
        <v>3.4</v>
      </c>
      <c r="I908">
        <v>5.63</v>
      </c>
      <c r="J908">
        <v>8194.26</v>
      </c>
      <c r="K908">
        <v>157310.48000000001</v>
      </c>
      <c r="L908">
        <v>10.14</v>
      </c>
      <c r="M908">
        <v>0.53</v>
      </c>
      <c r="N908">
        <v>22.86</v>
      </c>
    </row>
    <row r="909" spans="1:14">
      <c r="A909" s="28">
        <v>545</v>
      </c>
      <c r="B909" t="s">
        <v>2315</v>
      </c>
      <c r="C909" t="s">
        <v>348</v>
      </c>
      <c r="D909">
        <v>57.69</v>
      </c>
      <c r="E909">
        <v>423.34</v>
      </c>
      <c r="F909">
        <v>23.79</v>
      </c>
      <c r="G909">
        <v>13.71</v>
      </c>
      <c r="H909">
        <v>8.27</v>
      </c>
      <c r="I909">
        <v>15.25</v>
      </c>
      <c r="J909">
        <v>276.49</v>
      </c>
      <c r="K909">
        <v>2616.7199999999998</v>
      </c>
      <c r="L909">
        <v>56.02</v>
      </c>
      <c r="M909">
        <v>5.92</v>
      </c>
      <c r="N909">
        <v>38.25</v>
      </c>
    </row>
    <row r="910" spans="1:14">
      <c r="A910" s="28">
        <v>764</v>
      </c>
      <c r="B910" t="s">
        <v>1751</v>
      </c>
      <c r="C910" t="s">
        <v>347</v>
      </c>
      <c r="D910">
        <v>57.94</v>
      </c>
      <c r="E910">
        <v>3000.21</v>
      </c>
      <c r="F910">
        <v>15.09</v>
      </c>
      <c r="G910">
        <v>-32.14</v>
      </c>
      <c r="H910">
        <v>2.14</v>
      </c>
      <c r="I910">
        <v>3.3</v>
      </c>
      <c r="J910">
        <v>493.44</v>
      </c>
      <c r="K910">
        <v>15501.03</v>
      </c>
      <c r="L910">
        <v>99.91</v>
      </c>
      <c r="M910">
        <v>3.18</v>
      </c>
      <c r="N910">
        <v>125.39</v>
      </c>
    </row>
    <row r="911" spans="1:14">
      <c r="A911" s="28">
        <v>1112</v>
      </c>
      <c r="B911" t="s">
        <v>162</v>
      </c>
      <c r="C911" t="s">
        <v>347</v>
      </c>
      <c r="D911">
        <v>58.24</v>
      </c>
      <c r="E911">
        <v>1980</v>
      </c>
      <c r="F911">
        <v>6.6</v>
      </c>
      <c r="G911">
        <v>-13.68</v>
      </c>
      <c r="H911">
        <v>4.58</v>
      </c>
      <c r="I911">
        <v>6.99</v>
      </c>
      <c r="J911">
        <v>1360.13</v>
      </c>
      <c r="K911">
        <v>20799.96</v>
      </c>
      <c r="L911">
        <v>15.88</v>
      </c>
      <c r="M911">
        <v>1.04</v>
      </c>
      <c r="N911">
        <v>11.18</v>
      </c>
    </row>
    <row r="912" spans="1:14">
      <c r="A912" s="28">
        <v>618</v>
      </c>
      <c r="B912" t="s">
        <v>1787</v>
      </c>
      <c r="C912" t="s">
        <v>348</v>
      </c>
      <c r="D912">
        <v>58.46</v>
      </c>
      <c r="E912">
        <v>786.9</v>
      </c>
      <c r="F912">
        <v>19.95</v>
      </c>
      <c r="G912" t="s">
        <v>2788</v>
      </c>
      <c r="H912">
        <v>-15.6</v>
      </c>
      <c r="I912">
        <v>-22.1</v>
      </c>
      <c r="J912">
        <v>-1099.99</v>
      </c>
      <c r="K912">
        <v>4434.49</v>
      </c>
      <c r="M912">
        <v>2.93</v>
      </c>
      <c r="N912">
        <v>272.95</v>
      </c>
    </row>
    <row r="913" spans="1:14">
      <c r="A913" s="28">
        <v>913</v>
      </c>
      <c r="B913" t="s">
        <v>1886</v>
      </c>
      <c r="C913" t="s">
        <v>348</v>
      </c>
      <c r="D913">
        <v>58.51</v>
      </c>
      <c r="E913">
        <v>80.62</v>
      </c>
      <c r="F913">
        <v>11.01</v>
      </c>
      <c r="G913">
        <v>-67.97</v>
      </c>
      <c r="H913">
        <v>2.79</v>
      </c>
      <c r="I913">
        <v>4.7300000000000004</v>
      </c>
      <c r="J913">
        <v>45.76</v>
      </c>
      <c r="K913">
        <v>903.12</v>
      </c>
      <c r="L913">
        <v>53.87</v>
      </c>
      <c r="M913">
        <v>2.73</v>
      </c>
    </row>
    <row r="914" spans="1:14">
      <c r="A914" s="28">
        <v>228</v>
      </c>
      <c r="B914" t="s">
        <v>462</v>
      </c>
      <c r="C914" t="s">
        <v>347</v>
      </c>
      <c r="D914">
        <v>58.67</v>
      </c>
      <c r="E914">
        <v>629.36</v>
      </c>
      <c r="F914">
        <v>49.6</v>
      </c>
      <c r="G914">
        <v>74.819999999999993</v>
      </c>
      <c r="H914">
        <v>0.98</v>
      </c>
      <c r="I914">
        <v>1.46</v>
      </c>
      <c r="J914">
        <v>98.9</v>
      </c>
      <c r="K914">
        <v>7293.57</v>
      </c>
      <c r="L914">
        <v>24.01</v>
      </c>
      <c r="M914">
        <v>0.33</v>
      </c>
    </row>
    <row r="915" spans="1:14">
      <c r="A915" s="28">
        <v>195</v>
      </c>
      <c r="B915" t="s">
        <v>2576</v>
      </c>
      <c r="C915" t="s">
        <v>348</v>
      </c>
      <c r="D915">
        <v>58.75</v>
      </c>
      <c r="E915">
        <v>570.45000000000005</v>
      </c>
      <c r="F915">
        <v>57.39</v>
      </c>
      <c r="G915" t="s">
        <v>350</v>
      </c>
      <c r="H915">
        <v>2.1800000000000002</v>
      </c>
      <c r="I915">
        <v>3.54</v>
      </c>
      <c r="J915">
        <v>22.21</v>
      </c>
      <c r="K915">
        <v>670.45</v>
      </c>
      <c r="L915">
        <v>65.5</v>
      </c>
      <c r="M915">
        <v>2.17</v>
      </c>
      <c r="N915">
        <v>265.66000000000003</v>
      </c>
    </row>
    <row r="916" spans="1:14">
      <c r="A916" s="28">
        <v>517</v>
      </c>
      <c r="B916" t="s">
        <v>661</v>
      </c>
      <c r="C916" t="s">
        <v>348</v>
      </c>
      <c r="D916">
        <v>58.76</v>
      </c>
      <c r="E916">
        <v>2748.78</v>
      </c>
      <c r="F916">
        <v>24.81</v>
      </c>
      <c r="G916">
        <v>55.68</v>
      </c>
      <c r="H916">
        <v>4.49</v>
      </c>
      <c r="I916">
        <v>7.1</v>
      </c>
      <c r="J916">
        <v>194.56</v>
      </c>
      <c r="K916">
        <v>2848.78</v>
      </c>
      <c r="L916">
        <v>7.53</v>
      </c>
      <c r="M916">
        <v>0.51</v>
      </c>
      <c r="N916">
        <v>3.26</v>
      </c>
    </row>
    <row r="917" spans="1:14">
      <c r="A917" s="28">
        <v>93</v>
      </c>
      <c r="B917" t="s">
        <v>1974</v>
      </c>
      <c r="C917" t="s">
        <v>348</v>
      </c>
      <c r="D917">
        <v>58.8</v>
      </c>
      <c r="E917">
        <v>5.87</v>
      </c>
      <c r="F917">
        <v>116.69</v>
      </c>
      <c r="G917" t="s">
        <v>2788</v>
      </c>
      <c r="H917">
        <v>-25.97</v>
      </c>
      <c r="I917">
        <v>-36.28</v>
      </c>
      <c r="J917">
        <v>-181.34</v>
      </c>
      <c r="K917">
        <v>529.35</v>
      </c>
      <c r="M917">
        <v>0.8</v>
      </c>
      <c r="N917">
        <v>14.14</v>
      </c>
    </row>
    <row r="918" spans="1:14">
      <c r="A918" s="28">
        <v>973</v>
      </c>
      <c r="B918" t="s">
        <v>1562</v>
      </c>
      <c r="C918" t="s">
        <v>347</v>
      </c>
      <c r="D918">
        <v>58.91</v>
      </c>
      <c r="E918">
        <v>11058.09</v>
      </c>
      <c r="F918">
        <v>9.69</v>
      </c>
      <c r="G918" t="s">
        <v>349</v>
      </c>
      <c r="H918">
        <v>-5.22</v>
      </c>
      <c r="I918">
        <v>-7.97</v>
      </c>
      <c r="J918">
        <v>-4570.47</v>
      </c>
      <c r="K918">
        <v>55790.45</v>
      </c>
      <c r="M918">
        <v>4.1900000000000004</v>
      </c>
      <c r="N918">
        <v>158.46</v>
      </c>
    </row>
    <row r="919" spans="1:14">
      <c r="A919" s="28">
        <v>217</v>
      </c>
      <c r="B919" t="s">
        <v>2424</v>
      </c>
      <c r="C919" t="s">
        <v>348</v>
      </c>
      <c r="D919">
        <v>58.97</v>
      </c>
      <c r="E919">
        <v>60.26</v>
      </c>
      <c r="F919">
        <v>52.98</v>
      </c>
      <c r="G919" t="s">
        <v>2788</v>
      </c>
      <c r="H919">
        <v>-58.16</v>
      </c>
      <c r="I919">
        <v>-84.43</v>
      </c>
      <c r="J919">
        <v>-1058.79</v>
      </c>
      <c r="K919">
        <v>801.28</v>
      </c>
      <c r="M919">
        <v>8.4</v>
      </c>
    </row>
    <row r="920" spans="1:14">
      <c r="A920" s="28">
        <v>489</v>
      </c>
      <c r="B920" t="s">
        <v>620</v>
      </c>
      <c r="C920" t="s">
        <v>347</v>
      </c>
      <c r="D920">
        <v>59.07</v>
      </c>
      <c r="E920">
        <v>1446.23</v>
      </c>
      <c r="F920">
        <v>26.09</v>
      </c>
      <c r="G920">
        <v>312.99</v>
      </c>
      <c r="H920">
        <v>16.260000000000002</v>
      </c>
      <c r="I920">
        <v>27.13</v>
      </c>
      <c r="J920">
        <v>19902.61</v>
      </c>
      <c r="K920">
        <v>82276.52</v>
      </c>
      <c r="L920">
        <v>5.0199999999999996</v>
      </c>
      <c r="M920">
        <v>1.22</v>
      </c>
      <c r="N920">
        <v>5.1100000000000003</v>
      </c>
    </row>
    <row r="921" spans="1:14">
      <c r="A921" s="28">
        <v>91</v>
      </c>
      <c r="B921" t="s">
        <v>981</v>
      </c>
      <c r="C921" t="s">
        <v>348</v>
      </c>
      <c r="D921">
        <v>59.31</v>
      </c>
      <c r="E921">
        <v>1160.77</v>
      </c>
      <c r="F921">
        <v>120.82</v>
      </c>
      <c r="G921">
        <v>90.06</v>
      </c>
      <c r="H921">
        <v>21.04</v>
      </c>
      <c r="I921">
        <v>39.17</v>
      </c>
      <c r="J921">
        <v>2132.3000000000002</v>
      </c>
      <c r="K921">
        <v>6303.84</v>
      </c>
      <c r="N921">
        <v>0</v>
      </c>
    </row>
    <row r="922" spans="1:14">
      <c r="A922" s="28">
        <v>119</v>
      </c>
      <c r="B922" t="s">
        <v>1848</v>
      </c>
      <c r="C922" t="s">
        <v>348</v>
      </c>
      <c r="D922">
        <v>59.41</v>
      </c>
      <c r="E922">
        <v>0.72</v>
      </c>
      <c r="F922">
        <v>88.6</v>
      </c>
      <c r="G922" t="s">
        <v>2788</v>
      </c>
      <c r="H922">
        <v>-68.349999999999994</v>
      </c>
      <c r="I922">
        <v>-90.68</v>
      </c>
      <c r="J922">
        <v>-741.47</v>
      </c>
      <c r="K922">
        <v>467.69</v>
      </c>
    </row>
    <row r="923" spans="1:14">
      <c r="A923" s="28">
        <v>46</v>
      </c>
      <c r="B923" t="s">
        <v>1770</v>
      </c>
      <c r="C923" t="s">
        <v>348</v>
      </c>
      <c r="D923">
        <v>59.62</v>
      </c>
      <c r="E923">
        <v>22.25</v>
      </c>
      <c r="F923">
        <v>208.49</v>
      </c>
      <c r="G923" t="s">
        <v>2788</v>
      </c>
      <c r="H923">
        <v>-41.43</v>
      </c>
      <c r="I923">
        <v>-60.27</v>
      </c>
      <c r="J923">
        <v>-500.69</v>
      </c>
      <c r="K923">
        <v>619.57000000000005</v>
      </c>
      <c r="M923">
        <v>2.13</v>
      </c>
    </row>
    <row r="924" spans="1:14">
      <c r="A924" s="28">
        <v>759</v>
      </c>
      <c r="B924" t="s">
        <v>1171</v>
      </c>
      <c r="C924" t="s">
        <v>348</v>
      </c>
      <c r="D924">
        <v>59.74</v>
      </c>
      <c r="E924">
        <v>2360.1799999999998</v>
      </c>
      <c r="F924">
        <v>15.22</v>
      </c>
      <c r="G924">
        <v>19.54</v>
      </c>
      <c r="H924">
        <v>5.21</v>
      </c>
      <c r="I924">
        <v>8.44</v>
      </c>
      <c r="J924">
        <v>996.98</v>
      </c>
      <c r="K924">
        <v>12300.89</v>
      </c>
      <c r="L924">
        <v>6.62</v>
      </c>
      <c r="M924">
        <v>0.54</v>
      </c>
      <c r="N924">
        <v>2.39</v>
      </c>
    </row>
    <row r="925" spans="1:14">
      <c r="A925" s="28">
        <v>831</v>
      </c>
      <c r="B925" t="s">
        <v>1920</v>
      </c>
      <c r="C925" t="s">
        <v>348</v>
      </c>
      <c r="D925">
        <v>59.83</v>
      </c>
      <c r="E925">
        <v>733.58</v>
      </c>
      <c r="F925">
        <v>13.27</v>
      </c>
      <c r="G925" t="s">
        <v>350</v>
      </c>
      <c r="H925">
        <v>1.98</v>
      </c>
      <c r="I925">
        <v>3.16</v>
      </c>
      <c r="J925">
        <v>130.07</v>
      </c>
      <c r="K925">
        <v>4167.8900000000003</v>
      </c>
      <c r="L925">
        <v>23.49</v>
      </c>
      <c r="M925">
        <v>0.73</v>
      </c>
      <c r="N925">
        <v>9.43</v>
      </c>
    </row>
    <row r="926" spans="1:14">
      <c r="A926" s="28">
        <v>546</v>
      </c>
      <c r="B926" t="s">
        <v>1976</v>
      </c>
      <c r="C926" t="s">
        <v>348</v>
      </c>
      <c r="D926">
        <v>59.89</v>
      </c>
      <c r="E926">
        <v>1161.6300000000001</v>
      </c>
      <c r="F926">
        <v>23.71</v>
      </c>
      <c r="G926">
        <v>4.5199999999999996</v>
      </c>
      <c r="H926">
        <v>13.12</v>
      </c>
      <c r="I926">
        <v>21.53</v>
      </c>
      <c r="J926">
        <v>210.99</v>
      </c>
      <c r="K926">
        <v>1109.8599999999999</v>
      </c>
      <c r="N926">
        <v>0</v>
      </c>
    </row>
    <row r="927" spans="1:14">
      <c r="A927" s="28">
        <v>168</v>
      </c>
      <c r="B927" t="s">
        <v>1370</v>
      </c>
      <c r="C927" t="s">
        <v>347</v>
      </c>
      <c r="D927">
        <v>591.42999999999995</v>
      </c>
      <c r="E927">
        <v>139.76</v>
      </c>
      <c r="F927">
        <v>64.62</v>
      </c>
      <c r="G927">
        <v>18.28</v>
      </c>
      <c r="H927">
        <v>0.7</v>
      </c>
      <c r="I927">
        <v>4.68</v>
      </c>
      <c r="J927">
        <v>552.53</v>
      </c>
      <c r="K927">
        <v>11988.13</v>
      </c>
      <c r="L927">
        <v>43.98</v>
      </c>
      <c r="M927">
        <v>2.0299999999999998</v>
      </c>
    </row>
    <row r="928" spans="1:14">
      <c r="A928" s="28">
        <v>1083</v>
      </c>
      <c r="B928" t="s">
        <v>1737</v>
      </c>
      <c r="C928" t="s">
        <v>348</v>
      </c>
      <c r="D928">
        <v>6.04</v>
      </c>
      <c r="E928">
        <v>222.38</v>
      </c>
      <c r="F928">
        <v>7.37</v>
      </c>
      <c r="G928">
        <v>-48.52</v>
      </c>
      <c r="H928">
        <v>6.11</v>
      </c>
      <c r="I928">
        <v>6.47</v>
      </c>
      <c r="J928">
        <v>101</v>
      </c>
      <c r="K928">
        <v>1611.9</v>
      </c>
      <c r="L928">
        <v>17.73</v>
      </c>
      <c r="M928">
        <v>1.1100000000000001</v>
      </c>
      <c r="N928">
        <v>20.23</v>
      </c>
    </row>
    <row r="929" spans="1:14">
      <c r="A929" s="28">
        <v>927</v>
      </c>
      <c r="B929" t="s">
        <v>2361</v>
      </c>
      <c r="C929" t="s">
        <v>348</v>
      </c>
      <c r="D929">
        <v>6.15</v>
      </c>
      <c r="E929">
        <v>69.52</v>
      </c>
      <c r="F929">
        <v>10.6</v>
      </c>
      <c r="G929">
        <v>-68.599999999999994</v>
      </c>
      <c r="H929">
        <v>3.39</v>
      </c>
      <c r="I929">
        <v>3.63</v>
      </c>
      <c r="J929">
        <v>30.26</v>
      </c>
      <c r="K929">
        <v>847.58</v>
      </c>
      <c r="L929">
        <v>42.97</v>
      </c>
      <c r="M929">
        <v>1.53</v>
      </c>
      <c r="N929">
        <v>31.78</v>
      </c>
    </row>
    <row r="930" spans="1:14">
      <c r="A930" s="28">
        <v>1032</v>
      </c>
      <c r="B930" t="s">
        <v>1603</v>
      </c>
      <c r="C930" t="s">
        <v>348</v>
      </c>
      <c r="D930">
        <v>6.24</v>
      </c>
      <c r="E930">
        <v>512.42999999999995</v>
      </c>
      <c r="F930">
        <v>8.39</v>
      </c>
      <c r="G930" t="s">
        <v>2788</v>
      </c>
      <c r="H930">
        <v>-9.27</v>
      </c>
      <c r="I930">
        <v>-9.91</v>
      </c>
      <c r="J930">
        <v>-318.10000000000002</v>
      </c>
      <c r="K930">
        <v>3062.16</v>
      </c>
      <c r="M930">
        <v>3.45</v>
      </c>
    </row>
    <row r="931" spans="1:14">
      <c r="A931" s="28">
        <v>539</v>
      </c>
      <c r="B931" t="s">
        <v>572</v>
      </c>
      <c r="C931" t="s">
        <v>348</v>
      </c>
      <c r="D931">
        <v>6.58</v>
      </c>
      <c r="E931">
        <v>2563.42</v>
      </c>
      <c r="F931">
        <v>24.02</v>
      </c>
      <c r="G931">
        <v>-5.32</v>
      </c>
      <c r="H931">
        <v>23.91</v>
      </c>
      <c r="I931">
        <v>26.22</v>
      </c>
      <c r="J931">
        <v>549.1</v>
      </c>
      <c r="K931">
        <v>2663.42</v>
      </c>
      <c r="L931">
        <v>21.67</v>
      </c>
      <c r="M931">
        <v>4.47</v>
      </c>
      <c r="N931">
        <v>19.87</v>
      </c>
    </row>
    <row r="932" spans="1:14">
      <c r="A932" s="28">
        <v>588</v>
      </c>
      <c r="B932" t="s">
        <v>1808</v>
      </c>
      <c r="C932" t="s">
        <v>348</v>
      </c>
      <c r="D932">
        <v>6.72</v>
      </c>
      <c r="E932">
        <v>8277.7099999999991</v>
      </c>
      <c r="F932">
        <v>21.49</v>
      </c>
      <c r="G932">
        <v>20.100000000000001</v>
      </c>
      <c r="H932">
        <v>14.56</v>
      </c>
      <c r="I932">
        <v>15.59</v>
      </c>
      <c r="J932">
        <v>1088.2</v>
      </c>
      <c r="K932">
        <v>8377.7099999999991</v>
      </c>
      <c r="L932">
        <v>10.86</v>
      </c>
      <c r="M932">
        <v>1.41</v>
      </c>
      <c r="N932">
        <v>10.73</v>
      </c>
    </row>
    <row r="933" spans="1:14">
      <c r="A933" s="28">
        <v>1072</v>
      </c>
      <c r="B933" t="s">
        <v>1601</v>
      </c>
      <c r="C933" t="s">
        <v>348</v>
      </c>
      <c r="D933">
        <v>6.84</v>
      </c>
      <c r="E933">
        <v>265.48</v>
      </c>
      <c r="F933">
        <v>7.64</v>
      </c>
      <c r="G933">
        <v>-65.819999999999993</v>
      </c>
      <c r="H933">
        <v>2.1800000000000002</v>
      </c>
      <c r="I933">
        <v>2.34</v>
      </c>
      <c r="J933">
        <v>38.14</v>
      </c>
      <c r="K933">
        <v>1827.4</v>
      </c>
      <c r="L933">
        <v>85.74</v>
      </c>
      <c r="M933">
        <v>1.79</v>
      </c>
      <c r="N933">
        <v>68.89</v>
      </c>
    </row>
    <row r="934" spans="1:14">
      <c r="A934" s="28">
        <v>861</v>
      </c>
      <c r="B934" t="s">
        <v>1877</v>
      </c>
      <c r="C934" t="s">
        <v>348</v>
      </c>
      <c r="D934">
        <v>6.91</v>
      </c>
      <c r="E934">
        <v>390.42</v>
      </c>
      <c r="F934">
        <v>12.14</v>
      </c>
      <c r="G934" t="s">
        <v>2788</v>
      </c>
      <c r="H934">
        <v>-4.72</v>
      </c>
      <c r="I934">
        <v>-5.33</v>
      </c>
      <c r="J934">
        <v>-118.57</v>
      </c>
      <c r="K934">
        <v>2452.11</v>
      </c>
      <c r="M934">
        <v>7.59</v>
      </c>
      <c r="N934">
        <v>279.45</v>
      </c>
    </row>
    <row r="935" spans="1:14">
      <c r="A935" s="28">
        <v>643</v>
      </c>
      <c r="B935" t="s">
        <v>883</v>
      </c>
      <c r="C935" t="s">
        <v>347</v>
      </c>
      <c r="D935">
        <v>6.96</v>
      </c>
      <c r="E935">
        <v>3775.89</v>
      </c>
      <c r="F935">
        <v>19.11</v>
      </c>
      <c r="G935">
        <v>41.87</v>
      </c>
      <c r="H935">
        <v>3.92</v>
      </c>
      <c r="I935">
        <v>4.21</v>
      </c>
      <c r="J935">
        <v>7790.12</v>
      </c>
      <c r="K935">
        <v>198786.45</v>
      </c>
      <c r="L935">
        <v>24</v>
      </c>
      <c r="M935">
        <v>0.94</v>
      </c>
      <c r="N935">
        <v>20.84</v>
      </c>
    </row>
    <row r="936" spans="1:14">
      <c r="A936" s="28">
        <v>744</v>
      </c>
      <c r="B936" t="s">
        <v>1800</v>
      </c>
      <c r="C936" t="s">
        <v>348</v>
      </c>
      <c r="D936">
        <v>60.05</v>
      </c>
      <c r="E936">
        <v>410.66</v>
      </c>
      <c r="F936">
        <v>15.68</v>
      </c>
      <c r="G936">
        <v>43.01</v>
      </c>
      <c r="H936">
        <v>11.87</v>
      </c>
      <c r="I936">
        <v>18.579999999999998</v>
      </c>
      <c r="J936">
        <v>441.54</v>
      </c>
      <c r="K936">
        <v>2553.2800000000002</v>
      </c>
      <c r="L936">
        <v>10.01</v>
      </c>
      <c r="M936">
        <v>1.73</v>
      </c>
      <c r="N936">
        <v>9.66</v>
      </c>
    </row>
    <row r="937" spans="1:14">
      <c r="A937" s="28">
        <v>877</v>
      </c>
      <c r="B937" t="s">
        <v>1102</v>
      </c>
      <c r="C937" t="s">
        <v>348</v>
      </c>
      <c r="D937">
        <v>60.12</v>
      </c>
      <c r="E937">
        <v>2278.1999999999998</v>
      </c>
      <c r="F937">
        <v>11.66</v>
      </c>
      <c r="G937">
        <v>261.77</v>
      </c>
      <c r="H937">
        <v>17.54</v>
      </c>
      <c r="I937">
        <v>28.03</v>
      </c>
      <c r="J937">
        <v>587.52</v>
      </c>
      <c r="K937">
        <v>2378.1999999999998</v>
      </c>
      <c r="L937">
        <v>3.37</v>
      </c>
      <c r="M937">
        <v>0.83</v>
      </c>
      <c r="N937">
        <v>2.86</v>
      </c>
    </row>
    <row r="938" spans="1:14">
      <c r="A938" s="28">
        <v>478</v>
      </c>
      <c r="B938" t="s">
        <v>2205</v>
      </c>
      <c r="C938" t="s">
        <v>348</v>
      </c>
      <c r="D938">
        <v>60.35</v>
      </c>
      <c r="E938">
        <v>481.66</v>
      </c>
      <c r="F938">
        <v>26.49</v>
      </c>
      <c r="G938" t="s">
        <v>2788</v>
      </c>
      <c r="H938">
        <v>-13.7</v>
      </c>
      <c r="I938">
        <v>-22.32</v>
      </c>
      <c r="J938">
        <v>-641.87</v>
      </c>
      <c r="K938">
        <v>2908.31</v>
      </c>
      <c r="M938">
        <v>5.23</v>
      </c>
    </row>
    <row r="939" spans="1:14">
      <c r="A939" s="28">
        <v>887</v>
      </c>
      <c r="B939" t="s">
        <v>619</v>
      </c>
      <c r="C939" t="s">
        <v>348</v>
      </c>
      <c r="D939">
        <v>60.38</v>
      </c>
      <c r="E939">
        <v>5499.24</v>
      </c>
      <c r="F939">
        <v>11.46</v>
      </c>
      <c r="G939">
        <v>69.86</v>
      </c>
      <c r="H939">
        <v>11.74</v>
      </c>
      <c r="I939">
        <v>20.420000000000002</v>
      </c>
      <c r="J939">
        <v>4365.8599999999997</v>
      </c>
      <c r="K939">
        <v>27996.22</v>
      </c>
      <c r="L939">
        <v>3.27</v>
      </c>
      <c r="M939">
        <v>0.51</v>
      </c>
      <c r="N939">
        <v>2.86</v>
      </c>
    </row>
    <row r="940" spans="1:14">
      <c r="A940" s="28">
        <v>293</v>
      </c>
      <c r="B940" t="s">
        <v>2052</v>
      </c>
      <c r="C940" t="s">
        <v>348</v>
      </c>
      <c r="D940">
        <v>60.43</v>
      </c>
      <c r="E940">
        <v>6951.99</v>
      </c>
      <c r="F940">
        <v>41.68</v>
      </c>
      <c r="G940" t="s">
        <v>2788</v>
      </c>
      <c r="H940">
        <v>-19.72</v>
      </c>
      <c r="I940">
        <v>-69.849999999999994</v>
      </c>
      <c r="J940">
        <v>-1634.83</v>
      </c>
      <c r="K940">
        <v>2712.31</v>
      </c>
    </row>
    <row r="941" spans="1:14">
      <c r="A941" s="28">
        <v>814</v>
      </c>
      <c r="B941" t="s">
        <v>2705</v>
      </c>
      <c r="C941" t="s">
        <v>348</v>
      </c>
      <c r="D941">
        <v>60.43</v>
      </c>
      <c r="E941">
        <v>265.75</v>
      </c>
      <c r="F941">
        <v>13.68</v>
      </c>
      <c r="G941" t="s">
        <v>2788</v>
      </c>
      <c r="H941">
        <v>-13.63</v>
      </c>
      <c r="I941">
        <v>-33.549999999999997</v>
      </c>
      <c r="J941">
        <v>-506.25</v>
      </c>
      <c r="K941">
        <v>1828.76</v>
      </c>
      <c r="M941">
        <v>3.6</v>
      </c>
    </row>
    <row r="942" spans="1:14">
      <c r="A942" s="28">
        <v>756</v>
      </c>
      <c r="B942" t="s">
        <v>1819</v>
      </c>
      <c r="C942" t="s">
        <v>348</v>
      </c>
      <c r="D942">
        <v>60.47</v>
      </c>
      <c r="E942">
        <v>142.88999999999999</v>
      </c>
      <c r="F942">
        <v>15.26</v>
      </c>
      <c r="G942">
        <v>-98</v>
      </c>
      <c r="H942">
        <v>0.18</v>
      </c>
      <c r="I942">
        <v>0.28999999999999998</v>
      </c>
      <c r="J942">
        <v>3.15</v>
      </c>
      <c r="K942">
        <v>1246.67</v>
      </c>
      <c r="L942">
        <v>910.88</v>
      </c>
      <c r="M942">
        <v>2.2999999999999998</v>
      </c>
      <c r="N942">
        <v>57.13</v>
      </c>
    </row>
    <row r="943" spans="1:14">
      <c r="A943" s="28">
        <v>969</v>
      </c>
      <c r="B943" t="s">
        <v>2864</v>
      </c>
      <c r="C943" t="s">
        <v>348</v>
      </c>
      <c r="D943">
        <v>60.55</v>
      </c>
      <c r="E943">
        <v>3467.19</v>
      </c>
      <c r="F943">
        <v>9.75</v>
      </c>
      <c r="H943">
        <v>13.11</v>
      </c>
      <c r="I943">
        <v>22.26</v>
      </c>
      <c r="N943">
        <v>0</v>
      </c>
    </row>
    <row r="944" spans="1:14">
      <c r="A944" s="28">
        <v>353</v>
      </c>
      <c r="B944" t="s">
        <v>195</v>
      </c>
      <c r="C944" t="s">
        <v>347</v>
      </c>
      <c r="D944">
        <v>60.55</v>
      </c>
      <c r="E944">
        <v>857.4</v>
      </c>
      <c r="F944">
        <v>35.33</v>
      </c>
      <c r="G944">
        <v>46.22</v>
      </c>
      <c r="H944">
        <v>11.21</v>
      </c>
      <c r="I944">
        <v>18.75</v>
      </c>
      <c r="J944">
        <v>1514.6</v>
      </c>
      <c r="K944">
        <v>9574.02</v>
      </c>
      <c r="L944">
        <v>3.98</v>
      </c>
      <c r="M944">
        <v>0.63</v>
      </c>
      <c r="N944">
        <v>2.34</v>
      </c>
    </row>
    <row r="945" spans="1:14">
      <c r="A945" s="28">
        <v>1010</v>
      </c>
      <c r="B945" t="s">
        <v>1289</v>
      </c>
      <c r="C945" t="s">
        <v>348</v>
      </c>
      <c r="D945">
        <v>60.66</v>
      </c>
      <c r="E945">
        <v>2530.8200000000002</v>
      </c>
      <c r="F945">
        <v>8.94</v>
      </c>
      <c r="G945">
        <v>80.94</v>
      </c>
      <c r="H945">
        <v>4.5599999999999996</v>
      </c>
      <c r="I945">
        <v>6.87</v>
      </c>
      <c r="J945">
        <v>876.64</v>
      </c>
      <c r="K945">
        <v>13154.12</v>
      </c>
      <c r="L945">
        <v>22.99</v>
      </c>
      <c r="M945">
        <v>1.53</v>
      </c>
      <c r="N945">
        <v>9.51</v>
      </c>
    </row>
    <row r="946" spans="1:14">
      <c r="A946" s="28">
        <v>952</v>
      </c>
      <c r="B946" t="s">
        <v>104</v>
      </c>
      <c r="C946" t="s">
        <v>347</v>
      </c>
      <c r="D946">
        <v>60.93</v>
      </c>
      <c r="E946">
        <v>1532.9</v>
      </c>
      <c r="F946">
        <v>10.14</v>
      </c>
      <c r="G946" t="s">
        <v>349</v>
      </c>
      <c r="H946">
        <v>-1.43</v>
      </c>
      <c r="I946">
        <v>-2.19</v>
      </c>
      <c r="J946">
        <v>-179.43</v>
      </c>
      <c r="K946">
        <v>8164.49</v>
      </c>
      <c r="M946">
        <v>1.58</v>
      </c>
      <c r="N946">
        <v>21.23</v>
      </c>
    </row>
    <row r="947" spans="1:14">
      <c r="A947" s="28">
        <v>475</v>
      </c>
      <c r="B947" t="s">
        <v>1039</v>
      </c>
      <c r="C947" t="s">
        <v>348</v>
      </c>
      <c r="D947">
        <v>61.28</v>
      </c>
      <c r="E947">
        <v>1360.12</v>
      </c>
      <c r="F947">
        <v>26.66</v>
      </c>
      <c r="G947">
        <v>8.99</v>
      </c>
      <c r="H947">
        <v>9.4499999999999993</v>
      </c>
      <c r="I947">
        <v>15.27</v>
      </c>
      <c r="J947">
        <v>1037.3399999999999</v>
      </c>
      <c r="K947">
        <v>7300.61</v>
      </c>
      <c r="L947">
        <v>5.98</v>
      </c>
      <c r="M947">
        <v>0.85</v>
      </c>
      <c r="N947">
        <v>4.3499999999999996</v>
      </c>
    </row>
    <row r="948" spans="1:14">
      <c r="A948" s="28">
        <v>616</v>
      </c>
      <c r="B948" t="s">
        <v>1675</v>
      </c>
      <c r="C948" t="s">
        <v>347</v>
      </c>
      <c r="D948">
        <v>61.38</v>
      </c>
      <c r="E948">
        <v>442.83</v>
      </c>
      <c r="F948">
        <v>20</v>
      </c>
      <c r="G948" t="s">
        <v>350</v>
      </c>
      <c r="H948">
        <v>3.5</v>
      </c>
      <c r="I948">
        <v>5.95</v>
      </c>
      <c r="J948">
        <v>152.22</v>
      </c>
      <c r="K948">
        <v>2714.14</v>
      </c>
      <c r="L948">
        <v>16.82</v>
      </c>
      <c r="M948">
        <v>0.94</v>
      </c>
      <c r="N948">
        <v>31.62</v>
      </c>
    </row>
    <row r="949" spans="1:14">
      <c r="A949" s="28">
        <v>583</v>
      </c>
      <c r="B949" t="s">
        <v>636</v>
      </c>
      <c r="C949" t="s">
        <v>348</v>
      </c>
      <c r="D949">
        <v>61.38</v>
      </c>
      <c r="E949">
        <v>391.6</v>
      </c>
      <c r="F949">
        <v>21.66</v>
      </c>
      <c r="G949">
        <v>11.45</v>
      </c>
      <c r="H949">
        <v>7.88</v>
      </c>
      <c r="I949">
        <v>12.91</v>
      </c>
      <c r="J949">
        <v>308.48</v>
      </c>
      <c r="K949">
        <v>2458.0100000000002</v>
      </c>
      <c r="L949">
        <v>18.41</v>
      </c>
      <c r="M949">
        <v>2.31</v>
      </c>
      <c r="N949">
        <v>8.6300000000000008</v>
      </c>
    </row>
    <row r="950" spans="1:14">
      <c r="A950" s="28">
        <v>450</v>
      </c>
      <c r="B950" t="s">
        <v>2561</v>
      </c>
      <c r="C950" t="s">
        <v>348</v>
      </c>
      <c r="D950">
        <v>61.46</v>
      </c>
      <c r="E950">
        <v>249.06</v>
      </c>
      <c r="F950">
        <v>28.28</v>
      </c>
      <c r="G950" t="s">
        <v>350</v>
      </c>
      <c r="H950">
        <v>24.61</v>
      </c>
      <c r="I950">
        <v>59.74</v>
      </c>
      <c r="J950">
        <v>268.86</v>
      </c>
      <c r="K950">
        <v>698.13</v>
      </c>
      <c r="L950">
        <v>4.97</v>
      </c>
      <c r="M950">
        <v>1.91</v>
      </c>
      <c r="N950">
        <v>14.81</v>
      </c>
    </row>
    <row r="951" spans="1:14">
      <c r="A951" s="28">
        <v>133</v>
      </c>
      <c r="B951" t="s">
        <v>1577</v>
      </c>
      <c r="C951" t="s">
        <v>348</v>
      </c>
      <c r="D951">
        <v>61.52</v>
      </c>
      <c r="E951">
        <v>1619.14</v>
      </c>
      <c r="F951">
        <v>80.53</v>
      </c>
      <c r="G951">
        <v>106.05</v>
      </c>
      <c r="H951">
        <v>25.95</v>
      </c>
      <c r="I951">
        <v>56.02</v>
      </c>
      <c r="J951">
        <v>599.05999999999995</v>
      </c>
      <c r="K951">
        <v>1565.84</v>
      </c>
      <c r="N951">
        <v>0</v>
      </c>
    </row>
    <row r="952" spans="1:14">
      <c r="A952" s="28">
        <v>774</v>
      </c>
      <c r="B952" t="s">
        <v>218</v>
      </c>
      <c r="C952" t="s">
        <v>347</v>
      </c>
      <c r="D952">
        <v>61.63</v>
      </c>
      <c r="E952">
        <v>820.47</v>
      </c>
      <c r="F952">
        <v>14.86</v>
      </c>
      <c r="G952">
        <v>-9.9499999999999993</v>
      </c>
      <c r="H952">
        <v>0.45</v>
      </c>
      <c r="I952">
        <v>0.72</v>
      </c>
      <c r="J952">
        <v>308.81</v>
      </c>
      <c r="K952">
        <v>46023.48</v>
      </c>
      <c r="L952">
        <v>28.24</v>
      </c>
      <c r="M952">
        <v>0.19</v>
      </c>
      <c r="N952">
        <v>23.21</v>
      </c>
    </row>
    <row r="953" spans="1:14">
      <c r="A953" s="28">
        <v>589</v>
      </c>
      <c r="B953" t="s">
        <v>1680</v>
      </c>
      <c r="C953" t="s">
        <v>348</v>
      </c>
      <c r="D953">
        <v>61.74</v>
      </c>
      <c r="E953">
        <v>1359.67</v>
      </c>
      <c r="F953">
        <v>21.43</v>
      </c>
      <c r="G953">
        <v>36.21</v>
      </c>
      <c r="H953">
        <v>7.63</v>
      </c>
      <c r="I953">
        <v>12.34</v>
      </c>
      <c r="J953">
        <v>843.3</v>
      </c>
      <c r="K953">
        <v>7565.09</v>
      </c>
      <c r="L953">
        <v>11.25</v>
      </c>
      <c r="M953">
        <v>1.25</v>
      </c>
      <c r="N953">
        <v>7.54</v>
      </c>
    </row>
    <row r="954" spans="1:14">
      <c r="A954" s="28">
        <v>746</v>
      </c>
      <c r="B954" t="s">
        <v>1895</v>
      </c>
      <c r="C954" t="s">
        <v>348</v>
      </c>
      <c r="D954">
        <v>61.95</v>
      </c>
      <c r="E954">
        <v>371.34</v>
      </c>
      <c r="F954">
        <v>15.65</v>
      </c>
      <c r="G954" t="s">
        <v>350</v>
      </c>
      <c r="H954">
        <v>0.33</v>
      </c>
      <c r="I954">
        <v>0.5</v>
      </c>
      <c r="J954">
        <v>10.3</v>
      </c>
      <c r="K954">
        <v>2356.7199999999998</v>
      </c>
      <c r="L954">
        <v>275.64</v>
      </c>
      <c r="M954">
        <v>1.21</v>
      </c>
      <c r="N954">
        <v>16.12</v>
      </c>
    </row>
    <row r="955" spans="1:14">
      <c r="A955" s="28">
        <v>920</v>
      </c>
      <c r="B955" t="s">
        <v>608</v>
      </c>
      <c r="C955" t="s">
        <v>348</v>
      </c>
      <c r="D955">
        <v>62.24</v>
      </c>
      <c r="E955">
        <v>855.34</v>
      </c>
      <c r="F955">
        <v>10.88</v>
      </c>
      <c r="G955">
        <v>22.22</v>
      </c>
      <c r="H955">
        <v>7.28</v>
      </c>
      <c r="I955">
        <v>12.8</v>
      </c>
      <c r="J955">
        <v>572.19000000000005</v>
      </c>
      <c r="K955">
        <v>4899.1899999999996</v>
      </c>
      <c r="L955">
        <v>7.01</v>
      </c>
      <c r="M955">
        <v>0.82</v>
      </c>
      <c r="N955">
        <v>14.27</v>
      </c>
    </row>
    <row r="956" spans="1:14">
      <c r="A956" s="28">
        <v>867</v>
      </c>
      <c r="B956" t="s">
        <v>727</v>
      </c>
      <c r="C956" t="s">
        <v>347</v>
      </c>
      <c r="D956">
        <v>62.27</v>
      </c>
      <c r="E956">
        <v>4111.07</v>
      </c>
      <c r="F956">
        <v>12.03</v>
      </c>
      <c r="G956" t="s">
        <v>2788</v>
      </c>
      <c r="H956">
        <v>-7.77</v>
      </c>
      <c r="I956">
        <v>-11.65</v>
      </c>
      <c r="J956">
        <v>-5202.5200000000004</v>
      </c>
      <c r="K956">
        <v>42110.720000000001</v>
      </c>
      <c r="M956">
        <v>0.49</v>
      </c>
    </row>
    <row r="957" spans="1:14">
      <c r="A957" s="28">
        <v>1067</v>
      </c>
      <c r="B957" t="s">
        <v>974</v>
      </c>
      <c r="C957" t="s">
        <v>347</v>
      </c>
      <c r="D957">
        <v>62.68</v>
      </c>
      <c r="E957">
        <v>1004.2</v>
      </c>
      <c r="F957">
        <v>7.82</v>
      </c>
      <c r="G957">
        <v>34.75</v>
      </c>
      <c r="H957">
        <v>3.94</v>
      </c>
      <c r="I957">
        <v>6.2</v>
      </c>
      <c r="J957">
        <v>610.24</v>
      </c>
      <c r="K957">
        <v>11041.99</v>
      </c>
      <c r="L957">
        <v>12.18</v>
      </c>
      <c r="M957">
        <v>0.67</v>
      </c>
      <c r="N957">
        <v>9.3800000000000008</v>
      </c>
    </row>
    <row r="958" spans="1:14">
      <c r="A958" s="28">
        <v>792</v>
      </c>
      <c r="B958" t="s">
        <v>2714</v>
      </c>
      <c r="C958" t="s">
        <v>348</v>
      </c>
      <c r="D958">
        <v>62.74</v>
      </c>
      <c r="E958">
        <v>818.55</v>
      </c>
      <c r="F958">
        <v>14.4</v>
      </c>
      <c r="G958">
        <v>9.77</v>
      </c>
      <c r="H958">
        <v>6.83</v>
      </c>
      <c r="I958">
        <v>12.33</v>
      </c>
      <c r="J958">
        <v>452.15</v>
      </c>
      <c r="K958">
        <v>4592.75</v>
      </c>
      <c r="L958">
        <v>21.79</v>
      </c>
      <c r="M958">
        <v>2.14</v>
      </c>
      <c r="N958">
        <v>24.95</v>
      </c>
    </row>
    <row r="959" spans="1:14">
      <c r="A959" s="28">
        <v>767</v>
      </c>
      <c r="B959" t="s">
        <v>2460</v>
      </c>
      <c r="C959" t="s">
        <v>348</v>
      </c>
      <c r="D959">
        <v>62.8</v>
      </c>
      <c r="E959">
        <v>1212.48</v>
      </c>
      <c r="F959">
        <v>15.05</v>
      </c>
      <c r="G959">
        <v>242.47</v>
      </c>
      <c r="H959">
        <v>3.8</v>
      </c>
      <c r="I959">
        <v>5.93</v>
      </c>
      <c r="J959">
        <v>377.65</v>
      </c>
      <c r="K959">
        <v>6562.4</v>
      </c>
      <c r="L959">
        <v>10.49</v>
      </c>
      <c r="M959">
        <v>0.6</v>
      </c>
      <c r="N959">
        <v>16.489999999999998</v>
      </c>
    </row>
    <row r="960" spans="1:14">
      <c r="A960" s="28">
        <v>452</v>
      </c>
      <c r="B960" t="s">
        <v>1712</v>
      </c>
      <c r="C960" t="s">
        <v>348</v>
      </c>
      <c r="D960">
        <v>62.82</v>
      </c>
      <c r="E960">
        <v>158.77000000000001</v>
      </c>
      <c r="F960">
        <v>28.21</v>
      </c>
      <c r="G960">
        <v>222.13</v>
      </c>
      <c r="H960">
        <v>18.82</v>
      </c>
      <c r="I960">
        <v>31.81</v>
      </c>
      <c r="J960">
        <v>344.45</v>
      </c>
      <c r="K960">
        <v>1263.17</v>
      </c>
      <c r="L960">
        <v>8.57</v>
      </c>
      <c r="M960">
        <v>2.34</v>
      </c>
      <c r="N960">
        <v>9.52</v>
      </c>
    </row>
    <row r="961" spans="1:14">
      <c r="A961" s="28">
        <v>850</v>
      </c>
      <c r="B961" t="s">
        <v>2843</v>
      </c>
      <c r="C961" t="s">
        <v>348</v>
      </c>
      <c r="D961">
        <v>629.44000000000005</v>
      </c>
      <c r="F961">
        <v>12.61</v>
      </c>
      <c r="G961" t="s">
        <v>2788</v>
      </c>
      <c r="H961">
        <v>-35.590000000000003</v>
      </c>
      <c r="I961">
        <v>-183.13</v>
      </c>
      <c r="J961">
        <v>-491.31</v>
      </c>
      <c r="K961">
        <v>174.58</v>
      </c>
      <c r="M961">
        <v>22.54</v>
      </c>
    </row>
    <row r="962" spans="1:14">
      <c r="A962" s="28">
        <v>718</v>
      </c>
      <c r="B962" t="s">
        <v>1311</v>
      </c>
      <c r="C962" t="s">
        <v>347</v>
      </c>
      <c r="D962">
        <v>63.19</v>
      </c>
      <c r="E962">
        <v>312.01</v>
      </c>
      <c r="F962">
        <v>16.190000000000001</v>
      </c>
      <c r="G962">
        <v>101.67</v>
      </c>
      <c r="H962">
        <v>3.39</v>
      </c>
      <c r="I962">
        <v>5.49</v>
      </c>
      <c r="J962">
        <v>110.02</v>
      </c>
      <c r="K962">
        <v>2060.04</v>
      </c>
      <c r="L962">
        <v>24.22</v>
      </c>
      <c r="M962">
        <v>1.29</v>
      </c>
      <c r="N962">
        <v>16.100000000000001</v>
      </c>
    </row>
    <row r="963" spans="1:14">
      <c r="A963" s="28">
        <v>865</v>
      </c>
      <c r="B963" t="s">
        <v>1131</v>
      </c>
      <c r="C963" t="s">
        <v>347</v>
      </c>
      <c r="D963">
        <v>63.41</v>
      </c>
      <c r="E963">
        <v>722.8</v>
      </c>
      <c r="F963">
        <v>12.11</v>
      </c>
      <c r="G963">
        <v>-24.85</v>
      </c>
      <c r="H963">
        <v>3.35</v>
      </c>
      <c r="I963">
        <v>5.53</v>
      </c>
      <c r="J963">
        <v>259.68</v>
      </c>
      <c r="K963">
        <v>5014.8500000000004</v>
      </c>
      <c r="L963">
        <v>24.26</v>
      </c>
      <c r="M963">
        <v>1.26</v>
      </c>
      <c r="N963">
        <v>16.739999999999998</v>
      </c>
    </row>
    <row r="964" spans="1:14">
      <c r="A964" s="28">
        <v>966</v>
      </c>
      <c r="B964" t="s">
        <v>501</v>
      </c>
      <c r="C964" t="s">
        <v>347</v>
      </c>
      <c r="D964">
        <v>63.59</v>
      </c>
      <c r="E964">
        <v>306.8</v>
      </c>
      <c r="F964">
        <v>9.83</v>
      </c>
      <c r="G964">
        <v>13.6</v>
      </c>
      <c r="H964">
        <v>8.59</v>
      </c>
      <c r="I964">
        <v>14.74</v>
      </c>
      <c r="J964">
        <v>1374.84</v>
      </c>
      <c r="K964">
        <v>10169.92</v>
      </c>
      <c r="L964">
        <v>9.36</v>
      </c>
      <c r="M964">
        <v>1.27</v>
      </c>
      <c r="N964">
        <v>5.0599999999999996</v>
      </c>
    </row>
    <row r="965" spans="1:14">
      <c r="A965" s="28">
        <v>1118</v>
      </c>
      <c r="B965" t="s">
        <v>1699</v>
      </c>
      <c r="C965" t="s">
        <v>348</v>
      </c>
      <c r="D965">
        <v>63.77</v>
      </c>
      <c r="E965">
        <v>137.78</v>
      </c>
      <c r="F965">
        <v>6.48</v>
      </c>
      <c r="G965" t="s">
        <v>350</v>
      </c>
      <c r="H965">
        <v>3.41</v>
      </c>
      <c r="I965">
        <v>6.35</v>
      </c>
      <c r="J965">
        <v>73.37</v>
      </c>
      <c r="K965">
        <v>1188.92</v>
      </c>
      <c r="L965">
        <v>59.9</v>
      </c>
      <c r="M965">
        <v>3.7</v>
      </c>
      <c r="N965">
        <v>40.36</v>
      </c>
    </row>
    <row r="966" spans="1:14">
      <c r="A966" s="28">
        <v>296</v>
      </c>
      <c r="B966" t="s">
        <v>612</v>
      </c>
      <c r="C966" t="s">
        <v>347</v>
      </c>
      <c r="D966">
        <v>64</v>
      </c>
      <c r="E966">
        <v>5390.35</v>
      </c>
      <c r="F966">
        <v>41.45</v>
      </c>
      <c r="G966">
        <v>19.3</v>
      </c>
      <c r="H966">
        <v>4.59</v>
      </c>
      <c r="I966">
        <v>7.99</v>
      </c>
      <c r="J966">
        <v>4961.21</v>
      </c>
      <c r="K966">
        <v>54903.47</v>
      </c>
      <c r="L966">
        <v>9.9499999999999993</v>
      </c>
      <c r="M966">
        <v>0.9</v>
      </c>
      <c r="N966">
        <v>16.2</v>
      </c>
    </row>
    <row r="967" spans="1:14">
      <c r="A967" s="28">
        <v>264</v>
      </c>
      <c r="B967" t="s">
        <v>2696</v>
      </c>
      <c r="C967" t="s">
        <v>348</v>
      </c>
      <c r="D967">
        <v>64.36</v>
      </c>
      <c r="E967">
        <v>1605.22</v>
      </c>
      <c r="F967">
        <v>44.85</v>
      </c>
      <c r="G967">
        <v>-79.91</v>
      </c>
      <c r="H967">
        <v>4.51</v>
      </c>
      <c r="I967">
        <v>8.24</v>
      </c>
      <c r="J967">
        <v>116</v>
      </c>
      <c r="K967">
        <v>1705.22</v>
      </c>
      <c r="L967">
        <v>40.86</v>
      </c>
      <c r="M967">
        <v>2.78</v>
      </c>
      <c r="N967">
        <v>14.41</v>
      </c>
    </row>
    <row r="968" spans="1:14">
      <c r="A968" s="28">
        <v>1057</v>
      </c>
      <c r="B968" t="s">
        <v>594</v>
      </c>
      <c r="C968" t="s">
        <v>347</v>
      </c>
      <c r="D968">
        <v>64.92</v>
      </c>
      <c r="E968">
        <v>465.45</v>
      </c>
      <c r="F968">
        <v>7.96</v>
      </c>
      <c r="G968">
        <v>104.71</v>
      </c>
      <c r="H968">
        <v>9.57</v>
      </c>
      <c r="I968">
        <v>17.03</v>
      </c>
      <c r="J968">
        <v>456.49</v>
      </c>
      <c r="K968">
        <v>2827.23</v>
      </c>
      <c r="L968">
        <v>18.64</v>
      </c>
      <c r="M968">
        <v>3.01</v>
      </c>
      <c r="N968">
        <v>13.36</v>
      </c>
    </row>
    <row r="969" spans="1:14">
      <c r="A969" s="28">
        <v>526</v>
      </c>
      <c r="B969" t="s">
        <v>1663</v>
      </c>
      <c r="C969" t="s">
        <v>347</v>
      </c>
      <c r="D969">
        <v>644.16</v>
      </c>
      <c r="E969">
        <v>481.25</v>
      </c>
      <c r="F969">
        <v>24.47</v>
      </c>
      <c r="G969" t="s">
        <v>2788</v>
      </c>
      <c r="H969">
        <v>-2.41</v>
      </c>
      <c r="I969">
        <v>-15.96</v>
      </c>
      <c r="J969">
        <v>-5061.3900000000003</v>
      </c>
      <c r="K969">
        <v>29062.52</v>
      </c>
      <c r="M969">
        <v>0.65</v>
      </c>
    </row>
    <row r="970" spans="1:14">
      <c r="A970" s="28">
        <v>853</v>
      </c>
      <c r="B970" t="s">
        <v>1578</v>
      </c>
      <c r="C970" t="s">
        <v>348</v>
      </c>
      <c r="D970">
        <v>65.06</v>
      </c>
      <c r="E970">
        <v>135.37</v>
      </c>
      <c r="F970">
        <v>12.53</v>
      </c>
      <c r="G970" t="s">
        <v>2788</v>
      </c>
      <c r="H970">
        <v>-21.68</v>
      </c>
      <c r="I970">
        <v>-30.14</v>
      </c>
      <c r="J970">
        <v>-420.4</v>
      </c>
      <c r="K970">
        <v>1176.8499999999999</v>
      </c>
      <c r="M970">
        <v>5.85</v>
      </c>
    </row>
    <row r="971" spans="1:14">
      <c r="A971" s="28">
        <v>1037</v>
      </c>
      <c r="B971" t="s">
        <v>1030</v>
      </c>
      <c r="C971" t="s">
        <v>347</v>
      </c>
      <c r="D971">
        <v>65.25</v>
      </c>
      <c r="E971">
        <v>2318.87</v>
      </c>
      <c r="F971">
        <v>8.2899999999999991</v>
      </c>
      <c r="G971" t="s">
        <v>350</v>
      </c>
      <c r="H971">
        <v>2</v>
      </c>
      <c r="I971">
        <v>3.46</v>
      </c>
      <c r="J971">
        <v>4018.85</v>
      </c>
      <c r="K971">
        <v>120943.22</v>
      </c>
      <c r="L971">
        <v>16.2</v>
      </c>
      <c r="M971">
        <v>0.54</v>
      </c>
      <c r="N971">
        <v>5.9</v>
      </c>
    </row>
    <row r="972" spans="1:14">
      <c r="A972" s="28">
        <v>795</v>
      </c>
      <c r="B972" t="s">
        <v>2844</v>
      </c>
      <c r="C972" t="s">
        <v>348</v>
      </c>
      <c r="D972">
        <v>65.28</v>
      </c>
      <c r="E972">
        <v>655.52</v>
      </c>
      <c r="F972">
        <v>14.36</v>
      </c>
      <c r="G972">
        <v>-16.43</v>
      </c>
      <c r="H972">
        <v>4.9400000000000004</v>
      </c>
      <c r="I972">
        <v>8.4499999999999993</v>
      </c>
      <c r="J972">
        <v>310.05</v>
      </c>
      <c r="K972">
        <v>3777.61</v>
      </c>
      <c r="L972">
        <v>64.989999999999995</v>
      </c>
      <c r="M972">
        <v>5.33</v>
      </c>
      <c r="N972">
        <v>23.14</v>
      </c>
    </row>
    <row r="973" spans="1:14">
      <c r="A973" s="28">
        <v>625</v>
      </c>
      <c r="B973" t="s">
        <v>2578</v>
      </c>
      <c r="C973" t="s">
        <v>348</v>
      </c>
      <c r="D973">
        <v>65.290000000000006</v>
      </c>
      <c r="E973">
        <v>1058.74</v>
      </c>
      <c r="F973">
        <v>19.690000000000001</v>
      </c>
      <c r="G973" t="s">
        <v>350</v>
      </c>
      <c r="H973">
        <v>1.85</v>
      </c>
      <c r="I973">
        <v>3.17</v>
      </c>
      <c r="J973">
        <v>35.71</v>
      </c>
      <c r="K973">
        <v>1158.74</v>
      </c>
      <c r="L973">
        <v>23.44</v>
      </c>
      <c r="M973">
        <v>0.72</v>
      </c>
      <c r="N973">
        <v>13.83</v>
      </c>
    </row>
    <row r="974" spans="1:14">
      <c r="A974" s="28">
        <v>647</v>
      </c>
      <c r="B974" t="s">
        <v>1911</v>
      </c>
      <c r="C974" t="s">
        <v>348</v>
      </c>
      <c r="D974">
        <v>65.31</v>
      </c>
      <c r="E974">
        <v>1691.43</v>
      </c>
      <c r="F974">
        <v>19.04</v>
      </c>
      <c r="G974">
        <v>-64.48</v>
      </c>
      <c r="H974">
        <v>1.71</v>
      </c>
      <c r="I974">
        <v>2.8</v>
      </c>
      <c r="J974">
        <v>232.09</v>
      </c>
      <c r="K974">
        <v>8957.15</v>
      </c>
      <c r="L974">
        <v>98.45</v>
      </c>
      <c r="M974">
        <v>2.5499999999999998</v>
      </c>
      <c r="N974">
        <v>29.68</v>
      </c>
    </row>
    <row r="975" spans="1:14">
      <c r="A975" s="28">
        <v>944</v>
      </c>
      <c r="B975" t="s">
        <v>1796</v>
      </c>
      <c r="C975" t="s">
        <v>348</v>
      </c>
      <c r="D975">
        <v>65.319999999999993</v>
      </c>
      <c r="E975">
        <v>1028.44</v>
      </c>
      <c r="F975">
        <v>10.29</v>
      </c>
      <c r="G975" t="s">
        <v>2788</v>
      </c>
      <c r="H975">
        <v>-3.41</v>
      </c>
      <c r="I975">
        <v>-5.5</v>
      </c>
      <c r="J975">
        <v>-56.21</v>
      </c>
      <c r="K975">
        <v>1025.8499999999999</v>
      </c>
      <c r="M975">
        <v>6.2</v>
      </c>
      <c r="N975">
        <v>142.65</v>
      </c>
    </row>
    <row r="976" spans="1:14">
      <c r="A976" s="28">
        <v>798</v>
      </c>
      <c r="B976" t="s">
        <v>733</v>
      </c>
      <c r="C976" t="s">
        <v>348</v>
      </c>
      <c r="D976">
        <v>65.42</v>
      </c>
      <c r="E976">
        <v>3400.41</v>
      </c>
      <c r="F976">
        <v>14.21</v>
      </c>
      <c r="G976">
        <v>61.04</v>
      </c>
      <c r="H976">
        <v>2.31</v>
      </c>
      <c r="I976">
        <v>3.83</v>
      </c>
      <c r="J976">
        <v>599.27</v>
      </c>
      <c r="K976">
        <v>17502.03</v>
      </c>
      <c r="L976">
        <v>18.86</v>
      </c>
      <c r="M976">
        <v>0.65</v>
      </c>
      <c r="N976">
        <v>45.55</v>
      </c>
    </row>
    <row r="977" spans="1:14">
      <c r="A977" s="28">
        <v>417</v>
      </c>
      <c r="B977" t="s">
        <v>2411</v>
      </c>
      <c r="C977" t="s">
        <v>348</v>
      </c>
      <c r="D977">
        <v>65.540000000000006</v>
      </c>
      <c r="E977">
        <v>465.01</v>
      </c>
      <c r="F977">
        <v>30.47</v>
      </c>
      <c r="G977" t="s">
        <v>2788</v>
      </c>
      <c r="H977">
        <v>-7.02</v>
      </c>
      <c r="I977">
        <v>-12.83</v>
      </c>
      <c r="J977">
        <v>-128.81</v>
      </c>
      <c r="K977">
        <v>1130.02</v>
      </c>
      <c r="M977">
        <v>1.49</v>
      </c>
      <c r="N977">
        <v>30.41</v>
      </c>
    </row>
    <row r="978" spans="1:14">
      <c r="A978" s="28">
        <v>116</v>
      </c>
      <c r="B978" t="s">
        <v>2344</v>
      </c>
      <c r="C978" t="s">
        <v>348</v>
      </c>
      <c r="D978">
        <v>65.62</v>
      </c>
      <c r="E978">
        <v>2151.5</v>
      </c>
      <c r="F978">
        <v>92.21</v>
      </c>
      <c r="G978">
        <v>237.99</v>
      </c>
      <c r="H978">
        <v>17.690000000000001</v>
      </c>
      <c r="I978">
        <v>32.590000000000003</v>
      </c>
      <c r="J978">
        <v>3019.88</v>
      </c>
      <c r="K978">
        <v>11257.49</v>
      </c>
      <c r="L978">
        <v>12.25</v>
      </c>
      <c r="M978">
        <v>3.29</v>
      </c>
      <c r="N978">
        <v>7.91</v>
      </c>
    </row>
    <row r="979" spans="1:14">
      <c r="A979" s="28">
        <v>846</v>
      </c>
      <c r="B979" t="s">
        <v>1187</v>
      </c>
      <c r="C979" t="s">
        <v>347</v>
      </c>
      <c r="D979">
        <v>65.83</v>
      </c>
      <c r="E979">
        <v>1545.53</v>
      </c>
      <c r="F979">
        <v>12.75</v>
      </c>
      <c r="G979">
        <v>-17.68</v>
      </c>
      <c r="H979">
        <v>4.67</v>
      </c>
      <c r="I979">
        <v>7.88</v>
      </c>
      <c r="J979">
        <v>599.20000000000005</v>
      </c>
      <c r="K979">
        <v>8227.6299999999992</v>
      </c>
      <c r="L979">
        <v>19.84</v>
      </c>
      <c r="M979">
        <v>1.45</v>
      </c>
      <c r="N979">
        <v>9.2100000000000009</v>
      </c>
    </row>
    <row r="980" spans="1:14">
      <c r="A980" s="28">
        <v>670</v>
      </c>
      <c r="B980" t="s">
        <v>103</v>
      </c>
      <c r="C980" t="s">
        <v>347</v>
      </c>
      <c r="D980">
        <v>652.17999999999995</v>
      </c>
      <c r="E980">
        <v>299.49</v>
      </c>
      <c r="F980">
        <v>18.03</v>
      </c>
      <c r="G980">
        <v>26.11</v>
      </c>
      <c r="H980">
        <v>0.84</v>
      </c>
      <c r="I980">
        <v>6.23</v>
      </c>
      <c r="J980">
        <v>1240.95</v>
      </c>
      <c r="K980">
        <v>20314.89</v>
      </c>
      <c r="L980">
        <v>8.32</v>
      </c>
      <c r="M980">
        <v>0.51</v>
      </c>
    </row>
    <row r="981" spans="1:14">
      <c r="A981" s="28">
        <v>747</v>
      </c>
      <c r="B981" t="s">
        <v>291</v>
      </c>
      <c r="C981" t="s">
        <v>348</v>
      </c>
      <c r="D981">
        <v>659.52</v>
      </c>
      <c r="E981">
        <v>190.45</v>
      </c>
      <c r="F981">
        <v>15.63</v>
      </c>
      <c r="G981">
        <v>22.5</v>
      </c>
      <c r="H981">
        <v>1.92</v>
      </c>
      <c r="I981">
        <v>15.12</v>
      </c>
      <c r="J981">
        <v>206.25</v>
      </c>
      <c r="K981">
        <v>1452.23</v>
      </c>
      <c r="L981">
        <v>3.62</v>
      </c>
      <c r="M981">
        <v>0.51</v>
      </c>
    </row>
    <row r="982" spans="1:14">
      <c r="A982" s="28">
        <v>15</v>
      </c>
      <c r="B982" t="s">
        <v>1409</v>
      </c>
      <c r="C982" t="s">
        <v>347</v>
      </c>
      <c r="D982">
        <v>66.05</v>
      </c>
      <c r="E982">
        <v>2406.23</v>
      </c>
      <c r="F982">
        <v>639.20000000000005</v>
      </c>
      <c r="G982">
        <v>-49.33</v>
      </c>
      <c r="H982">
        <v>4.3099999999999996</v>
      </c>
      <c r="I982">
        <v>6.72</v>
      </c>
      <c r="J982">
        <v>831.04</v>
      </c>
      <c r="K982">
        <v>14035.43</v>
      </c>
      <c r="L982">
        <v>51.38</v>
      </c>
      <c r="M982">
        <v>3.04</v>
      </c>
    </row>
    <row r="983" spans="1:14">
      <c r="A983" s="28">
        <v>653</v>
      </c>
      <c r="B983" t="s">
        <v>1940</v>
      </c>
      <c r="C983" t="s">
        <v>348</v>
      </c>
      <c r="D983">
        <v>66.11</v>
      </c>
      <c r="E983">
        <v>18.7</v>
      </c>
      <c r="F983">
        <v>18.809999999999999</v>
      </c>
      <c r="G983" t="s">
        <v>2788</v>
      </c>
      <c r="H983">
        <v>-18.059999999999999</v>
      </c>
      <c r="I983">
        <v>-29.08</v>
      </c>
      <c r="J983">
        <v>-186.46</v>
      </c>
      <c r="K983">
        <v>593.52</v>
      </c>
      <c r="M983">
        <v>5.53</v>
      </c>
    </row>
    <row r="984" spans="1:14">
      <c r="A984" s="28">
        <v>55</v>
      </c>
      <c r="B984" t="s">
        <v>1879</v>
      </c>
      <c r="C984" t="s">
        <v>348</v>
      </c>
      <c r="D984">
        <v>66.69</v>
      </c>
      <c r="E984">
        <v>504.29</v>
      </c>
      <c r="F984">
        <v>187.32</v>
      </c>
      <c r="G984" t="s">
        <v>2788</v>
      </c>
      <c r="H984">
        <v>-18.47</v>
      </c>
      <c r="I984">
        <v>-26.32</v>
      </c>
      <c r="J984">
        <v>-836.4</v>
      </c>
      <c r="K984">
        <v>3021.45</v>
      </c>
      <c r="M984">
        <v>3.85</v>
      </c>
    </row>
    <row r="985" spans="1:14">
      <c r="A985" s="28">
        <v>563</v>
      </c>
      <c r="B985" t="s">
        <v>899</v>
      </c>
      <c r="C985" t="s">
        <v>347</v>
      </c>
      <c r="D985">
        <v>67.33</v>
      </c>
      <c r="E985">
        <v>208.95</v>
      </c>
      <c r="F985">
        <v>22.56</v>
      </c>
      <c r="G985">
        <v>34.4</v>
      </c>
      <c r="H985">
        <v>5.5</v>
      </c>
      <c r="I985">
        <v>8.93</v>
      </c>
      <c r="J985">
        <v>276.38</v>
      </c>
      <c r="K985">
        <v>3192.33</v>
      </c>
      <c r="L985">
        <v>14.87</v>
      </c>
      <c r="M985">
        <v>1.29</v>
      </c>
      <c r="N985">
        <v>16.010000000000002</v>
      </c>
    </row>
    <row r="986" spans="1:14">
      <c r="A986" s="28">
        <v>937</v>
      </c>
      <c r="B986" t="s">
        <v>2186</v>
      </c>
      <c r="C986" t="s">
        <v>348</v>
      </c>
      <c r="D986">
        <v>67.41</v>
      </c>
      <c r="F986">
        <v>10.4</v>
      </c>
      <c r="G986" t="s">
        <v>2788</v>
      </c>
      <c r="H986">
        <v>-11.32</v>
      </c>
      <c r="I986">
        <v>-18.05</v>
      </c>
      <c r="J986">
        <v>-1237.01</v>
      </c>
      <c r="K986">
        <v>6251.03</v>
      </c>
      <c r="M986">
        <v>1.57</v>
      </c>
    </row>
    <row r="987" spans="1:14">
      <c r="A987" s="28">
        <v>510</v>
      </c>
      <c r="B987" t="s">
        <v>802</v>
      </c>
      <c r="C987" t="s">
        <v>348</v>
      </c>
      <c r="D987">
        <v>67.48</v>
      </c>
      <c r="E987">
        <v>667</v>
      </c>
      <c r="F987">
        <v>25.34</v>
      </c>
      <c r="G987">
        <v>-29.09</v>
      </c>
      <c r="H987">
        <v>4.07</v>
      </c>
      <c r="I987">
        <v>6.54</v>
      </c>
      <c r="J987">
        <v>232.35</v>
      </c>
      <c r="K987">
        <v>3835</v>
      </c>
      <c r="L987">
        <v>26.43</v>
      </c>
      <c r="M987">
        <v>1.6</v>
      </c>
      <c r="N987">
        <v>7.62</v>
      </c>
    </row>
    <row r="988" spans="1:14">
      <c r="A988" s="28">
        <v>497</v>
      </c>
      <c r="B988" t="s">
        <v>2502</v>
      </c>
      <c r="C988" t="s">
        <v>348</v>
      </c>
      <c r="D988">
        <v>67.84</v>
      </c>
      <c r="E988">
        <v>345.08</v>
      </c>
      <c r="F988">
        <v>25.64</v>
      </c>
      <c r="G988" t="s">
        <v>350</v>
      </c>
      <c r="H988">
        <v>1.48</v>
      </c>
      <c r="I988">
        <v>2.57</v>
      </c>
      <c r="J988">
        <v>53.25</v>
      </c>
      <c r="K988">
        <v>2225.41</v>
      </c>
      <c r="L988">
        <v>59.43</v>
      </c>
      <c r="M988">
        <v>1.42</v>
      </c>
      <c r="N988">
        <v>10.92</v>
      </c>
    </row>
    <row r="989" spans="1:14">
      <c r="A989" s="28">
        <v>185</v>
      </c>
      <c r="B989" t="s">
        <v>2606</v>
      </c>
      <c r="C989" t="s">
        <v>347</v>
      </c>
      <c r="D989">
        <v>67.87</v>
      </c>
      <c r="E989">
        <v>55.91</v>
      </c>
      <c r="F989">
        <v>59.76</v>
      </c>
      <c r="G989" t="s">
        <v>2788</v>
      </c>
      <c r="H989">
        <v>-29.82</v>
      </c>
      <c r="I989">
        <v>-50.62</v>
      </c>
      <c r="J989">
        <v>-2013.45</v>
      </c>
      <c r="K989">
        <v>3897.77</v>
      </c>
      <c r="M989">
        <v>0.72</v>
      </c>
      <c r="N989">
        <v>26.56</v>
      </c>
    </row>
    <row r="990" spans="1:14">
      <c r="A990" s="28">
        <v>278</v>
      </c>
      <c r="B990" t="s">
        <v>1495</v>
      </c>
      <c r="C990" t="s">
        <v>348</v>
      </c>
      <c r="D990">
        <v>67.88</v>
      </c>
      <c r="E990">
        <v>414.88</v>
      </c>
      <c r="F990">
        <v>43.26</v>
      </c>
      <c r="G990">
        <v>146.97999999999999</v>
      </c>
      <c r="H990">
        <v>11.22</v>
      </c>
      <c r="I990">
        <v>20.41</v>
      </c>
      <c r="J990">
        <v>455.7</v>
      </c>
      <c r="K990">
        <v>2574.4</v>
      </c>
      <c r="L990">
        <v>13.82</v>
      </c>
      <c r="M990">
        <v>2.4500000000000002</v>
      </c>
      <c r="N990">
        <v>11.79</v>
      </c>
    </row>
    <row r="991" spans="1:14">
      <c r="A991" s="28">
        <v>348</v>
      </c>
      <c r="B991" t="s">
        <v>292</v>
      </c>
      <c r="C991" t="s">
        <v>348</v>
      </c>
      <c r="D991">
        <v>67.91</v>
      </c>
      <c r="E991">
        <v>5036.1099999999997</v>
      </c>
      <c r="F991">
        <v>35.82</v>
      </c>
      <c r="G991">
        <v>37.479999999999997</v>
      </c>
      <c r="H991">
        <v>27.34</v>
      </c>
      <c r="I991">
        <v>53.87</v>
      </c>
      <c r="J991">
        <v>2164.33</v>
      </c>
      <c r="K991">
        <v>5136.1099999999997</v>
      </c>
      <c r="L991">
        <v>2.0299999999999998</v>
      </c>
      <c r="M991">
        <v>0.85</v>
      </c>
      <c r="N991">
        <v>1.58</v>
      </c>
    </row>
    <row r="992" spans="1:14">
      <c r="A992" s="28">
        <v>626</v>
      </c>
      <c r="B992" t="s">
        <v>318</v>
      </c>
      <c r="C992" t="s">
        <v>348</v>
      </c>
      <c r="D992">
        <v>68.06</v>
      </c>
      <c r="E992">
        <v>6092.36</v>
      </c>
      <c r="F992">
        <v>19.64</v>
      </c>
      <c r="G992">
        <v>-51.83</v>
      </c>
      <c r="H992">
        <v>2.42</v>
      </c>
      <c r="I992">
        <v>3.59</v>
      </c>
      <c r="J992">
        <v>1016.55</v>
      </c>
      <c r="K992">
        <v>30961.79</v>
      </c>
      <c r="L992">
        <v>29.91</v>
      </c>
      <c r="M992">
        <v>0.98</v>
      </c>
      <c r="N992">
        <v>17.399999999999999</v>
      </c>
    </row>
    <row r="993" spans="1:14">
      <c r="A993" s="28">
        <v>329</v>
      </c>
      <c r="B993" t="s">
        <v>2543</v>
      </c>
      <c r="C993" t="s">
        <v>348</v>
      </c>
      <c r="D993">
        <v>68.069999999999993</v>
      </c>
      <c r="E993">
        <v>82.14</v>
      </c>
      <c r="F993">
        <v>37.86</v>
      </c>
      <c r="G993" t="s">
        <v>349</v>
      </c>
      <c r="H993">
        <v>-1.47</v>
      </c>
      <c r="I993">
        <v>-2.88</v>
      </c>
      <c r="J993">
        <v>-25.69</v>
      </c>
      <c r="K993">
        <v>910.7</v>
      </c>
      <c r="N993">
        <v>0</v>
      </c>
    </row>
    <row r="994" spans="1:14">
      <c r="A994" s="28">
        <v>888</v>
      </c>
      <c r="B994" t="s">
        <v>699</v>
      </c>
      <c r="C994" t="s">
        <v>347</v>
      </c>
      <c r="D994">
        <v>68.09</v>
      </c>
      <c r="E994">
        <v>1346.92</v>
      </c>
      <c r="F994">
        <v>11.44</v>
      </c>
      <c r="G994" t="s">
        <v>349</v>
      </c>
      <c r="H994">
        <v>-4.7699999999999996</v>
      </c>
      <c r="I994">
        <v>-7.88</v>
      </c>
      <c r="J994">
        <v>-595.29</v>
      </c>
      <c r="K994">
        <v>7234.58</v>
      </c>
      <c r="M994">
        <v>0.65</v>
      </c>
      <c r="N994">
        <v>27.85</v>
      </c>
    </row>
    <row r="995" spans="1:14">
      <c r="A995" s="28">
        <v>522</v>
      </c>
      <c r="B995" t="s">
        <v>2535</v>
      </c>
      <c r="C995" t="s">
        <v>348</v>
      </c>
      <c r="D995">
        <v>68.13</v>
      </c>
      <c r="E995">
        <v>392.44</v>
      </c>
      <c r="F995">
        <v>24.55</v>
      </c>
      <c r="G995" t="s">
        <v>350</v>
      </c>
      <c r="H995">
        <v>15.02</v>
      </c>
      <c r="I995">
        <v>26.65</v>
      </c>
      <c r="J995">
        <v>502.21</v>
      </c>
      <c r="K995">
        <v>2462.21</v>
      </c>
      <c r="L995">
        <v>5.68</v>
      </c>
      <c r="M995">
        <v>1.1599999999999999</v>
      </c>
      <c r="N995">
        <v>17.77</v>
      </c>
    </row>
    <row r="996" spans="1:14">
      <c r="A996" s="28">
        <v>799</v>
      </c>
      <c r="B996" t="s">
        <v>1909</v>
      </c>
      <c r="C996" t="s">
        <v>348</v>
      </c>
      <c r="D996">
        <v>68.58</v>
      </c>
      <c r="E996">
        <v>2813.96</v>
      </c>
      <c r="F996">
        <v>14.16</v>
      </c>
      <c r="G996" t="s">
        <v>350</v>
      </c>
      <c r="H996">
        <v>0.57999999999999996</v>
      </c>
      <c r="I996">
        <v>0.99</v>
      </c>
      <c r="J996">
        <v>109.54</v>
      </c>
      <c r="K996">
        <v>14569.81</v>
      </c>
      <c r="L996">
        <v>204.5</v>
      </c>
      <c r="M996">
        <v>1.54</v>
      </c>
      <c r="N996">
        <v>9.8800000000000008</v>
      </c>
    </row>
    <row r="997" spans="1:14">
      <c r="A997" s="28">
        <v>154</v>
      </c>
      <c r="B997" t="s">
        <v>2207</v>
      </c>
      <c r="C997" t="s">
        <v>348</v>
      </c>
      <c r="D997">
        <v>68.67</v>
      </c>
      <c r="E997">
        <v>391.96</v>
      </c>
      <c r="F997">
        <v>68.73</v>
      </c>
      <c r="G997" t="s">
        <v>2788</v>
      </c>
      <c r="H997">
        <v>-17.03</v>
      </c>
      <c r="I997">
        <v>-23.14</v>
      </c>
      <c r="J997">
        <v>-570.5</v>
      </c>
      <c r="K997">
        <v>2361.7800000000002</v>
      </c>
      <c r="M997">
        <v>4.49</v>
      </c>
    </row>
    <row r="998" spans="1:14">
      <c r="A998" s="28">
        <v>933</v>
      </c>
      <c r="B998" t="s">
        <v>2006</v>
      </c>
      <c r="C998" t="s">
        <v>348</v>
      </c>
      <c r="D998">
        <v>68.819999999999993</v>
      </c>
      <c r="E998">
        <v>559.5</v>
      </c>
      <c r="F998">
        <v>10.48</v>
      </c>
      <c r="G998">
        <v>-66.86</v>
      </c>
      <c r="H998">
        <v>2.09</v>
      </c>
      <c r="I998">
        <v>3.57</v>
      </c>
      <c r="J998">
        <v>97.68</v>
      </c>
      <c r="K998">
        <v>3297.52</v>
      </c>
      <c r="L998">
        <v>53.75</v>
      </c>
      <c r="M998">
        <v>1.59</v>
      </c>
      <c r="N998">
        <v>9.6</v>
      </c>
    </row>
    <row r="999" spans="1:14">
      <c r="A999" s="28">
        <v>462</v>
      </c>
      <c r="B999" t="s">
        <v>123</v>
      </c>
      <c r="C999" t="s">
        <v>347</v>
      </c>
      <c r="D999">
        <v>68.849999999999994</v>
      </c>
      <c r="E999">
        <v>998.03</v>
      </c>
      <c r="F999">
        <v>27.65</v>
      </c>
      <c r="G999">
        <v>47.12</v>
      </c>
      <c r="H999">
        <v>5.75</v>
      </c>
      <c r="I999">
        <v>9.73</v>
      </c>
      <c r="J999">
        <v>504.56</v>
      </c>
      <c r="K999">
        <v>5490.13</v>
      </c>
      <c r="L999">
        <v>7.19</v>
      </c>
      <c r="M999">
        <v>0.66</v>
      </c>
      <c r="N999">
        <v>6.83</v>
      </c>
    </row>
    <row r="1000" spans="1:14">
      <c r="A1000" s="28">
        <v>712</v>
      </c>
      <c r="B1000" t="s">
        <v>2077</v>
      </c>
      <c r="C1000" t="s">
        <v>348</v>
      </c>
      <c r="D1000">
        <v>68.89</v>
      </c>
      <c r="E1000">
        <v>398.41</v>
      </c>
      <c r="F1000">
        <v>16.32</v>
      </c>
      <c r="G1000" t="s">
        <v>2788</v>
      </c>
      <c r="H1000">
        <v>-40.21</v>
      </c>
      <c r="I1000">
        <v>-64.87</v>
      </c>
      <c r="J1000">
        <v>-1601.03</v>
      </c>
      <c r="K1000">
        <v>2492.0700000000002</v>
      </c>
      <c r="M1000">
        <v>1.35</v>
      </c>
    </row>
    <row r="1001" spans="1:14">
      <c r="A1001" s="28">
        <v>129</v>
      </c>
      <c r="B1001" t="s">
        <v>2318</v>
      </c>
      <c r="C1001" t="s">
        <v>348</v>
      </c>
      <c r="D1001">
        <v>68.97</v>
      </c>
      <c r="E1001">
        <v>1338.03</v>
      </c>
      <c r="F1001">
        <v>81.47</v>
      </c>
      <c r="G1001" t="s">
        <v>350</v>
      </c>
      <c r="H1001">
        <v>0.4</v>
      </c>
      <c r="I1001">
        <v>0.67</v>
      </c>
      <c r="J1001">
        <v>47.94</v>
      </c>
      <c r="K1001">
        <v>7190.16</v>
      </c>
      <c r="L1001">
        <v>394.24</v>
      </c>
      <c r="M1001">
        <v>2.63</v>
      </c>
      <c r="N1001">
        <v>93.71</v>
      </c>
    </row>
    <row r="1002" spans="1:14">
      <c r="A1002" s="28">
        <v>911</v>
      </c>
      <c r="B1002" t="s">
        <v>2263</v>
      </c>
      <c r="C1002" t="s">
        <v>347</v>
      </c>
      <c r="D1002">
        <v>69.14</v>
      </c>
      <c r="E1002">
        <v>162.06</v>
      </c>
      <c r="F1002">
        <v>11.02</v>
      </c>
      <c r="G1002">
        <v>647.77</v>
      </c>
      <c r="H1002">
        <v>2.11</v>
      </c>
      <c r="I1002">
        <v>3.84</v>
      </c>
      <c r="J1002">
        <v>442.7</v>
      </c>
      <c r="K1002">
        <v>13103.01</v>
      </c>
      <c r="L1002">
        <v>8.6999999999999993</v>
      </c>
      <c r="M1002">
        <v>0.28999999999999998</v>
      </c>
      <c r="N1002">
        <v>18.010000000000002</v>
      </c>
    </row>
    <row r="1003" spans="1:14">
      <c r="A1003" s="28">
        <v>779</v>
      </c>
      <c r="B1003" t="s">
        <v>227</v>
      </c>
      <c r="C1003" t="s">
        <v>347</v>
      </c>
      <c r="D1003">
        <v>69.180000000000007</v>
      </c>
      <c r="E1003">
        <v>480.52</v>
      </c>
      <c r="F1003">
        <v>14.65</v>
      </c>
      <c r="G1003">
        <v>-25.93</v>
      </c>
      <c r="H1003">
        <v>6.38</v>
      </c>
      <c r="I1003">
        <v>10.8</v>
      </c>
      <c r="J1003">
        <v>292.18</v>
      </c>
      <c r="K1003">
        <v>2902.6</v>
      </c>
      <c r="L1003">
        <v>15.83</v>
      </c>
      <c r="M1003">
        <v>1.59</v>
      </c>
      <c r="N1003">
        <v>16.399999999999999</v>
      </c>
    </row>
    <row r="1004" spans="1:14">
      <c r="A1004" s="28">
        <v>538</v>
      </c>
      <c r="B1004" t="s">
        <v>976</v>
      </c>
      <c r="C1004" t="s">
        <v>348</v>
      </c>
      <c r="D1004">
        <v>69.19</v>
      </c>
      <c r="E1004">
        <v>1653.83</v>
      </c>
      <c r="F1004">
        <v>24.08</v>
      </c>
      <c r="G1004">
        <v>48.95</v>
      </c>
      <c r="H1004">
        <v>12.25</v>
      </c>
      <c r="I1004">
        <v>21.04</v>
      </c>
      <c r="J1004">
        <v>1508.51</v>
      </c>
      <c r="K1004">
        <v>8769.1299999999992</v>
      </c>
      <c r="L1004">
        <v>6.79</v>
      </c>
      <c r="M1004">
        <v>1.17</v>
      </c>
      <c r="N1004">
        <v>6.21</v>
      </c>
    </row>
    <row r="1005" spans="1:14">
      <c r="A1005" s="28">
        <v>695</v>
      </c>
      <c r="B1005" t="s">
        <v>1316</v>
      </c>
      <c r="C1005" t="s">
        <v>348</v>
      </c>
      <c r="D1005">
        <v>69.58</v>
      </c>
      <c r="E1005">
        <v>3503.1</v>
      </c>
      <c r="F1005">
        <v>16.93</v>
      </c>
      <c r="G1005">
        <v>-48.15</v>
      </c>
      <c r="H1005">
        <v>6.86</v>
      </c>
      <c r="I1005">
        <v>11.59</v>
      </c>
      <c r="J1005">
        <v>386.61</v>
      </c>
      <c r="K1005">
        <v>3603.1</v>
      </c>
      <c r="L1005">
        <v>11.03</v>
      </c>
      <c r="M1005">
        <v>1.18</v>
      </c>
      <c r="N1005">
        <v>9.09</v>
      </c>
    </row>
    <row r="1006" spans="1:14">
      <c r="A1006" s="28">
        <v>165</v>
      </c>
      <c r="B1006" t="s">
        <v>1277</v>
      </c>
      <c r="C1006" t="s">
        <v>348</v>
      </c>
      <c r="D1006">
        <v>69.59</v>
      </c>
      <c r="E1006">
        <v>360.22</v>
      </c>
      <c r="F1006">
        <v>65.650000000000006</v>
      </c>
      <c r="G1006">
        <v>409.84</v>
      </c>
      <c r="H1006">
        <v>10.17</v>
      </c>
      <c r="I1006">
        <v>17.739999999999998</v>
      </c>
      <c r="J1006">
        <v>374.12</v>
      </c>
      <c r="K1006">
        <v>2301.08</v>
      </c>
      <c r="L1006">
        <v>30.2</v>
      </c>
      <c r="M1006">
        <v>4.91</v>
      </c>
      <c r="N1006">
        <v>24.44</v>
      </c>
    </row>
    <row r="1007" spans="1:14">
      <c r="A1007" s="28">
        <v>1117</v>
      </c>
      <c r="B1007" t="s">
        <v>469</v>
      </c>
      <c r="C1007" t="s">
        <v>347</v>
      </c>
      <c r="D1007">
        <v>69.69</v>
      </c>
      <c r="E1007">
        <v>608.48</v>
      </c>
      <c r="F1007">
        <v>6.5</v>
      </c>
      <c r="G1007">
        <v>-84.19</v>
      </c>
      <c r="H1007">
        <v>1.03</v>
      </c>
      <c r="I1007">
        <v>1.72</v>
      </c>
      <c r="J1007">
        <v>59.81</v>
      </c>
      <c r="K1007">
        <v>3600.51</v>
      </c>
      <c r="L1007">
        <v>40.130000000000003</v>
      </c>
      <c r="M1007">
        <v>0.67</v>
      </c>
      <c r="N1007">
        <v>3.2</v>
      </c>
    </row>
    <row r="1008" spans="1:14">
      <c r="A1008" s="28">
        <v>196</v>
      </c>
      <c r="B1008" t="s">
        <v>2083</v>
      </c>
      <c r="C1008" t="s">
        <v>348</v>
      </c>
      <c r="D1008">
        <v>69.94</v>
      </c>
      <c r="E1008">
        <v>905.38</v>
      </c>
      <c r="F1008">
        <v>57.32</v>
      </c>
      <c r="G1008" t="s">
        <v>350</v>
      </c>
      <c r="H1008">
        <v>11.89</v>
      </c>
      <c r="I1008">
        <v>19.47</v>
      </c>
      <c r="J1008">
        <v>762.55</v>
      </c>
      <c r="K1008">
        <v>4295.3999999999996</v>
      </c>
      <c r="L1008">
        <v>10.1</v>
      </c>
      <c r="M1008">
        <v>1.79</v>
      </c>
      <c r="N1008">
        <v>6.03</v>
      </c>
    </row>
    <row r="1009" spans="1:14">
      <c r="A1009" s="28">
        <v>29</v>
      </c>
      <c r="B1009" t="s">
        <v>1768</v>
      </c>
      <c r="C1009" t="s">
        <v>348</v>
      </c>
      <c r="D1009">
        <v>7.07</v>
      </c>
      <c r="E1009">
        <v>1008.74</v>
      </c>
      <c r="F1009">
        <v>333.26</v>
      </c>
      <c r="G1009" t="s">
        <v>2788</v>
      </c>
      <c r="H1009">
        <v>-47.47</v>
      </c>
      <c r="I1009">
        <v>-51</v>
      </c>
      <c r="J1009">
        <v>-3087.85</v>
      </c>
      <c r="K1009">
        <v>5543.68</v>
      </c>
      <c r="M1009">
        <v>3.15</v>
      </c>
    </row>
    <row r="1010" spans="1:14">
      <c r="A1010" s="28">
        <v>258</v>
      </c>
      <c r="B1010" t="s">
        <v>1941</v>
      </c>
      <c r="C1010" t="s">
        <v>348</v>
      </c>
      <c r="D1010">
        <v>7.3</v>
      </c>
      <c r="E1010">
        <v>1112.27</v>
      </c>
      <c r="F1010">
        <v>45.49</v>
      </c>
      <c r="G1010">
        <v>216.36</v>
      </c>
      <c r="H1010">
        <v>1.55</v>
      </c>
      <c r="I1010">
        <v>1.74</v>
      </c>
      <c r="J1010">
        <v>99.65</v>
      </c>
      <c r="K1010">
        <v>6061.33</v>
      </c>
      <c r="L1010">
        <v>51.68</v>
      </c>
      <c r="M1010">
        <v>0.85</v>
      </c>
      <c r="N1010">
        <v>44.72</v>
      </c>
    </row>
    <row r="1011" spans="1:14">
      <c r="A1011" s="28">
        <v>930</v>
      </c>
      <c r="B1011" t="s">
        <v>1485</v>
      </c>
      <c r="C1011" t="s">
        <v>348</v>
      </c>
      <c r="D1011">
        <v>7.33</v>
      </c>
      <c r="E1011">
        <v>1232.19</v>
      </c>
      <c r="F1011">
        <v>10.52</v>
      </c>
      <c r="G1011">
        <v>-17.09</v>
      </c>
      <c r="H1011">
        <v>11.1</v>
      </c>
      <c r="I1011">
        <v>12.26</v>
      </c>
      <c r="J1011">
        <v>119.4</v>
      </c>
      <c r="K1011">
        <v>1332.19</v>
      </c>
      <c r="L1011">
        <v>22.95</v>
      </c>
      <c r="M1011">
        <v>2.06</v>
      </c>
      <c r="N1011">
        <v>22.63</v>
      </c>
    </row>
    <row r="1012" spans="1:14">
      <c r="A1012" s="28">
        <v>68</v>
      </c>
      <c r="B1012" t="s">
        <v>186</v>
      </c>
      <c r="C1012" t="s">
        <v>347</v>
      </c>
      <c r="D1012">
        <v>7.44</v>
      </c>
      <c r="E1012">
        <v>531.17999999999995</v>
      </c>
      <c r="F1012">
        <v>152.16999999999999</v>
      </c>
      <c r="G1012">
        <v>18.52</v>
      </c>
      <c r="H1012">
        <v>5.6</v>
      </c>
      <c r="I1012">
        <v>6.07</v>
      </c>
      <c r="J1012">
        <v>1926.13</v>
      </c>
      <c r="K1012">
        <v>31919.200000000001</v>
      </c>
      <c r="L1012">
        <v>6.75</v>
      </c>
      <c r="M1012">
        <v>0.41</v>
      </c>
    </row>
    <row r="1013" spans="1:14">
      <c r="A1013" s="28">
        <v>890</v>
      </c>
      <c r="B1013" t="s">
        <v>465</v>
      </c>
      <c r="C1013" t="s">
        <v>347</v>
      </c>
      <c r="D1013">
        <v>7.44</v>
      </c>
      <c r="E1013">
        <v>1545.35</v>
      </c>
      <c r="F1013">
        <v>11.37</v>
      </c>
      <c r="G1013" t="s">
        <v>349</v>
      </c>
      <c r="H1013">
        <v>-2.77</v>
      </c>
      <c r="I1013">
        <v>-2.97</v>
      </c>
      <c r="J1013">
        <v>-250.38</v>
      </c>
      <c r="K1013">
        <v>8226.77</v>
      </c>
      <c r="M1013">
        <v>0.43</v>
      </c>
      <c r="N1013">
        <v>8.1199999999999992</v>
      </c>
    </row>
    <row r="1014" spans="1:14">
      <c r="A1014" s="28">
        <v>1003</v>
      </c>
      <c r="B1014" t="s">
        <v>149</v>
      </c>
      <c r="C1014" t="s">
        <v>347</v>
      </c>
      <c r="D1014">
        <v>7.45</v>
      </c>
      <c r="E1014">
        <v>2744.69</v>
      </c>
      <c r="F1014">
        <v>9.11</v>
      </c>
      <c r="G1014">
        <v>52.09</v>
      </c>
      <c r="H1014">
        <v>5.73</v>
      </c>
      <c r="I1014">
        <v>6.17</v>
      </c>
      <c r="J1014">
        <v>819.89</v>
      </c>
      <c r="K1014">
        <v>14223.45</v>
      </c>
      <c r="L1014">
        <v>10.09</v>
      </c>
      <c r="M1014">
        <v>0.57999999999999996</v>
      </c>
      <c r="N1014">
        <v>12.79</v>
      </c>
    </row>
    <row r="1015" spans="1:14">
      <c r="A1015" s="28">
        <v>876</v>
      </c>
      <c r="B1015" t="s">
        <v>299</v>
      </c>
      <c r="C1015" t="s">
        <v>348</v>
      </c>
      <c r="D1015">
        <v>7.86</v>
      </c>
      <c r="E1015">
        <v>8162.93</v>
      </c>
      <c r="F1015">
        <v>11.69</v>
      </c>
      <c r="G1015">
        <v>18.920000000000002</v>
      </c>
      <c r="H1015">
        <v>6.36</v>
      </c>
      <c r="I1015">
        <v>6.85</v>
      </c>
      <c r="J1015">
        <v>2234.35</v>
      </c>
      <c r="K1015">
        <v>41314.629999999997</v>
      </c>
      <c r="L1015">
        <v>9.51</v>
      </c>
      <c r="M1015">
        <v>0.51</v>
      </c>
      <c r="N1015">
        <v>6.88</v>
      </c>
    </row>
    <row r="1016" spans="1:14">
      <c r="A1016" s="28">
        <v>207</v>
      </c>
      <c r="B1016" t="s">
        <v>2570</v>
      </c>
      <c r="C1016" t="s">
        <v>348</v>
      </c>
      <c r="D1016">
        <v>70.14</v>
      </c>
      <c r="E1016">
        <v>944.5</v>
      </c>
      <c r="F1016">
        <v>55.26</v>
      </c>
      <c r="G1016">
        <v>-36.9</v>
      </c>
      <c r="H1016">
        <v>2.2799999999999998</v>
      </c>
      <c r="I1016">
        <v>3.85</v>
      </c>
      <c r="J1016">
        <v>45.8</v>
      </c>
      <c r="K1016">
        <v>1220.1500000000001</v>
      </c>
      <c r="L1016">
        <v>69.66</v>
      </c>
      <c r="M1016">
        <v>2.61</v>
      </c>
      <c r="N1016">
        <v>26.97</v>
      </c>
    </row>
    <row r="1017" spans="1:14">
      <c r="A1017" s="28">
        <v>607</v>
      </c>
      <c r="B1017" t="s">
        <v>1244</v>
      </c>
      <c r="C1017" t="s">
        <v>348</v>
      </c>
      <c r="D1017">
        <v>70.180000000000007</v>
      </c>
      <c r="E1017">
        <v>4034.25</v>
      </c>
      <c r="F1017">
        <v>20.21</v>
      </c>
      <c r="G1017">
        <v>39.869999999999997</v>
      </c>
      <c r="H1017">
        <v>3.7</v>
      </c>
      <c r="I1017">
        <v>6.17</v>
      </c>
      <c r="J1017">
        <v>1196.5999999999999</v>
      </c>
      <c r="K1017">
        <v>20671.27</v>
      </c>
      <c r="L1017">
        <v>56.66</v>
      </c>
      <c r="M1017">
        <v>3.28</v>
      </c>
      <c r="N1017">
        <v>21.86</v>
      </c>
    </row>
    <row r="1018" spans="1:14">
      <c r="A1018" s="28">
        <v>590</v>
      </c>
      <c r="B1018" t="s">
        <v>2701</v>
      </c>
      <c r="C1018" t="s">
        <v>348</v>
      </c>
      <c r="D1018">
        <v>70.239999999999995</v>
      </c>
      <c r="E1018">
        <v>263.39999999999998</v>
      </c>
      <c r="F1018">
        <v>21.41</v>
      </c>
      <c r="G1018" t="s">
        <v>2788</v>
      </c>
      <c r="H1018">
        <v>-46.02</v>
      </c>
      <c r="I1018">
        <v>-78.5</v>
      </c>
      <c r="J1018">
        <v>-1741.79</v>
      </c>
      <c r="K1018">
        <v>1816.99</v>
      </c>
      <c r="M1018">
        <v>0.64</v>
      </c>
      <c r="N1018">
        <v>11.31</v>
      </c>
    </row>
    <row r="1019" spans="1:14">
      <c r="A1019" s="28">
        <v>783</v>
      </c>
      <c r="B1019" t="s">
        <v>2482</v>
      </c>
      <c r="C1019" t="s">
        <v>348</v>
      </c>
      <c r="D1019">
        <v>70.25</v>
      </c>
      <c r="E1019">
        <v>899.81</v>
      </c>
      <c r="F1019">
        <v>14.61</v>
      </c>
      <c r="G1019">
        <v>21.45</v>
      </c>
      <c r="H1019">
        <v>4.38</v>
      </c>
      <c r="I1019">
        <v>6.75</v>
      </c>
      <c r="J1019">
        <v>313.98</v>
      </c>
      <c r="K1019">
        <v>4999.03</v>
      </c>
      <c r="L1019">
        <v>13.12</v>
      </c>
      <c r="M1019">
        <v>0.82</v>
      </c>
      <c r="N1019">
        <v>8.93</v>
      </c>
    </row>
    <row r="1020" spans="1:14">
      <c r="A1020" s="28">
        <v>376</v>
      </c>
      <c r="B1020" t="s">
        <v>197</v>
      </c>
      <c r="C1020" t="s">
        <v>347</v>
      </c>
      <c r="D1020">
        <v>70.73</v>
      </c>
      <c r="E1020">
        <v>13995.63</v>
      </c>
      <c r="F1020">
        <v>32.979999999999997</v>
      </c>
      <c r="G1020">
        <v>25</v>
      </c>
      <c r="H1020">
        <v>6.96</v>
      </c>
      <c r="I1020">
        <v>11.67</v>
      </c>
      <c r="J1020">
        <v>1520.83</v>
      </c>
      <c r="K1020">
        <v>14095.63</v>
      </c>
      <c r="L1020">
        <v>8.81</v>
      </c>
      <c r="M1020">
        <v>0.95</v>
      </c>
      <c r="N1020">
        <v>7.51</v>
      </c>
    </row>
    <row r="1021" spans="1:14">
      <c r="A1021" s="28">
        <v>785</v>
      </c>
      <c r="B1021" t="s">
        <v>567</v>
      </c>
      <c r="C1021" t="s">
        <v>348</v>
      </c>
      <c r="D1021">
        <v>70.88</v>
      </c>
      <c r="E1021">
        <v>1538.62</v>
      </c>
      <c r="F1021">
        <v>14.55</v>
      </c>
      <c r="G1021" t="s">
        <v>2788</v>
      </c>
      <c r="H1021">
        <v>-13.7</v>
      </c>
      <c r="I1021">
        <v>-22.76</v>
      </c>
      <c r="J1021">
        <v>-1951.7</v>
      </c>
      <c r="K1021">
        <v>8193.08</v>
      </c>
      <c r="M1021">
        <v>0.69</v>
      </c>
      <c r="N1021">
        <v>80.319999999999993</v>
      </c>
    </row>
    <row r="1022" spans="1:14">
      <c r="A1022" s="28">
        <v>1035</v>
      </c>
      <c r="B1022" t="s">
        <v>2624</v>
      </c>
      <c r="C1022" t="s">
        <v>348</v>
      </c>
      <c r="D1022">
        <v>70.94</v>
      </c>
      <c r="E1022">
        <v>291.91000000000003</v>
      </c>
      <c r="F1022">
        <v>8.36</v>
      </c>
      <c r="G1022">
        <v>129.53</v>
      </c>
      <c r="H1022">
        <v>2.71</v>
      </c>
      <c r="I1022">
        <v>4.6100000000000003</v>
      </c>
      <c r="J1022">
        <v>174.42</v>
      </c>
      <c r="K1022">
        <v>3919.07</v>
      </c>
      <c r="L1022">
        <v>11.15</v>
      </c>
      <c r="M1022">
        <v>0.5</v>
      </c>
      <c r="N1022">
        <v>12.04</v>
      </c>
    </row>
    <row r="1023" spans="1:14">
      <c r="A1023" s="28">
        <v>171</v>
      </c>
      <c r="B1023" t="s">
        <v>1574</v>
      </c>
      <c r="C1023" t="s">
        <v>348</v>
      </c>
      <c r="D1023">
        <v>70.97</v>
      </c>
      <c r="E1023">
        <v>4.82</v>
      </c>
      <c r="F1023">
        <v>64.45</v>
      </c>
      <c r="G1023" t="s">
        <v>2788</v>
      </c>
      <c r="H1023">
        <v>-24.68</v>
      </c>
      <c r="I1023">
        <v>-39.96</v>
      </c>
      <c r="J1023">
        <v>-209</v>
      </c>
      <c r="K1023">
        <v>524.09</v>
      </c>
      <c r="M1023">
        <v>2.12</v>
      </c>
    </row>
    <row r="1024" spans="1:14">
      <c r="A1024" s="28">
        <v>905</v>
      </c>
      <c r="B1024" t="s">
        <v>1656</v>
      </c>
      <c r="C1024" t="s">
        <v>348</v>
      </c>
      <c r="D1024">
        <v>71.19</v>
      </c>
      <c r="E1024">
        <v>840.97</v>
      </c>
      <c r="F1024">
        <v>11.09</v>
      </c>
      <c r="G1024" t="s">
        <v>350</v>
      </c>
      <c r="H1024">
        <v>3.55</v>
      </c>
      <c r="I1024">
        <v>5.93</v>
      </c>
      <c r="J1024">
        <v>53.51</v>
      </c>
      <c r="K1024">
        <v>940.97</v>
      </c>
      <c r="L1024">
        <v>21.1</v>
      </c>
      <c r="M1024">
        <v>1.2</v>
      </c>
      <c r="N1024">
        <v>20.83</v>
      </c>
    </row>
    <row r="1025" spans="1:14">
      <c r="A1025" s="28">
        <v>387</v>
      </c>
      <c r="B1025" t="s">
        <v>1755</v>
      </c>
      <c r="C1025" t="s">
        <v>348</v>
      </c>
      <c r="D1025">
        <v>71.33</v>
      </c>
      <c r="E1025">
        <v>246.48</v>
      </c>
      <c r="F1025">
        <v>32.200000000000003</v>
      </c>
      <c r="G1025">
        <v>-0.67</v>
      </c>
      <c r="H1025">
        <v>1.55</v>
      </c>
      <c r="I1025">
        <v>2.4500000000000002</v>
      </c>
      <c r="J1025">
        <v>42.14</v>
      </c>
      <c r="K1025">
        <v>1735.76</v>
      </c>
      <c r="L1025">
        <v>191.75</v>
      </c>
      <c r="M1025">
        <v>4.66</v>
      </c>
    </row>
    <row r="1026" spans="1:14">
      <c r="A1026" s="28">
        <v>771</v>
      </c>
      <c r="B1026" t="s">
        <v>2468</v>
      </c>
      <c r="C1026" t="s">
        <v>348</v>
      </c>
      <c r="D1026">
        <v>71.36</v>
      </c>
      <c r="E1026">
        <v>2308.25</v>
      </c>
      <c r="F1026">
        <v>14.94</v>
      </c>
      <c r="G1026">
        <v>-36.659999999999997</v>
      </c>
      <c r="H1026">
        <v>3.14</v>
      </c>
      <c r="I1026">
        <v>5.2</v>
      </c>
      <c r="J1026">
        <v>681.45</v>
      </c>
      <c r="K1026">
        <v>12041.24</v>
      </c>
      <c r="L1026">
        <v>17.32</v>
      </c>
      <c r="M1026">
        <v>0.98</v>
      </c>
      <c r="N1026">
        <v>8.31</v>
      </c>
    </row>
    <row r="1027" spans="1:14">
      <c r="A1027" s="28">
        <v>971</v>
      </c>
      <c r="B1027" t="s">
        <v>1183</v>
      </c>
      <c r="C1027" t="s">
        <v>347</v>
      </c>
      <c r="D1027">
        <v>71.510000000000005</v>
      </c>
      <c r="E1027">
        <v>10951.7</v>
      </c>
      <c r="F1027">
        <v>9.73</v>
      </c>
      <c r="G1027">
        <v>26.57</v>
      </c>
      <c r="H1027">
        <v>5.39</v>
      </c>
      <c r="I1027">
        <v>9.19</v>
      </c>
      <c r="J1027">
        <v>4921.1499999999996</v>
      </c>
      <c r="K1027">
        <v>55258.52</v>
      </c>
      <c r="L1027">
        <v>42.98</v>
      </c>
      <c r="M1027">
        <v>3.83</v>
      </c>
      <c r="N1027">
        <v>22.92</v>
      </c>
    </row>
    <row r="1028" spans="1:14">
      <c r="A1028" s="28">
        <v>383</v>
      </c>
      <c r="B1028" t="s">
        <v>1463</v>
      </c>
      <c r="C1028" t="s">
        <v>348</v>
      </c>
      <c r="D1028">
        <v>71.650000000000006</v>
      </c>
      <c r="E1028">
        <v>299.57</v>
      </c>
      <c r="F1028">
        <v>32.44</v>
      </c>
      <c r="G1028">
        <v>-2.66</v>
      </c>
      <c r="H1028">
        <v>1.02</v>
      </c>
      <c r="I1028">
        <v>1.69</v>
      </c>
      <c r="J1028">
        <v>31.57</v>
      </c>
      <c r="K1028">
        <v>1997.84</v>
      </c>
      <c r="L1028">
        <v>67.459999999999994</v>
      </c>
      <c r="M1028">
        <v>1.07</v>
      </c>
      <c r="N1028">
        <v>24.66</v>
      </c>
    </row>
    <row r="1029" spans="1:14">
      <c r="A1029" s="28">
        <v>1030</v>
      </c>
      <c r="B1029" t="s">
        <v>208</v>
      </c>
      <c r="C1029" t="s">
        <v>347</v>
      </c>
      <c r="D1029">
        <v>71.72</v>
      </c>
      <c r="E1029">
        <v>7302.14</v>
      </c>
      <c r="F1029">
        <v>8.51</v>
      </c>
      <c r="G1029">
        <v>106.57</v>
      </c>
      <c r="H1029">
        <v>8.27</v>
      </c>
      <c r="I1029">
        <v>15.34</v>
      </c>
      <c r="J1029">
        <v>2034.77</v>
      </c>
      <c r="K1029">
        <v>14804.29</v>
      </c>
      <c r="L1029">
        <v>4.18</v>
      </c>
      <c r="M1029">
        <v>0.56999999999999995</v>
      </c>
      <c r="N1029">
        <v>3.9</v>
      </c>
    </row>
    <row r="1030" spans="1:14">
      <c r="A1030" s="28">
        <v>541</v>
      </c>
      <c r="B1030" t="s">
        <v>1231</v>
      </c>
      <c r="C1030" t="s">
        <v>348</v>
      </c>
      <c r="D1030">
        <v>71.86</v>
      </c>
      <c r="E1030">
        <v>568.08000000000004</v>
      </c>
      <c r="F1030">
        <v>23.97</v>
      </c>
      <c r="G1030" t="s">
        <v>350</v>
      </c>
      <c r="H1030">
        <v>4.21</v>
      </c>
      <c r="I1030">
        <v>8.74</v>
      </c>
      <c r="J1030">
        <v>460.04</v>
      </c>
      <c r="K1030">
        <v>6680.84</v>
      </c>
      <c r="L1030">
        <v>24.89</v>
      </c>
      <c r="M1030">
        <v>1.71</v>
      </c>
      <c r="N1030">
        <v>12.86</v>
      </c>
    </row>
    <row r="1031" spans="1:14">
      <c r="A1031" s="28">
        <v>535</v>
      </c>
      <c r="B1031" t="s">
        <v>919</v>
      </c>
      <c r="C1031" t="s">
        <v>348</v>
      </c>
      <c r="D1031">
        <v>72.17</v>
      </c>
      <c r="E1031">
        <v>2388.35</v>
      </c>
      <c r="F1031">
        <v>24.13</v>
      </c>
      <c r="G1031">
        <v>123.53</v>
      </c>
      <c r="H1031">
        <v>13.48</v>
      </c>
      <c r="I1031">
        <v>25.95</v>
      </c>
      <c r="J1031">
        <v>2749.24</v>
      </c>
      <c r="K1031">
        <v>12441.74</v>
      </c>
      <c r="L1031">
        <v>3.08</v>
      </c>
      <c r="M1031">
        <v>0.68</v>
      </c>
      <c r="N1031">
        <v>2.0099999999999998</v>
      </c>
    </row>
    <row r="1032" spans="1:14">
      <c r="A1032" s="28">
        <v>683</v>
      </c>
      <c r="B1032" t="s">
        <v>1670</v>
      </c>
      <c r="C1032" t="s">
        <v>348</v>
      </c>
      <c r="D1032">
        <v>72.53</v>
      </c>
      <c r="E1032">
        <v>675.06</v>
      </c>
      <c r="F1032">
        <v>17.37</v>
      </c>
      <c r="G1032">
        <v>19.64</v>
      </c>
      <c r="H1032">
        <v>9.36</v>
      </c>
      <c r="I1032">
        <v>16.25</v>
      </c>
      <c r="J1032">
        <v>105.94</v>
      </c>
      <c r="K1032">
        <v>724.31</v>
      </c>
      <c r="N1032">
        <v>1.48</v>
      </c>
    </row>
    <row r="1033" spans="1:14">
      <c r="A1033" s="28">
        <v>84</v>
      </c>
      <c r="B1033" t="s">
        <v>2226</v>
      </c>
      <c r="C1033" t="s">
        <v>348</v>
      </c>
      <c r="D1033">
        <v>72.569999999999993</v>
      </c>
      <c r="E1033">
        <v>1232.6500000000001</v>
      </c>
      <c r="F1033">
        <v>126.9</v>
      </c>
      <c r="G1033">
        <v>52.97</v>
      </c>
      <c r="H1033">
        <v>4.7300000000000004</v>
      </c>
      <c r="I1033">
        <v>8.6199999999999992</v>
      </c>
      <c r="J1033">
        <v>521.26</v>
      </c>
      <c r="K1033">
        <v>6663.26</v>
      </c>
      <c r="L1033">
        <v>9.1300000000000008</v>
      </c>
      <c r="M1033">
        <v>0.71</v>
      </c>
      <c r="N1033">
        <v>14.57</v>
      </c>
    </row>
    <row r="1034" spans="1:14">
      <c r="A1034" s="28">
        <v>1042</v>
      </c>
      <c r="B1034" t="s">
        <v>2595</v>
      </c>
      <c r="C1034" t="s">
        <v>348</v>
      </c>
      <c r="D1034">
        <v>72.58</v>
      </c>
      <c r="E1034">
        <v>966.22</v>
      </c>
      <c r="F1034">
        <v>8.1999999999999993</v>
      </c>
      <c r="G1034" t="s">
        <v>350</v>
      </c>
      <c r="H1034">
        <v>0.35</v>
      </c>
      <c r="I1034">
        <v>0.63</v>
      </c>
      <c r="J1034">
        <v>32.700000000000003</v>
      </c>
      <c r="K1034">
        <v>5331.08</v>
      </c>
      <c r="L1034">
        <v>152.61000000000001</v>
      </c>
      <c r="M1034">
        <v>0.94</v>
      </c>
      <c r="N1034">
        <v>9.6</v>
      </c>
    </row>
    <row r="1035" spans="1:14">
      <c r="A1035" s="28">
        <v>259</v>
      </c>
      <c r="B1035" t="s">
        <v>2532</v>
      </c>
      <c r="C1035" t="s">
        <v>348</v>
      </c>
      <c r="D1035">
        <v>73.14</v>
      </c>
      <c r="E1035">
        <v>31.56</v>
      </c>
      <c r="F1035">
        <v>45.37</v>
      </c>
      <c r="G1035">
        <v>55.48</v>
      </c>
      <c r="H1035">
        <v>3.01</v>
      </c>
      <c r="I1035">
        <v>5</v>
      </c>
      <c r="J1035">
        <v>31.63</v>
      </c>
      <c r="K1035">
        <v>657.78</v>
      </c>
      <c r="L1035">
        <v>40.630000000000003</v>
      </c>
      <c r="M1035">
        <v>1.95</v>
      </c>
      <c r="N1035">
        <v>25.08</v>
      </c>
    </row>
    <row r="1036" spans="1:14">
      <c r="A1036" s="28">
        <v>895</v>
      </c>
      <c r="B1036" t="s">
        <v>105</v>
      </c>
      <c r="C1036" t="s">
        <v>347</v>
      </c>
      <c r="D1036">
        <v>73.23</v>
      </c>
      <c r="E1036">
        <v>690.51</v>
      </c>
      <c r="F1036">
        <v>11.3</v>
      </c>
      <c r="G1036">
        <v>11.79</v>
      </c>
      <c r="H1036">
        <v>9.9499999999999993</v>
      </c>
      <c r="I1036">
        <v>18.510000000000002</v>
      </c>
      <c r="J1036">
        <v>6594.83</v>
      </c>
      <c r="K1036">
        <v>39525.58</v>
      </c>
      <c r="L1036">
        <v>5.24</v>
      </c>
      <c r="M1036">
        <v>0.87</v>
      </c>
      <c r="N1036">
        <v>4.24</v>
      </c>
    </row>
    <row r="1037" spans="1:14">
      <c r="A1037" s="28">
        <v>457</v>
      </c>
      <c r="B1037" t="s">
        <v>2360</v>
      </c>
      <c r="C1037" t="s">
        <v>348</v>
      </c>
      <c r="D1037">
        <v>73.36</v>
      </c>
      <c r="E1037">
        <v>2048.21</v>
      </c>
      <c r="F1037">
        <v>27.73</v>
      </c>
      <c r="G1037" t="s">
        <v>350</v>
      </c>
      <c r="H1037">
        <v>1.17</v>
      </c>
      <c r="I1037">
        <v>1.88</v>
      </c>
      <c r="J1037">
        <v>189.58</v>
      </c>
      <c r="K1037">
        <v>10741.04</v>
      </c>
      <c r="L1037">
        <v>52.75</v>
      </c>
      <c r="M1037">
        <v>0.93</v>
      </c>
      <c r="N1037">
        <v>20.170000000000002</v>
      </c>
    </row>
    <row r="1038" spans="1:14">
      <c r="A1038" s="28">
        <v>709</v>
      </c>
      <c r="B1038" t="s">
        <v>2421</v>
      </c>
      <c r="C1038" t="s">
        <v>348</v>
      </c>
      <c r="D1038">
        <v>73.52</v>
      </c>
      <c r="E1038">
        <v>1266.6099999999999</v>
      </c>
      <c r="F1038">
        <v>16.41</v>
      </c>
      <c r="G1038">
        <v>-81.36</v>
      </c>
      <c r="H1038">
        <v>3.21</v>
      </c>
      <c r="I1038">
        <v>6.03</v>
      </c>
      <c r="J1038">
        <v>331.63</v>
      </c>
      <c r="K1038">
        <v>6833.03</v>
      </c>
      <c r="L1038">
        <v>76.44</v>
      </c>
      <c r="M1038">
        <v>3.71</v>
      </c>
      <c r="N1038">
        <v>30.48</v>
      </c>
    </row>
    <row r="1039" spans="1:14">
      <c r="A1039" s="28">
        <v>701</v>
      </c>
      <c r="B1039" t="s">
        <v>1149</v>
      </c>
      <c r="C1039" t="s">
        <v>348</v>
      </c>
      <c r="D1039">
        <v>74.41</v>
      </c>
      <c r="E1039">
        <v>1156.48</v>
      </c>
      <c r="F1039">
        <v>16.7</v>
      </c>
      <c r="G1039">
        <v>34.79</v>
      </c>
      <c r="H1039">
        <v>6.2</v>
      </c>
      <c r="I1039">
        <v>10.7</v>
      </c>
      <c r="J1039">
        <v>652.47</v>
      </c>
      <c r="K1039">
        <v>6339.54</v>
      </c>
      <c r="L1039">
        <v>10.5</v>
      </c>
      <c r="M1039">
        <v>1.08</v>
      </c>
      <c r="N1039">
        <v>4.29</v>
      </c>
    </row>
    <row r="1040" spans="1:14">
      <c r="A1040" s="28">
        <v>696</v>
      </c>
      <c r="B1040" t="s">
        <v>2592</v>
      </c>
      <c r="C1040" t="s">
        <v>348</v>
      </c>
      <c r="D1040">
        <v>74.73</v>
      </c>
      <c r="E1040">
        <v>1012.86</v>
      </c>
      <c r="F1040">
        <v>16.899999999999999</v>
      </c>
      <c r="G1040">
        <v>18.62</v>
      </c>
      <c r="H1040">
        <v>10.48</v>
      </c>
      <c r="I1040">
        <v>17.72</v>
      </c>
      <c r="J1040">
        <v>179.67</v>
      </c>
      <c r="K1040">
        <v>1078.92</v>
      </c>
      <c r="N1040">
        <v>0</v>
      </c>
    </row>
    <row r="1041" spans="1:14">
      <c r="A1041" s="28">
        <v>117</v>
      </c>
      <c r="B1041" t="s">
        <v>2011</v>
      </c>
      <c r="C1041" t="s">
        <v>348</v>
      </c>
      <c r="D1041">
        <v>74.930000000000007</v>
      </c>
      <c r="F1041">
        <v>90.63</v>
      </c>
      <c r="G1041" t="s">
        <v>2788</v>
      </c>
      <c r="H1041">
        <v>-21.59</v>
      </c>
      <c r="I1041">
        <v>-37.520000000000003</v>
      </c>
      <c r="J1041">
        <v>-811.43</v>
      </c>
      <c r="K1041">
        <v>2262.7800000000002</v>
      </c>
      <c r="M1041">
        <v>1.41</v>
      </c>
    </row>
    <row r="1042" spans="1:14">
      <c r="A1042" s="28">
        <v>216</v>
      </c>
      <c r="B1042" t="s">
        <v>1334</v>
      </c>
      <c r="C1042" t="s">
        <v>347</v>
      </c>
      <c r="D1042">
        <v>74.98</v>
      </c>
      <c r="E1042">
        <v>2049.4299999999998</v>
      </c>
      <c r="F1042">
        <v>53.19</v>
      </c>
      <c r="G1042" t="s">
        <v>350</v>
      </c>
      <c r="H1042">
        <v>5.07</v>
      </c>
      <c r="I1042">
        <v>8.94</v>
      </c>
      <c r="J1042">
        <v>889.9</v>
      </c>
      <c r="K1042">
        <v>10747.17</v>
      </c>
      <c r="L1042">
        <v>32.08</v>
      </c>
      <c r="M1042">
        <v>2.66</v>
      </c>
      <c r="N1042">
        <v>18.78</v>
      </c>
    </row>
    <row r="1043" spans="1:14">
      <c r="A1043" s="28">
        <v>1094</v>
      </c>
      <c r="B1043" t="s">
        <v>102</v>
      </c>
      <c r="C1043" t="s">
        <v>347</v>
      </c>
      <c r="D1043">
        <v>74.989999999999995</v>
      </c>
      <c r="E1043">
        <v>1492.67</v>
      </c>
      <c r="F1043">
        <v>7.24</v>
      </c>
      <c r="G1043">
        <v>9.1199999999999992</v>
      </c>
      <c r="H1043">
        <v>5.44</v>
      </c>
      <c r="I1043">
        <v>9.56</v>
      </c>
      <c r="J1043">
        <v>840.76</v>
      </c>
      <c r="K1043">
        <v>9922.2199999999993</v>
      </c>
      <c r="L1043">
        <v>8.1199999999999992</v>
      </c>
      <c r="M1043">
        <v>0.69</v>
      </c>
      <c r="N1043">
        <v>12.69</v>
      </c>
    </row>
    <row r="1044" spans="1:14">
      <c r="A1044" s="28">
        <v>410</v>
      </c>
      <c r="B1044" t="s">
        <v>2128</v>
      </c>
      <c r="C1044" t="s">
        <v>347</v>
      </c>
      <c r="D1044">
        <v>75.45</v>
      </c>
      <c r="F1044">
        <v>30.94</v>
      </c>
      <c r="G1044" t="s">
        <v>350</v>
      </c>
      <c r="H1044">
        <v>6.29</v>
      </c>
      <c r="I1044">
        <v>10.85</v>
      </c>
      <c r="J1044">
        <v>48.78</v>
      </c>
      <c r="K1044">
        <v>475.01</v>
      </c>
      <c r="L1044">
        <v>7.03</v>
      </c>
      <c r="M1044">
        <v>0.72</v>
      </c>
      <c r="N1044">
        <v>5.27</v>
      </c>
    </row>
    <row r="1045" spans="1:14">
      <c r="A1045" s="28">
        <v>356</v>
      </c>
      <c r="B1045" t="s">
        <v>1160</v>
      </c>
      <c r="C1045" t="s">
        <v>348</v>
      </c>
      <c r="D1045">
        <v>75.849999999999994</v>
      </c>
      <c r="E1045">
        <v>664.19</v>
      </c>
      <c r="F1045">
        <v>35</v>
      </c>
      <c r="G1045">
        <v>9.98</v>
      </c>
      <c r="H1045">
        <v>7.52</v>
      </c>
      <c r="I1045">
        <v>13.07</v>
      </c>
      <c r="J1045">
        <v>462.35</v>
      </c>
      <c r="K1045">
        <v>3820.96</v>
      </c>
      <c r="L1045">
        <v>12.54</v>
      </c>
      <c r="M1045">
        <v>1.52</v>
      </c>
      <c r="N1045">
        <v>9.86</v>
      </c>
    </row>
    <row r="1046" spans="1:14">
      <c r="A1046" s="28">
        <v>537</v>
      </c>
      <c r="B1046" t="s">
        <v>2758</v>
      </c>
      <c r="C1046" t="s">
        <v>348</v>
      </c>
      <c r="D1046">
        <v>75.989999999999995</v>
      </c>
      <c r="E1046">
        <v>724.79</v>
      </c>
      <c r="F1046">
        <v>24.1</v>
      </c>
      <c r="G1046" t="s">
        <v>2788</v>
      </c>
      <c r="H1046">
        <v>-2.69</v>
      </c>
      <c r="I1046">
        <v>-4.49</v>
      </c>
      <c r="J1046">
        <v>-181.48</v>
      </c>
      <c r="K1046">
        <v>4123.93</v>
      </c>
      <c r="M1046">
        <v>1.53</v>
      </c>
      <c r="N1046">
        <v>8.32</v>
      </c>
    </row>
    <row r="1047" spans="1:14">
      <c r="A1047" s="28">
        <v>1050</v>
      </c>
      <c r="B1047" t="s">
        <v>1528</v>
      </c>
      <c r="C1047" t="s">
        <v>347</v>
      </c>
      <c r="D1047">
        <v>76.12</v>
      </c>
      <c r="E1047">
        <v>119.13</v>
      </c>
      <c r="F1047">
        <v>8.02</v>
      </c>
      <c r="G1047" t="s">
        <v>349</v>
      </c>
      <c r="H1047">
        <v>-6.2</v>
      </c>
      <c r="I1047">
        <v>-10.5</v>
      </c>
      <c r="J1047">
        <v>-117.19</v>
      </c>
      <c r="K1047">
        <v>1095.6300000000001</v>
      </c>
      <c r="M1047">
        <v>0.75</v>
      </c>
    </row>
    <row r="1048" spans="1:14">
      <c r="A1048" s="28">
        <v>624</v>
      </c>
      <c r="B1048" t="s">
        <v>1765</v>
      </c>
      <c r="C1048" t="s">
        <v>348</v>
      </c>
      <c r="D1048">
        <v>76.13</v>
      </c>
      <c r="E1048">
        <v>353.8</v>
      </c>
      <c r="F1048">
        <v>19.760000000000002</v>
      </c>
      <c r="G1048" t="s">
        <v>2788</v>
      </c>
      <c r="H1048">
        <v>-19.77</v>
      </c>
      <c r="I1048">
        <v>-30.88</v>
      </c>
      <c r="J1048">
        <v>-164.43</v>
      </c>
      <c r="K1048">
        <v>453.8</v>
      </c>
      <c r="M1048">
        <v>3.51</v>
      </c>
    </row>
    <row r="1049" spans="1:14">
      <c r="A1049" s="28">
        <v>546</v>
      </c>
      <c r="B1049" t="s">
        <v>2653</v>
      </c>
      <c r="C1049" t="s">
        <v>348</v>
      </c>
      <c r="D1049">
        <v>76.239999999999995</v>
      </c>
      <c r="E1049">
        <v>507.61</v>
      </c>
      <c r="F1049">
        <v>23.71</v>
      </c>
      <c r="G1049" t="s">
        <v>350</v>
      </c>
      <c r="H1049">
        <v>1.37</v>
      </c>
      <c r="I1049">
        <v>3.14</v>
      </c>
      <c r="J1049">
        <v>73.34</v>
      </c>
      <c r="K1049">
        <v>3038.06</v>
      </c>
      <c r="L1049">
        <v>68.58</v>
      </c>
      <c r="M1049">
        <v>1.66</v>
      </c>
      <c r="N1049">
        <v>14.22</v>
      </c>
    </row>
    <row r="1050" spans="1:14">
      <c r="A1050" s="28">
        <v>923</v>
      </c>
      <c r="B1050" t="s">
        <v>1748</v>
      </c>
      <c r="C1050" t="s">
        <v>348</v>
      </c>
      <c r="D1050">
        <v>76.44</v>
      </c>
      <c r="E1050">
        <v>371.55</v>
      </c>
      <c r="F1050">
        <v>10.84</v>
      </c>
      <c r="G1050" t="s">
        <v>350</v>
      </c>
      <c r="H1050">
        <v>3.05</v>
      </c>
      <c r="I1050">
        <v>5.42</v>
      </c>
      <c r="J1050">
        <v>248.49</v>
      </c>
      <c r="K1050">
        <v>4715.5</v>
      </c>
      <c r="L1050">
        <v>21.85</v>
      </c>
      <c r="M1050">
        <v>1.1499999999999999</v>
      </c>
      <c r="N1050">
        <v>6.79</v>
      </c>
    </row>
    <row r="1051" spans="1:14">
      <c r="A1051" s="28">
        <v>287</v>
      </c>
      <c r="B1051" t="s">
        <v>2067</v>
      </c>
      <c r="C1051" t="s">
        <v>348</v>
      </c>
      <c r="D1051">
        <v>76.48</v>
      </c>
      <c r="E1051">
        <v>389.93</v>
      </c>
      <c r="F1051">
        <v>42.18</v>
      </c>
      <c r="G1051">
        <v>168.99</v>
      </c>
      <c r="H1051">
        <v>5.2</v>
      </c>
      <c r="I1051">
        <v>9.19</v>
      </c>
      <c r="J1051">
        <v>215.83</v>
      </c>
      <c r="K1051">
        <v>2449.65</v>
      </c>
      <c r="L1051">
        <v>14.36</v>
      </c>
      <c r="M1051">
        <v>1.27</v>
      </c>
      <c r="N1051">
        <v>9.16</v>
      </c>
    </row>
    <row r="1052" spans="1:14">
      <c r="A1052" s="28">
        <v>16</v>
      </c>
      <c r="B1052" t="s">
        <v>2161</v>
      </c>
      <c r="C1052" t="s">
        <v>348</v>
      </c>
      <c r="D1052">
        <v>767.47</v>
      </c>
      <c r="E1052">
        <v>168.82</v>
      </c>
      <c r="F1052">
        <v>631.76</v>
      </c>
      <c r="G1052" t="s">
        <v>2788</v>
      </c>
      <c r="H1052">
        <v>-1.53</v>
      </c>
      <c r="I1052">
        <v>-10.79</v>
      </c>
      <c r="J1052">
        <v>-148.29</v>
      </c>
      <c r="K1052">
        <v>1344.12</v>
      </c>
      <c r="M1052">
        <v>0.55000000000000004</v>
      </c>
    </row>
    <row r="1053" spans="1:14">
      <c r="A1053" s="28">
        <v>1059</v>
      </c>
      <c r="B1053" t="s">
        <v>576</v>
      </c>
      <c r="C1053" t="s">
        <v>348</v>
      </c>
      <c r="D1053">
        <v>77.319999999999993</v>
      </c>
      <c r="E1053">
        <v>499.78</v>
      </c>
      <c r="F1053">
        <v>7.92</v>
      </c>
      <c r="G1053">
        <v>12.54</v>
      </c>
      <c r="H1053">
        <v>15.06</v>
      </c>
      <c r="I1053">
        <v>26.95</v>
      </c>
      <c r="J1053">
        <v>754.69</v>
      </c>
      <c r="K1053">
        <v>2998.9</v>
      </c>
      <c r="L1053">
        <v>12.61</v>
      </c>
      <c r="M1053">
        <v>3.17</v>
      </c>
      <c r="N1053">
        <v>7.4</v>
      </c>
    </row>
    <row r="1054" spans="1:14">
      <c r="A1054" s="28">
        <v>203</v>
      </c>
      <c r="B1054" t="s">
        <v>2134</v>
      </c>
      <c r="C1054" t="s">
        <v>348</v>
      </c>
      <c r="D1054">
        <v>77.33</v>
      </c>
      <c r="E1054">
        <v>133.13999999999999</v>
      </c>
      <c r="F1054">
        <v>55.78</v>
      </c>
      <c r="G1054">
        <v>-78.69</v>
      </c>
      <c r="H1054">
        <v>3.33</v>
      </c>
      <c r="I1054">
        <v>5.38</v>
      </c>
      <c r="J1054">
        <v>60.84</v>
      </c>
      <c r="K1054">
        <v>1165.68</v>
      </c>
      <c r="L1054">
        <v>144.63</v>
      </c>
      <c r="M1054">
        <v>7.55</v>
      </c>
      <c r="N1054">
        <v>61.55</v>
      </c>
    </row>
    <row r="1055" spans="1:14">
      <c r="A1055" s="28">
        <v>614</v>
      </c>
      <c r="B1055" t="s">
        <v>381</v>
      </c>
      <c r="C1055" t="s">
        <v>348</v>
      </c>
      <c r="D1055">
        <v>77.650000000000006</v>
      </c>
      <c r="E1055">
        <v>606.91</v>
      </c>
      <c r="F1055">
        <v>20.059999999999999</v>
      </c>
      <c r="G1055">
        <v>280.69</v>
      </c>
      <c r="H1055">
        <v>6.45</v>
      </c>
      <c r="I1055">
        <v>11.74</v>
      </c>
      <c r="J1055">
        <v>789.76</v>
      </c>
      <c r="K1055">
        <v>7069.09</v>
      </c>
      <c r="L1055">
        <v>19.5</v>
      </c>
      <c r="M1055">
        <v>2.1800000000000002</v>
      </c>
      <c r="N1055">
        <v>14.31</v>
      </c>
    </row>
    <row r="1056" spans="1:14">
      <c r="A1056" s="28">
        <v>558</v>
      </c>
      <c r="B1056" t="s">
        <v>1444</v>
      </c>
      <c r="C1056" t="s">
        <v>348</v>
      </c>
      <c r="D1056">
        <v>77.97</v>
      </c>
      <c r="E1056">
        <v>971.37</v>
      </c>
      <c r="F1056">
        <v>22.96</v>
      </c>
      <c r="G1056" t="s">
        <v>350</v>
      </c>
      <c r="H1056">
        <v>3.87</v>
      </c>
      <c r="I1056">
        <v>6.52</v>
      </c>
      <c r="J1056">
        <v>67.599999999999994</v>
      </c>
      <c r="K1056">
        <v>1071.3699999999999</v>
      </c>
      <c r="L1056">
        <v>45.41</v>
      </c>
      <c r="M1056">
        <v>2.87</v>
      </c>
      <c r="N1056">
        <v>38.049999999999997</v>
      </c>
    </row>
    <row r="1057" spans="1:14">
      <c r="A1057" s="28">
        <v>211</v>
      </c>
      <c r="B1057" t="s">
        <v>2560</v>
      </c>
      <c r="C1057" t="s">
        <v>348</v>
      </c>
      <c r="D1057">
        <v>78.02</v>
      </c>
      <c r="E1057">
        <v>47.31</v>
      </c>
      <c r="F1057">
        <v>54.82</v>
      </c>
      <c r="G1057" t="s">
        <v>2788</v>
      </c>
      <c r="H1057">
        <v>-8.42</v>
      </c>
      <c r="I1057">
        <v>-16</v>
      </c>
      <c r="J1057">
        <v>-557.44000000000005</v>
      </c>
      <c r="K1057">
        <v>3682.7</v>
      </c>
      <c r="M1057">
        <v>0.86</v>
      </c>
      <c r="N1057">
        <v>26.8</v>
      </c>
    </row>
    <row r="1058" spans="1:14">
      <c r="A1058" s="28">
        <v>459</v>
      </c>
      <c r="B1058" t="s">
        <v>635</v>
      </c>
      <c r="C1058" t="s">
        <v>348</v>
      </c>
      <c r="D1058">
        <v>78.28</v>
      </c>
      <c r="E1058">
        <v>3877.39</v>
      </c>
      <c r="F1058">
        <v>27.72</v>
      </c>
      <c r="G1058">
        <v>17.88</v>
      </c>
      <c r="H1058">
        <v>15.73</v>
      </c>
      <c r="I1058">
        <v>27.53</v>
      </c>
      <c r="J1058">
        <v>4750</v>
      </c>
      <c r="K1058">
        <v>19144.59</v>
      </c>
      <c r="L1058">
        <v>6.73</v>
      </c>
      <c r="M1058">
        <v>1.67</v>
      </c>
      <c r="N1058">
        <v>6.07</v>
      </c>
    </row>
    <row r="1059" spans="1:14">
      <c r="A1059" s="28">
        <v>665</v>
      </c>
      <c r="B1059" t="s">
        <v>1962</v>
      </c>
      <c r="C1059" t="s">
        <v>347</v>
      </c>
      <c r="D1059">
        <v>78.38</v>
      </c>
      <c r="E1059">
        <v>602.35</v>
      </c>
      <c r="F1059">
        <v>18.18</v>
      </c>
      <c r="G1059">
        <v>-69.989999999999995</v>
      </c>
      <c r="H1059">
        <v>0.57999999999999996</v>
      </c>
      <c r="I1059">
        <v>1.34</v>
      </c>
      <c r="J1059">
        <v>65.25</v>
      </c>
      <c r="K1059">
        <v>6363.23</v>
      </c>
      <c r="L1059">
        <v>208.15</v>
      </c>
      <c r="M1059">
        <v>2.13</v>
      </c>
      <c r="N1059">
        <v>33.26</v>
      </c>
    </row>
    <row r="1060" spans="1:14">
      <c r="A1060" s="28">
        <v>557</v>
      </c>
      <c r="B1060" t="s">
        <v>1451</v>
      </c>
      <c r="C1060" t="s">
        <v>348</v>
      </c>
      <c r="D1060">
        <v>78.650000000000006</v>
      </c>
      <c r="E1060">
        <v>337.81</v>
      </c>
      <c r="F1060">
        <v>23.11</v>
      </c>
      <c r="G1060" t="s">
        <v>2788</v>
      </c>
      <c r="H1060">
        <v>-57.79</v>
      </c>
      <c r="I1060">
        <v>-82.37</v>
      </c>
      <c r="J1060">
        <v>-611.39</v>
      </c>
      <c r="K1060">
        <v>437.81</v>
      </c>
      <c r="M1060">
        <v>13.36</v>
      </c>
    </row>
    <row r="1061" spans="1:14">
      <c r="A1061" s="28">
        <v>1091</v>
      </c>
      <c r="B1061" t="s">
        <v>535</v>
      </c>
      <c r="C1061" t="s">
        <v>348</v>
      </c>
      <c r="D1061">
        <v>78.709999999999994</v>
      </c>
      <c r="E1061">
        <v>520.73</v>
      </c>
      <c r="F1061">
        <v>7.25</v>
      </c>
      <c r="G1061">
        <v>198.05</v>
      </c>
      <c r="H1061">
        <v>9.07</v>
      </c>
      <c r="I1061">
        <v>16.84</v>
      </c>
      <c r="J1061">
        <v>476.79</v>
      </c>
      <c r="K1061">
        <v>3103.66</v>
      </c>
      <c r="L1061">
        <v>7.05</v>
      </c>
      <c r="M1061">
        <v>1.08</v>
      </c>
      <c r="N1061">
        <v>6.01</v>
      </c>
    </row>
    <row r="1062" spans="1:14">
      <c r="A1062" s="28">
        <v>349</v>
      </c>
      <c r="B1062" t="s">
        <v>2149</v>
      </c>
      <c r="C1062" t="s">
        <v>347</v>
      </c>
      <c r="D1062">
        <v>784.41</v>
      </c>
      <c r="F1062">
        <v>35.799999999999997</v>
      </c>
      <c r="G1062" t="s">
        <v>2788</v>
      </c>
      <c r="H1062">
        <v>-3.91</v>
      </c>
      <c r="I1062">
        <v>-29.15</v>
      </c>
      <c r="J1062">
        <v>-502.79</v>
      </c>
      <c r="K1062">
        <v>1439.99</v>
      </c>
      <c r="M1062">
        <v>3.96</v>
      </c>
      <c r="N1062">
        <v>40.82</v>
      </c>
    </row>
    <row r="1063" spans="1:14">
      <c r="A1063" s="28">
        <v>142</v>
      </c>
      <c r="B1063" t="s">
        <v>2346</v>
      </c>
      <c r="C1063" t="s">
        <v>347</v>
      </c>
      <c r="D1063">
        <v>79.87</v>
      </c>
      <c r="E1063">
        <v>2690.03</v>
      </c>
      <c r="F1063">
        <v>74.16</v>
      </c>
      <c r="G1063">
        <v>112.99</v>
      </c>
      <c r="H1063">
        <v>17.670000000000002</v>
      </c>
      <c r="I1063">
        <v>32.33</v>
      </c>
      <c r="J1063">
        <v>3847.85</v>
      </c>
      <c r="K1063">
        <v>13950.13</v>
      </c>
      <c r="N1063">
        <v>0</v>
      </c>
    </row>
    <row r="1064" spans="1:14">
      <c r="A1064" s="28">
        <v>559</v>
      </c>
      <c r="B1064" t="s">
        <v>646</v>
      </c>
      <c r="C1064" t="s">
        <v>347</v>
      </c>
      <c r="D1064">
        <v>79.91</v>
      </c>
      <c r="E1064">
        <v>110648.46</v>
      </c>
      <c r="F1064">
        <v>22.77</v>
      </c>
      <c r="G1064">
        <v>-32.69</v>
      </c>
      <c r="H1064">
        <v>1.27</v>
      </c>
      <c r="I1064">
        <v>2.2799999999999998</v>
      </c>
      <c r="J1064">
        <v>4904.43</v>
      </c>
      <c r="K1064">
        <v>242367.71</v>
      </c>
      <c r="L1064">
        <v>36.29</v>
      </c>
      <c r="M1064">
        <v>0.73</v>
      </c>
      <c r="N1064">
        <v>14.25</v>
      </c>
    </row>
    <row r="1065" spans="1:14">
      <c r="A1065" s="28">
        <v>523</v>
      </c>
      <c r="B1065" t="s">
        <v>2063</v>
      </c>
      <c r="C1065" t="s">
        <v>348</v>
      </c>
      <c r="D1065">
        <v>8.06</v>
      </c>
      <c r="E1065">
        <v>8245.15</v>
      </c>
      <c r="F1065">
        <v>24.53</v>
      </c>
      <c r="G1065">
        <v>-42.67</v>
      </c>
      <c r="H1065">
        <v>7.13</v>
      </c>
      <c r="I1065">
        <v>7.75</v>
      </c>
      <c r="J1065">
        <v>620.84</v>
      </c>
      <c r="K1065">
        <v>8345.15</v>
      </c>
      <c r="L1065">
        <v>18.28</v>
      </c>
      <c r="M1065">
        <v>1.36</v>
      </c>
      <c r="N1065">
        <v>13.37</v>
      </c>
    </row>
    <row r="1066" spans="1:14">
      <c r="A1066" s="28">
        <v>1044</v>
      </c>
      <c r="B1066" t="s">
        <v>206</v>
      </c>
      <c r="C1066" t="s">
        <v>347</v>
      </c>
      <c r="D1066">
        <v>8.07</v>
      </c>
      <c r="E1066">
        <v>17682.009999999998</v>
      </c>
      <c r="F1066">
        <v>8.14</v>
      </c>
      <c r="G1066">
        <v>-2.76</v>
      </c>
      <c r="H1066">
        <v>6.08</v>
      </c>
      <c r="I1066">
        <v>6.63</v>
      </c>
      <c r="J1066">
        <v>1093.74</v>
      </c>
      <c r="K1066">
        <v>17782.009999999998</v>
      </c>
      <c r="L1066">
        <v>14.98</v>
      </c>
      <c r="M1066">
        <v>0.92</v>
      </c>
      <c r="N1066">
        <v>14.21</v>
      </c>
    </row>
    <row r="1067" spans="1:14">
      <c r="A1067" s="28">
        <v>626</v>
      </c>
      <c r="B1067" t="s">
        <v>2747</v>
      </c>
      <c r="C1067" t="s">
        <v>348</v>
      </c>
      <c r="D1067">
        <v>8.1199999999999992</v>
      </c>
      <c r="E1067">
        <v>485.33</v>
      </c>
      <c r="F1067">
        <v>19.64</v>
      </c>
      <c r="G1067" t="s">
        <v>349</v>
      </c>
      <c r="H1067">
        <v>-12.05</v>
      </c>
      <c r="I1067">
        <v>-13.14</v>
      </c>
      <c r="J1067">
        <v>-82.91</v>
      </c>
      <c r="K1067">
        <v>585.33000000000004</v>
      </c>
      <c r="M1067">
        <v>3.13</v>
      </c>
      <c r="N1067">
        <v>21.76</v>
      </c>
    </row>
    <row r="1068" spans="1:14">
      <c r="A1068" s="28">
        <v>775</v>
      </c>
      <c r="B1068" t="s">
        <v>406</v>
      </c>
      <c r="C1068" t="s">
        <v>348</v>
      </c>
      <c r="D1068">
        <v>8.43</v>
      </c>
      <c r="E1068">
        <v>3598.48</v>
      </c>
      <c r="F1068">
        <v>14.81</v>
      </c>
      <c r="G1068">
        <v>48.61</v>
      </c>
      <c r="H1068">
        <v>15.46</v>
      </c>
      <c r="I1068">
        <v>16.93</v>
      </c>
      <c r="J1068">
        <v>2925.28</v>
      </c>
      <c r="K1068">
        <v>18492.38</v>
      </c>
      <c r="L1068">
        <v>6.51</v>
      </c>
      <c r="M1068">
        <v>1.03</v>
      </c>
      <c r="N1068">
        <v>7.29</v>
      </c>
    </row>
    <row r="1069" spans="1:14">
      <c r="A1069" s="28">
        <v>320</v>
      </c>
      <c r="B1069" t="s">
        <v>2423</v>
      </c>
      <c r="C1069" t="s">
        <v>348</v>
      </c>
      <c r="D1069">
        <v>8.66</v>
      </c>
      <c r="E1069">
        <v>15.6</v>
      </c>
      <c r="F1069">
        <v>38.479999999999997</v>
      </c>
      <c r="G1069" t="s">
        <v>2788</v>
      </c>
      <c r="H1069">
        <v>-3.84</v>
      </c>
      <c r="I1069">
        <v>-4.3499999999999996</v>
      </c>
      <c r="J1069">
        <v>-24.92</v>
      </c>
      <c r="K1069">
        <v>577.99</v>
      </c>
      <c r="M1069">
        <v>0.73</v>
      </c>
    </row>
    <row r="1070" spans="1:14">
      <c r="A1070" s="28">
        <v>445</v>
      </c>
      <c r="B1070" t="s">
        <v>2165</v>
      </c>
      <c r="C1070" t="s">
        <v>348</v>
      </c>
      <c r="D1070">
        <v>8.7899999999999991</v>
      </c>
      <c r="E1070">
        <v>4.33</v>
      </c>
      <c r="F1070">
        <v>28.57</v>
      </c>
      <c r="G1070">
        <v>0.18</v>
      </c>
      <c r="H1070">
        <v>7.43</v>
      </c>
      <c r="I1070">
        <v>8.3699999999999992</v>
      </c>
      <c r="J1070">
        <v>420.62</v>
      </c>
      <c r="K1070">
        <v>5314.4</v>
      </c>
      <c r="L1070">
        <v>10.1</v>
      </c>
      <c r="M1070">
        <v>0.8</v>
      </c>
      <c r="N1070">
        <v>10.65</v>
      </c>
    </row>
    <row r="1071" spans="1:14">
      <c r="A1071" s="28">
        <v>781</v>
      </c>
      <c r="B1071" t="s">
        <v>736</v>
      </c>
      <c r="C1071" t="s">
        <v>348</v>
      </c>
      <c r="D1071">
        <v>8.7899999999999991</v>
      </c>
      <c r="E1071">
        <v>5382.82</v>
      </c>
      <c r="F1071">
        <v>14.63</v>
      </c>
      <c r="G1071">
        <v>46.06</v>
      </c>
      <c r="H1071">
        <v>16.59</v>
      </c>
      <c r="I1071">
        <v>18.02</v>
      </c>
      <c r="J1071">
        <v>743.37</v>
      </c>
      <c r="K1071">
        <v>5482.82</v>
      </c>
      <c r="L1071">
        <v>36.99</v>
      </c>
      <c r="M1071">
        <v>5.0199999999999996</v>
      </c>
      <c r="N1071">
        <v>32.56</v>
      </c>
    </row>
    <row r="1072" spans="1:14">
      <c r="A1072" s="28">
        <v>460</v>
      </c>
      <c r="B1072" t="s">
        <v>2269</v>
      </c>
      <c r="C1072" t="s">
        <v>347</v>
      </c>
      <c r="D1072">
        <v>80</v>
      </c>
      <c r="E1072">
        <v>480.57</v>
      </c>
      <c r="F1072">
        <v>27.67</v>
      </c>
      <c r="G1072" t="s">
        <v>2788</v>
      </c>
      <c r="H1072">
        <v>-39.159999999999997</v>
      </c>
      <c r="I1072">
        <v>-67.25</v>
      </c>
      <c r="J1072">
        <v>-1901.88</v>
      </c>
      <c r="K1072">
        <v>2902.85</v>
      </c>
      <c r="M1072">
        <v>1.93</v>
      </c>
    </row>
    <row r="1073" spans="1:14">
      <c r="A1073" s="28">
        <v>911</v>
      </c>
      <c r="B1073" t="s">
        <v>601</v>
      </c>
      <c r="C1073" t="s">
        <v>347</v>
      </c>
      <c r="D1073">
        <v>80.23</v>
      </c>
      <c r="E1073">
        <v>11677.42</v>
      </c>
      <c r="F1073">
        <v>11.02</v>
      </c>
      <c r="G1073">
        <v>7265.47</v>
      </c>
      <c r="H1073">
        <v>5.86</v>
      </c>
      <c r="I1073">
        <v>10.53</v>
      </c>
      <c r="J1073">
        <v>60859.87</v>
      </c>
      <c r="K1073">
        <v>637275.80000000005</v>
      </c>
      <c r="L1073">
        <v>3.75</v>
      </c>
      <c r="M1073">
        <v>0.36</v>
      </c>
      <c r="N1073">
        <v>7.41</v>
      </c>
    </row>
    <row r="1074" spans="1:14">
      <c r="A1074" s="28">
        <v>291</v>
      </c>
      <c r="B1074" t="s">
        <v>242</v>
      </c>
      <c r="C1074" t="s">
        <v>347</v>
      </c>
      <c r="D1074">
        <v>80.28</v>
      </c>
      <c r="E1074">
        <v>2204.89</v>
      </c>
      <c r="F1074">
        <v>41.79</v>
      </c>
      <c r="G1074">
        <v>515.54</v>
      </c>
      <c r="H1074">
        <v>8.77</v>
      </c>
      <c r="I1074">
        <v>16.239999999999998</v>
      </c>
      <c r="J1074">
        <v>1977.64</v>
      </c>
      <c r="K1074">
        <v>14813.86</v>
      </c>
      <c r="L1074">
        <v>4.0999999999999996</v>
      </c>
      <c r="M1074">
        <v>0.55000000000000004</v>
      </c>
      <c r="N1074">
        <v>4.45</v>
      </c>
    </row>
    <row r="1075" spans="1:14">
      <c r="A1075" s="28">
        <v>67</v>
      </c>
      <c r="B1075" t="s">
        <v>1583</v>
      </c>
      <c r="C1075" t="s">
        <v>348</v>
      </c>
      <c r="D1075">
        <v>80.59</v>
      </c>
      <c r="E1075">
        <v>303.18</v>
      </c>
      <c r="F1075">
        <v>152.29</v>
      </c>
      <c r="G1075" t="s">
        <v>2788</v>
      </c>
      <c r="H1075">
        <v>-21.28</v>
      </c>
      <c r="I1075">
        <v>-44.56</v>
      </c>
      <c r="J1075">
        <v>-140.94999999999999</v>
      </c>
      <c r="K1075">
        <v>403.18</v>
      </c>
      <c r="M1075">
        <v>1</v>
      </c>
    </row>
    <row r="1076" spans="1:14">
      <c r="A1076" s="28">
        <v>934</v>
      </c>
      <c r="B1076" t="s">
        <v>649</v>
      </c>
      <c r="C1076" t="s">
        <v>347</v>
      </c>
      <c r="D1076">
        <v>80.67</v>
      </c>
      <c r="E1076">
        <v>2762.25</v>
      </c>
      <c r="F1076">
        <v>10.45</v>
      </c>
      <c r="G1076">
        <v>21.32</v>
      </c>
      <c r="H1076">
        <v>6.8</v>
      </c>
      <c r="I1076">
        <v>12.14</v>
      </c>
      <c r="J1076">
        <v>1660.3</v>
      </c>
      <c r="K1076">
        <v>14311.24</v>
      </c>
      <c r="L1076">
        <v>11.56</v>
      </c>
      <c r="M1076">
        <v>1.34</v>
      </c>
      <c r="N1076">
        <v>15.35</v>
      </c>
    </row>
    <row r="1077" spans="1:14">
      <c r="A1077" s="28">
        <v>823</v>
      </c>
      <c r="B1077" t="s">
        <v>2763</v>
      </c>
      <c r="C1077" t="s">
        <v>348</v>
      </c>
      <c r="D1077">
        <v>81.03</v>
      </c>
      <c r="E1077">
        <v>690.15</v>
      </c>
      <c r="F1077">
        <v>13.52</v>
      </c>
      <c r="G1077">
        <v>50.96</v>
      </c>
      <c r="H1077">
        <v>7.69</v>
      </c>
      <c r="I1077">
        <v>14.34</v>
      </c>
      <c r="J1077">
        <v>105.46</v>
      </c>
      <c r="K1077">
        <v>790.15</v>
      </c>
      <c r="L1077">
        <v>11.28</v>
      </c>
      <c r="M1077">
        <v>1.51</v>
      </c>
      <c r="N1077">
        <v>8.33</v>
      </c>
    </row>
    <row r="1078" spans="1:14">
      <c r="A1078" s="28">
        <v>753</v>
      </c>
      <c r="B1078" t="s">
        <v>1389</v>
      </c>
      <c r="C1078" t="s">
        <v>348</v>
      </c>
      <c r="D1078">
        <v>81.09</v>
      </c>
      <c r="E1078">
        <v>671.81</v>
      </c>
      <c r="F1078">
        <v>15.41</v>
      </c>
      <c r="G1078">
        <v>-48.71</v>
      </c>
      <c r="H1078">
        <v>3.4</v>
      </c>
      <c r="I1078">
        <v>4.99</v>
      </c>
      <c r="J1078">
        <v>182.32</v>
      </c>
      <c r="K1078">
        <v>3874.7</v>
      </c>
      <c r="L1078">
        <v>126.7</v>
      </c>
      <c r="M1078">
        <v>5.96</v>
      </c>
      <c r="N1078">
        <v>61.48</v>
      </c>
    </row>
    <row r="1079" spans="1:14">
      <c r="A1079" s="28">
        <v>622</v>
      </c>
      <c r="B1079" t="s">
        <v>960</v>
      </c>
      <c r="C1079" t="s">
        <v>348</v>
      </c>
      <c r="D1079">
        <v>81.400000000000006</v>
      </c>
      <c r="E1079">
        <v>1136.45</v>
      </c>
      <c r="F1079">
        <v>19.82</v>
      </c>
      <c r="G1079">
        <v>22.67</v>
      </c>
      <c r="H1079">
        <v>4.41</v>
      </c>
      <c r="I1079">
        <v>8.07</v>
      </c>
      <c r="J1079">
        <v>479.45</v>
      </c>
      <c r="K1079">
        <v>6182.27</v>
      </c>
      <c r="L1079">
        <v>14.37</v>
      </c>
      <c r="M1079">
        <v>1.1100000000000001</v>
      </c>
      <c r="N1079">
        <v>8.2200000000000006</v>
      </c>
    </row>
    <row r="1080" spans="1:14">
      <c r="A1080" s="28">
        <v>770</v>
      </c>
      <c r="B1080" t="s">
        <v>2330</v>
      </c>
      <c r="C1080" t="s">
        <v>348</v>
      </c>
      <c r="D1080">
        <v>81.52</v>
      </c>
      <c r="E1080">
        <v>407.99</v>
      </c>
      <c r="F1080">
        <v>14.96</v>
      </c>
      <c r="G1080" t="s">
        <v>2788</v>
      </c>
      <c r="H1080">
        <v>-1.23</v>
      </c>
      <c r="I1080">
        <v>-2.34</v>
      </c>
      <c r="J1080">
        <v>-57.04</v>
      </c>
      <c r="K1080">
        <v>2539.9299999999998</v>
      </c>
      <c r="M1080">
        <v>2.06</v>
      </c>
      <c r="N1080">
        <v>1291.67</v>
      </c>
    </row>
    <row r="1081" spans="1:14">
      <c r="A1081" s="28">
        <v>949</v>
      </c>
      <c r="B1081" t="s">
        <v>1083</v>
      </c>
      <c r="C1081" t="s">
        <v>347</v>
      </c>
      <c r="D1081">
        <v>81.59</v>
      </c>
      <c r="E1081">
        <v>326.67</v>
      </c>
      <c r="F1081">
        <v>10.199999999999999</v>
      </c>
      <c r="G1081">
        <v>22.63</v>
      </c>
      <c r="H1081">
        <v>3.27</v>
      </c>
      <c r="I1081">
        <v>5.97</v>
      </c>
      <c r="J1081">
        <v>589.82000000000005</v>
      </c>
      <c r="K1081">
        <v>10666.69</v>
      </c>
      <c r="L1081">
        <v>26.53</v>
      </c>
      <c r="M1081">
        <v>1.47</v>
      </c>
      <c r="N1081">
        <v>14.89</v>
      </c>
    </row>
    <row r="1082" spans="1:14">
      <c r="A1082" s="28">
        <v>437</v>
      </c>
      <c r="B1082" t="s">
        <v>1874</v>
      </c>
      <c r="C1082" t="s">
        <v>348</v>
      </c>
      <c r="D1082">
        <v>81.86</v>
      </c>
      <c r="F1082">
        <v>28.85</v>
      </c>
      <c r="G1082" t="s">
        <v>2788</v>
      </c>
      <c r="H1082">
        <v>-12.08</v>
      </c>
      <c r="I1082">
        <v>-21.84</v>
      </c>
      <c r="J1082">
        <v>-60.8</v>
      </c>
      <c r="K1082">
        <v>286.83</v>
      </c>
      <c r="M1082">
        <v>1.24</v>
      </c>
      <c r="N1082">
        <v>228.78</v>
      </c>
    </row>
    <row r="1083" spans="1:14">
      <c r="A1083" s="28">
        <v>570</v>
      </c>
      <c r="B1083" t="s">
        <v>2666</v>
      </c>
      <c r="C1083" t="s">
        <v>348</v>
      </c>
      <c r="D1083">
        <v>82.13</v>
      </c>
      <c r="E1083">
        <v>479.83</v>
      </c>
      <c r="F1083">
        <v>22.24</v>
      </c>
      <c r="G1083" t="s">
        <v>350</v>
      </c>
      <c r="H1083">
        <v>6.1</v>
      </c>
      <c r="I1083">
        <v>12.2</v>
      </c>
      <c r="J1083">
        <v>273.06</v>
      </c>
      <c r="K1083">
        <v>2899.14</v>
      </c>
      <c r="L1083">
        <v>13.77</v>
      </c>
      <c r="M1083">
        <v>1.3</v>
      </c>
      <c r="N1083">
        <v>11.34</v>
      </c>
    </row>
    <row r="1084" spans="1:14">
      <c r="A1084" s="28">
        <v>482</v>
      </c>
      <c r="B1084" t="s">
        <v>1573</v>
      </c>
      <c r="C1084" t="s">
        <v>347</v>
      </c>
      <c r="D1084">
        <v>82.17</v>
      </c>
      <c r="E1084">
        <v>561.6</v>
      </c>
      <c r="F1084">
        <v>26.39</v>
      </c>
      <c r="G1084" t="s">
        <v>350</v>
      </c>
      <c r="H1084">
        <v>1.41</v>
      </c>
      <c r="I1084">
        <v>2.91</v>
      </c>
      <c r="J1084">
        <v>19.239999999999998</v>
      </c>
      <c r="K1084">
        <v>661.6</v>
      </c>
      <c r="L1084">
        <v>41.59</v>
      </c>
      <c r="M1084">
        <v>1.21</v>
      </c>
    </row>
    <row r="1085" spans="1:14">
      <c r="A1085" s="28">
        <v>83</v>
      </c>
      <c r="B1085" t="s">
        <v>1758</v>
      </c>
      <c r="C1085" t="s">
        <v>348</v>
      </c>
      <c r="D1085">
        <v>82.24</v>
      </c>
      <c r="E1085">
        <v>134.99</v>
      </c>
      <c r="F1085">
        <v>128.18</v>
      </c>
      <c r="G1085" t="s">
        <v>2788</v>
      </c>
      <c r="H1085">
        <v>-14.23</v>
      </c>
      <c r="I1085">
        <v>-22.88</v>
      </c>
      <c r="J1085">
        <v>-60.97</v>
      </c>
      <c r="K1085">
        <v>234.99</v>
      </c>
      <c r="M1085">
        <v>4.83</v>
      </c>
    </row>
    <row r="1086" spans="1:14">
      <c r="A1086" s="28">
        <v>928</v>
      </c>
      <c r="B1086" t="s">
        <v>719</v>
      </c>
      <c r="C1086" t="s">
        <v>347</v>
      </c>
      <c r="D1086">
        <v>82.35</v>
      </c>
      <c r="E1086">
        <v>2405.19</v>
      </c>
      <c r="F1086">
        <v>10.58</v>
      </c>
      <c r="G1086">
        <v>-24.51</v>
      </c>
      <c r="H1086">
        <v>5.31</v>
      </c>
      <c r="I1086">
        <v>9.43</v>
      </c>
      <c r="J1086">
        <v>1082.47</v>
      </c>
      <c r="K1086">
        <v>12525.95</v>
      </c>
      <c r="L1086">
        <v>14.47</v>
      </c>
      <c r="M1086">
        <v>1.25</v>
      </c>
      <c r="N1086">
        <v>9.01</v>
      </c>
    </row>
    <row r="1087" spans="1:14">
      <c r="A1087" s="28">
        <v>905</v>
      </c>
      <c r="B1087" t="s">
        <v>835</v>
      </c>
      <c r="C1087" t="s">
        <v>347</v>
      </c>
      <c r="D1087">
        <v>82.47</v>
      </c>
      <c r="E1087">
        <v>502.17</v>
      </c>
      <c r="F1087">
        <v>11.09</v>
      </c>
      <c r="G1087">
        <v>112.38</v>
      </c>
      <c r="H1087">
        <v>6.25</v>
      </c>
      <c r="I1087">
        <v>11.35</v>
      </c>
      <c r="J1087">
        <v>3289.02</v>
      </c>
      <c r="K1087">
        <v>30108.37</v>
      </c>
      <c r="L1087">
        <v>8.91</v>
      </c>
      <c r="M1087">
        <v>0.97</v>
      </c>
      <c r="N1087">
        <v>4.4800000000000004</v>
      </c>
    </row>
    <row r="1088" spans="1:14">
      <c r="A1088" s="28">
        <v>946</v>
      </c>
      <c r="B1088" t="s">
        <v>1321</v>
      </c>
      <c r="C1088" t="s">
        <v>348</v>
      </c>
      <c r="D1088">
        <v>82.6</v>
      </c>
      <c r="E1088">
        <v>2365.5100000000002</v>
      </c>
      <c r="F1088">
        <v>10.25</v>
      </c>
      <c r="G1088">
        <v>543.38</v>
      </c>
      <c r="H1088">
        <v>17.77</v>
      </c>
      <c r="I1088">
        <v>33.270000000000003</v>
      </c>
      <c r="J1088">
        <v>3349.57</v>
      </c>
      <c r="K1088">
        <v>12327.56</v>
      </c>
      <c r="L1088">
        <v>3.3</v>
      </c>
      <c r="M1088">
        <v>0.9</v>
      </c>
      <c r="N1088">
        <v>7.59</v>
      </c>
    </row>
    <row r="1089" spans="1:14">
      <c r="A1089" s="28">
        <v>904</v>
      </c>
      <c r="B1089" t="s">
        <v>1186</v>
      </c>
      <c r="C1089" t="s">
        <v>347</v>
      </c>
      <c r="D1089">
        <v>82.64</v>
      </c>
      <c r="E1089">
        <v>556.63</v>
      </c>
      <c r="F1089">
        <v>11.11</v>
      </c>
      <c r="G1089" t="s">
        <v>350</v>
      </c>
      <c r="H1089">
        <v>3.65</v>
      </c>
      <c r="I1089">
        <v>7.15</v>
      </c>
      <c r="J1089">
        <v>191.3</v>
      </c>
      <c r="K1089">
        <v>3283.16</v>
      </c>
      <c r="L1089">
        <v>20.65</v>
      </c>
      <c r="M1089">
        <v>1.2</v>
      </c>
      <c r="N1089">
        <v>14.36</v>
      </c>
    </row>
    <row r="1090" spans="1:14">
      <c r="A1090" s="28">
        <v>496</v>
      </c>
      <c r="B1090" t="s">
        <v>2028</v>
      </c>
      <c r="C1090" t="s">
        <v>348</v>
      </c>
      <c r="D1090">
        <v>826.56</v>
      </c>
      <c r="E1090">
        <v>388.31</v>
      </c>
      <c r="F1090">
        <v>25.7</v>
      </c>
      <c r="G1090" t="s">
        <v>2788</v>
      </c>
      <c r="H1090">
        <v>-6.19</v>
      </c>
      <c r="I1090">
        <v>-51.27</v>
      </c>
      <c r="J1090">
        <v>-283.48</v>
      </c>
      <c r="K1090">
        <v>488.31</v>
      </c>
      <c r="M1090">
        <v>1.77</v>
      </c>
      <c r="N1090">
        <v>40.89</v>
      </c>
    </row>
    <row r="1091" spans="1:14">
      <c r="A1091" s="28">
        <v>145</v>
      </c>
      <c r="B1091" t="s">
        <v>1621</v>
      </c>
      <c r="C1091" t="s">
        <v>347</v>
      </c>
      <c r="D1091">
        <v>83.06</v>
      </c>
      <c r="E1091">
        <v>329.72</v>
      </c>
      <c r="F1091">
        <v>73.2</v>
      </c>
      <c r="G1091">
        <v>-66.989999999999995</v>
      </c>
      <c r="H1091">
        <v>1.33</v>
      </c>
      <c r="I1091">
        <v>2.2999999999999998</v>
      </c>
      <c r="J1091">
        <v>48.12</v>
      </c>
      <c r="K1091">
        <v>2148.58</v>
      </c>
      <c r="L1091">
        <v>31.27</v>
      </c>
      <c r="M1091">
        <v>0.7</v>
      </c>
      <c r="N1091">
        <v>15.36</v>
      </c>
    </row>
    <row r="1092" spans="1:14">
      <c r="A1092" s="28">
        <v>643</v>
      </c>
      <c r="B1092" t="s">
        <v>1728</v>
      </c>
      <c r="C1092" t="s">
        <v>348</v>
      </c>
      <c r="D1092">
        <v>83.1</v>
      </c>
      <c r="E1092">
        <v>6598.83</v>
      </c>
      <c r="F1092">
        <v>19.11</v>
      </c>
      <c r="G1092">
        <v>18.53</v>
      </c>
      <c r="H1092">
        <v>15.05</v>
      </c>
      <c r="I1092">
        <v>25.43</v>
      </c>
      <c r="J1092">
        <v>1468.86</v>
      </c>
      <c r="K1092">
        <v>6698.83</v>
      </c>
      <c r="N1092">
        <v>0</v>
      </c>
    </row>
    <row r="1093" spans="1:14">
      <c r="A1093" s="28">
        <v>403</v>
      </c>
      <c r="B1093" t="s">
        <v>2490</v>
      </c>
      <c r="C1093" t="s">
        <v>348</v>
      </c>
      <c r="D1093">
        <v>83.15</v>
      </c>
      <c r="E1093">
        <v>1176.54</v>
      </c>
      <c r="F1093">
        <v>31.7</v>
      </c>
      <c r="G1093">
        <v>-3.47</v>
      </c>
      <c r="H1093">
        <v>5.08</v>
      </c>
      <c r="I1093">
        <v>9.65</v>
      </c>
      <c r="J1093">
        <v>584.07000000000005</v>
      </c>
      <c r="K1093">
        <v>6382.7</v>
      </c>
      <c r="L1093">
        <v>6.99</v>
      </c>
      <c r="M1093">
        <v>0.64</v>
      </c>
      <c r="N1093">
        <v>2.76</v>
      </c>
    </row>
    <row r="1094" spans="1:14">
      <c r="A1094" s="28">
        <v>75</v>
      </c>
      <c r="B1094" t="s">
        <v>1928</v>
      </c>
      <c r="C1094" t="s">
        <v>348</v>
      </c>
      <c r="D1094">
        <v>83.18</v>
      </c>
      <c r="E1094">
        <v>357.75</v>
      </c>
      <c r="F1094">
        <v>140.03</v>
      </c>
      <c r="G1094" t="s">
        <v>349</v>
      </c>
      <c r="H1094">
        <v>-0.34</v>
      </c>
      <c r="I1094">
        <v>-0.56000000000000005</v>
      </c>
      <c r="J1094">
        <v>-15.49</v>
      </c>
      <c r="K1094">
        <v>2288.77</v>
      </c>
      <c r="M1094">
        <v>1.38</v>
      </c>
      <c r="N1094">
        <v>16.73</v>
      </c>
    </row>
    <row r="1095" spans="1:14">
      <c r="A1095" s="28">
        <v>340</v>
      </c>
      <c r="B1095" t="s">
        <v>2362</v>
      </c>
      <c r="C1095" t="s">
        <v>348</v>
      </c>
      <c r="D1095">
        <v>83.8</v>
      </c>
      <c r="E1095">
        <v>457.71</v>
      </c>
      <c r="F1095">
        <v>36.68</v>
      </c>
      <c r="G1095" t="s">
        <v>2788</v>
      </c>
      <c r="H1095">
        <v>-12.61</v>
      </c>
      <c r="I1095">
        <v>-21.8</v>
      </c>
      <c r="J1095">
        <v>-595.16</v>
      </c>
      <c r="K1095">
        <v>2516.48</v>
      </c>
      <c r="M1095">
        <v>2.87</v>
      </c>
    </row>
    <row r="1096" spans="1:14">
      <c r="A1096" s="28">
        <v>338</v>
      </c>
      <c r="B1096" t="s">
        <v>1365</v>
      </c>
      <c r="C1096" t="s">
        <v>347</v>
      </c>
      <c r="D1096">
        <v>83.86</v>
      </c>
      <c r="E1096">
        <v>297.49</v>
      </c>
      <c r="F1096">
        <v>36.79</v>
      </c>
      <c r="G1096">
        <v>2143.23</v>
      </c>
      <c r="H1096">
        <v>20.67</v>
      </c>
      <c r="I1096">
        <v>40.69</v>
      </c>
      <c r="J1096">
        <v>1352.63</v>
      </c>
      <c r="K1096">
        <v>3974.89</v>
      </c>
      <c r="L1096">
        <v>4.16</v>
      </c>
      <c r="M1096">
        <v>1.42</v>
      </c>
      <c r="N1096">
        <v>4.12</v>
      </c>
    </row>
    <row r="1097" spans="1:14">
      <c r="A1097" s="28">
        <v>834</v>
      </c>
      <c r="B1097" t="s">
        <v>1313</v>
      </c>
      <c r="C1097" t="s">
        <v>348</v>
      </c>
      <c r="D1097">
        <v>84.07</v>
      </c>
      <c r="E1097">
        <v>2312.5700000000002</v>
      </c>
      <c r="F1097">
        <v>13.16</v>
      </c>
      <c r="G1097">
        <v>-68.55</v>
      </c>
      <c r="H1097">
        <v>2.74</v>
      </c>
      <c r="I1097">
        <v>5.91</v>
      </c>
      <c r="J1097">
        <v>614.69000000000005</v>
      </c>
      <c r="K1097">
        <v>12062.85</v>
      </c>
      <c r="L1097">
        <v>37.340000000000003</v>
      </c>
      <c r="M1097">
        <v>1.9</v>
      </c>
      <c r="N1097">
        <v>12.41</v>
      </c>
    </row>
    <row r="1098" spans="1:14">
      <c r="A1098" s="28">
        <v>947</v>
      </c>
      <c r="B1098" t="s">
        <v>1203</v>
      </c>
      <c r="C1098" t="s">
        <v>347</v>
      </c>
      <c r="D1098">
        <v>84.45</v>
      </c>
      <c r="E1098">
        <v>1107.8699999999999</v>
      </c>
      <c r="F1098">
        <v>10.24</v>
      </c>
      <c r="G1098">
        <v>387.14</v>
      </c>
      <c r="H1098">
        <v>1.17</v>
      </c>
      <c r="I1098">
        <v>2.06</v>
      </c>
      <c r="J1098">
        <v>124.42</v>
      </c>
      <c r="K1098">
        <v>6039.33</v>
      </c>
      <c r="L1098">
        <v>67.430000000000007</v>
      </c>
      <c r="M1098">
        <v>1.39</v>
      </c>
      <c r="N1098">
        <v>15.73</v>
      </c>
    </row>
    <row r="1099" spans="1:14">
      <c r="A1099" s="28">
        <v>666</v>
      </c>
      <c r="B1099" t="s">
        <v>892</v>
      </c>
      <c r="C1099" t="s">
        <v>347</v>
      </c>
      <c r="D1099">
        <v>84.55</v>
      </c>
      <c r="E1099">
        <v>2633.86</v>
      </c>
      <c r="F1099">
        <v>18.16</v>
      </c>
      <c r="G1099">
        <v>65.459999999999994</v>
      </c>
      <c r="H1099">
        <v>1.61</v>
      </c>
      <c r="I1099">
        <v>2.92</v>
      </c>
      <c r="J1099">
        <v>387.03</v>
      </c>
      <c r="K1099">
        <v>13669.28</v>
      </c>
      <c r="L1099">
        <v>15.35</v>
      </c>
      <c r="M1099">
        <v>0.43</v>
      </c>
      <c r="N1099">
        <v>5.84</v>
      </c>
    </row>
    <row r="1100" spans="1:14">
      <c r="A1100" s="28">
        <v>300</v>
      </c>
      <c r="B1100" t="s">
        <v>681</v>
      </c>
      <c r="C1100" t="s">
        <v>348</v>
      </c>
      <c r="D1100">
        <v>84.57</v>
      </c>
      <c r="E1100">
        <v>2582.62</v>
      </c>
      <c r="F1100">
        <v>41.04</v>
      </c>
      <c r="G1100">
        <v>-60.42</v>
      </c>
      <c r="H1100">
        <v>2.23</v>
      </c>
      <c r="I1100">
        <v>3.99</v>
      </c>
      <c r="J1100">
        <v>506.4</v>
      </c>
      <c r="K1100">
        <v>13413.08</v>
      </c>
      <c r="L1100">
        <v>8.81</v>
      </c>
      <c r="M1100">
        <v>0.33</v>
      </c>
      <c r="N1100">
        <v>6.53</v>
      </c>
    </row>
    <row r="1101" spans="1:14">
      <c r="A1101" s="28">
        <v>990</v>
      </c>
      <c r="B1101" t="s">
        <v>2487</v>
      </c>
      <c r="C1101" t="s">
        <v>348</v>
      </c>
      <c r="D1101">
        <v>84.88</v>
      </c>
      <c r="E1101">
        <v>1559.01</v>
      </c>
      <c r="F1101">
        <v>9.39</v>
      </c>
      <c r="G1101" t="s">
        <v>349</v>
      </c>
      <c r="H1101">
        <v>-38.049999999999997</v>
      </c>
      <c r="I1101">
        <v>-80.069999999999993</v>
      </c>
      <c r="J1101">
        <v>-1101.07</v>
      </c>
      <c r="K1101">
        <v>1659.01</v>
      </c>
      <c r="M1101">
        <v>1.89</v>
      </c>
      <c r="N1101">
        <v>11.33</v>
      </c>
    </row>
    <row r="1102" spans="1:14">
      <c r="A1102" s="28">
        <v>40</v>
      </c>
      <c r="B1102" t="s">
        <v>2010</v>
      </c>
      <c r="C1102" t="s">
        <v>348</v>
      </c>
      <c r="D1102">
        <v>84.91</v>
      </c>
      <c r="E1102">
        <v>1400</v>
      </c>
      <c r="F1102">
        <v>268.10000000000002</v>
      </c>
      <c r="G1102" t="s">
        <v>2788</v>
      </c>
      <c r="H1102">
        <v>-41.38</v>
      </c>
      <c r="I1102">
        <v>-70.34</v>
      </c>
      <c r="J1102">
        <v>-1303.4100000000001</v>
      </c>
      <c r="K1102">
        <v>1500</v>
      </c>
      <c r="M1102">
        <v>4.16</v>
      </c>
    </row>
    <row r="1103" spans="1:14">
      <c r="A1103" s="28">
        <v>100</v>
      </c>
      <c r="B1103" t="s">
        <v>1708</v>
      </c>
      <c r="C1103" t="s">
        <v>348</v>
      </c>
      <c r="D1103">
        <v>84.97</v>
      </c>
      <c r="E1103">
        <v>2240.86</v>
      </c>
      <c r="F1103">
        <v>112.16</v>
      </c>
      <c r="G1103">
        <v>20.190000000000001</v>
      </c>
      <c r="H1103">
        <v>1.66</v>
      </c>
      <c r="I1103">
        <v>2.95</v>
      </c>
      <c r="J1103">
        <v>345.41</v>
      </c>
      <c r="K1103">
        <v>12102.54</v>
      </c>
      <c r="L1103">
        <v>38.56</v>
      </c>
      <c r="M1103">
        <v>1.1000000000000001</v>
      </c>
      <c r="N1103">
        <v>14.27</v>
      </c>
    </row>
    <row r="1104" spans="1:14">
      <c r="A1104" s="28">
        <v>1081</v>
      </c>
      <c r="B1104" t="s">
        <v>2032</v>
      </c>
      <c r="C1104" t="s">
        <v>347</v>
      </c>
      <c r="D1104">
        <v>84.97</v>
      </c>
      <c r="E1104">
        <v>244.04</v>
      </c>
      <c r="F1104">
        <v>7.43</v>
      </c>
      <c r="G1104">
        <v>937.19</v>
      </c>
      <c r="H1104">
        <v>2.31</v>
      </c>
      <c r="I1104">
        <v>4.54</v>
      </c>
      <c r="J1104">
        <v>76.08</v>
      </c>
      <c r="K1104">
        <v>1720.21</v>
      </c>
      <c r="L1104">
        <v>12.55</v>
      </c>
      <c r="M1104">
        <v>0.56000000000000005</v>
      </c>
      <c r="N1104">
        <v>5.0999999999999996</v>
      </c>
    </row>
    <row r="1105" spans="1:14">
      <c r="A1105" s="28">
        <v>657</v>
      </c>
      <c r="B1105" t="s">
        <v>1323</v>
      </c>
      <c r="C1105" t="s">
        <v>348</v>
      </c>
      <c r="D1105">
        <v>85.22</v>
      </c>
      <c r="E1105">
        <v>439.8</v>
      </c>
      <c r="F1105">
        <v>18.61</v>
      </c>
      <c r="G1105">
        <v>-55.78</v>
      </c>
      <c r="H1105">
        <v>2.81</v>
      </c>
      <c r="I1105">
        <v>4.92</v>
      </c>
      <c r="J1105">
        <v>124.25</v>
      </c>
      <c r="K1105">
        <v>2698.98</v>
      </c>
      <c r="L1105">
        <v>18.59</v>
      </c>
      <c r="M1105">
        <v>0.86</v>
      </c>
      <c r="N1105">
        <v>10.050000000000001</v>
      </c>
    </row>
    <row r="1106" spans="1:14">
      <c r="A1106" s="28">
        <v>996</v>
      </c>
      <c r="B1106" t="s">
        <v>503</v>
      </c>
      <c r="C1106" t="s">
        <v>348</v>
      </c>
      <c r="D1106">
        <v>85.23</v>
      </c>
      <c r="E1106">
        <v>392.33</v>
      </c>
      <c r="F1106">
        <v>9.2899999999999991</v>
      </c>
      <c r="G1106">
        <v>-68.489999999999995</v>
      </c>
      <c r="H1106">
        <v>5.86</v>
      </c>
      <c r="I1106">
        <v>9.66</v>
      </c>
      <c r="J1106">
        <v>233.13</v>
      </c>
      <c r="K1106">
        <v>2461.64</v>
      </c>
      <c r="L1106">
        <v>14.11</v>
      </c>
      <c r="M1106">
        <v>1.34</v>
      </c>
      <c r="N1106">
        <v>9.99</v>
      </c>
    </row>
    <row r="1107" spans="1:14">
      <c r="A1107" s="28">
        <v>184</v>
      </c>
      <c r="B1107" t="s">
        <v>2865</v>
      </c>
      <c r="C1107" t="s">
        <v>348</v>
      </c>
      <c r="D1107">
        <v>85.75</v>
      </c>
      <c r="E1107">
        <v>1596.64</v>
      </c>
      <c r="F1107">
        <v>60.17</v>
      </c>
      <c r="G1107">
        <v>-68.97</v>
      </c>
      <c r="H1107">
        <v>3.76</v>
      </c>
      <c r="I1107">
        <v>8.19</v>
      </c>
      <c r="J1107">
        <v>568.48</v>
      </c>
      <c r="K1107">
        <v>8483.18</v>
      </c>
      <c r="L1107">
        <v>35.36</v>
      </c>
      <c r="M1107">
        <v>2.37</v>
      </c>
      <c r="N1107">
        <v>11.31</v>
      </c>
    </row>
    <row r="1108" spans="1:14">
      <c r="A1108" s="28">
        <v>737</v>
      </c>
      <c r="B1108" t="s">
        <v>1599</v>
      </c>
      <c r="C1108" t="s">
        <v>348</v>
      </c>
      <c r="D1108">
        <v>85.84</v>
      </c>
      <c r="E1108">
        <v>476.99</v>
      </c>
      <c r="F1108">
        <v>15.84</v>
      </c>
      <c r="G1108" t="s">
        <v>2788</v>
      </c>
      <c r="H1108">
        <v>-3.58</v>
      </c>
      <c r="I1108">
        <v>-6.41</v>
      </c>
      <c r="J1108">
        <v>-182.62</v>
      </c>
      <c r="K1108">
        <v>2884.97</v>
      </c>
      <c r="M1108">
        <v>1.65</v>
      </c>
    </row>
    <row r="1109" spans="1:14">
      <c r="A1109" s="28">
        <v>1108</v>
      </c>
      <c r="B1109" t="s">
        <v>1027</v>
      </c>
      <c r="C1109" t="s">
        <v>347</v>
      </c>
      <c r="D1109">
        <v>86.05</v>
      </c>
      <c r="E1109">
        <v>348.96</v>
      </c>
      <c r="F1109">
        <v>6.79</v>
      </c>
      <c r="G1109">
        <v>-8.3000000000000007</v>
      </c>
      <c r="H1109">
        <v>2.54</v>
      </c>
      <c r="I1109">
        <v>4.78</v>
      </c>
      <c r="J1109">
        <v>104.52</v>
      </c>
      <c r="K1109">
        <v>2244.8000000000002</v>
      </c>
      <c r="L1109">
        <v>23.54</v>
      </c>
      <c r="M1109">
        <v>1.1000000000000001</v>
      </c>
      <c r="N1109">
        <v>18</v>
      </c>
    </row>
    <row r="1110" spans="1:14">
      <c r="A1110" s="28">
        <v>436</v>
      </c>
      <c r="B1110" t="s">
        <v>2005</v>
      </c>
      <c r="C1110" t="s">
        <v>348</v>
      </c>
      <c r="D1110">
        <v>86.51</v>
      </c>
      <c r="E1110">
        <v>56.47</v>
      </c>
      <c r="F1110">
        <v>28.91</v>
      </c>
      <c r="G1110" t="s">
        <v>2788</v>
      </c>
      <c r="H1110">
        <v>-36.630000000000003</v>
      </c>
      <c r="I1110">
        <v>-59.16</v>
      </c>
      <c r="J1110">
        <v>-654.36</v>
      </c>
      <c r="K1110">
        <v>782.34</v>
      </c>
      <c r="M1110">
        <v>1.91</v>
      </c>
      <c r="N1110">
        <v>73.58</v>
      </c>
    </row>
    <row r="1111" spans="1:14">
      <c r="A1111" s="28">
        <v>202</v>
      </c>
      <c r="B1111" t="s">
        <v>2352</v>
      </c>
      <c r="C1111" t="s">
        <v>348</v>
      </c>
      <c r="D1111">
        <v>86.58</v>
      </c>
      <c r="E1111">
        <v>480.88</v>
      </c>
      <c r="F1111">
        <v>55.97</v>
      </c>
      <c r="G1111">
        <v>5.52</v>
      </c>
      <c r="H1111">
        <v>1.87</v>
      </c>
      <c r="I1111">
        <v>3.33</v>
      </c>
      <c r="J1111">
        <v>103.2</v>
      </c>
      <c r="K1111">
        <v>2904.38</v>
      </c>
      <c r="L1111">
        <v>23.98</v>
      </c>
      <c r="M1111">
        <v>0.85</v>
      </c>
      <c r="N1111">
        <v>8.59</v>
      </c>
    </row>
    <row r="1112" spans="1:14">
      <c r="A1112" s="28">
        <v>1051</v>
      </c>
      <c r="B1112" t="s">
        <v>2144</v>
      </c>
      <c r="C1112" t="s">
        <v>347</v>
      </c>
      <c r="D1112">
        <v>86.59</v>
      </c>
      <c r="E1112">
        <v>477.44</v>
      </c>
      <c r="F1112">
        <v>8.01</v>
      </c>
      <c r="G1112" t="s">
        <v>350</v>
      </c>
      <c r="H1112">
        <v>4.3</v>
      </c>
      <c r="I1112">
        <v>8.58</v>
      </c>
      <c r="J1112">
        <v>236.36</v>
      </c>
      <c r="K1112">
        <v>2887.18</v>
      </c>
      <c r="L1112">
        <v>6.94</v>
      </c>
      <c r="M1112">
        <v>0.56999999999999995</v>
      </c>
      <c r="N1112">
        <v>5.21</v>
      </c>
    </row>
    <row r="1113" spans="1:14">
      <c r="A1113" s="28">
        <v>41</v>
      </c>
      <c r="B1113" t="s">
        <v>2276</v>
      </c>
      <c r="C1113" t="s">
        <v>348</v>
      </c>
      <c r="D1113">
        <v>86.86</v>
      </c>
      <c r="F1113">
        <v>256.83999999999997</v>
      </c>
      <c r="G1113" t="s">
        <v>2788</v>
      </c>
      <c r="H1113">
        <v>-14.09</v>
      </c>
      <c r="I1113">
        <v>-39.03</v>
      </c>
      <c r="J1113">
        <v>-186.44</v>
      </c>
      <c r="K1113">
        <v>428.87</v>
      </c>
      <c r="M1113">
        <v>4.16</v>
      </c>
    </row>
    <row r="1114" spans="1:14">
      <c r="A1114" s="28">
        <v>474</v>
      </c>
      <c r="B1114" t="s">
        <v>1387</v>
      </c>
      <c r="C1114" t="s">
        <v>347</v>
      </c>
      <c r="D1114">
        <v>86.87</v>
      </c>
      <c r="E1114">
        <v>5448.5</v>
      </c>
      <c r="F1114">
        <v>26.67</v>
      </c>
      <c r="G1114">
        <v>30.83</v>
      </c>
      <c r="H1114">
        <v>10.86</v>
      </c>
      <c r="I1114">
        <v>20.88</v>
      </c>
      <c r="J1114">
        <v>5555.79</v>
      </c>
      <c r="K1114">
        <v>31000.79</v>
      </c>
      <c r="L1114">
        <v>18</v>
      </c>
      <c r="M1114">
        <v>3.23</v>
      </c>
      <c r="N1114">
        <v>10.55</v>
      </c>
    </row>
    <row r="1115" spans="1:14">
      <c r="A1115" s="28">
        <v>61</v>
      </c>
      <c r="B1115" t="s">
        <v>1744</v>
      </c>
      <c r="C1115" t="s">
        <v>348</v>
      </c>
      <c r="D1115">
        <v>86.95</v>
      </c>
      <c r="E1115">
        <v>418.81</v>
      </c>
      <c r="F1115">
        <v>165.77</v>
      </c>
      <c r="G1115" t="s">
        <v>2788</v>
      </c>
      <c r="H1115">
        <v>-17.89</v>
      </c>
      <c r="I1115">
        <v>-30.33</v>
      </c>
      <c r="J1115">
        <v>-738.22</v>
      </c>
      <c r="K1115">
        <v>1985.35</v>
      </c>
      <c r="M1115">
        <v>1.81</v>
      </c>
      <c r="N1115">
        <v>73.97</v>
      </c>
    </row>
    <row r="1116" spans="1:14">
      <c r="A1116" s="28">
        <v>9</v>
      </c>
      <c r="B1116" t="s">
        <v>1539</v>
      </c>
      <c r="C1116" t="s">
        <v>348</v>
      </c>
      <c r="D1116">
        <v>868.62</v>
      </c>
      <c r="F1116">
        <v>1850.37</v>
      </c>
      <c r="G1116" t="s">
        <v>2788</v>
      </c>
      <c r="H1116">
        <v>-32.69</v>
      </c>
      <c r="I1116">
        <v>-136.26</v>
      </c>
      <c r="J1116">
        <v>-922.58</v>
      </c>
      <c r="K1116">
        <v>261.10000000000002</v>
      </c>
      <c r="M1116">
        <v>46.25</v>
      </c>
    </row>
    <row r="1117" spans="1:14">
      <c r="A1117" s="28">
        <v>82</v>
      </c>
      <c r="B1117" t="s">
        <v>2431</v>
      </c>
      <c r="C1117" t="s">
        <v>347</v>
      </c>
      <c r="D1117">
        <v>869.44</v>
      </c>
      <c r="E1117">
        <v>9.19</v>
      </c>
      <c r="F1117">
        <v>129.46</v>
      </c>
      <c r="G1117" t="s">
        <v>2788</v>
      </c>
      <c r="H1117">
        <v>-13.44</v>
      </c>
      <c r="I1117">
        <v>-116.96</v>
      </c>
      <c r="J1117">
        <v>-1819.28</v>
      </c>
      <c r="K1117">
        <v>1091.9000000000001</v>
      </c>
      <c r="M1117">
        <v>2.5</v>
      </c>
      <c r="N1117">
        <v>15.11</v>
      </c>
    </row>
    <row r="1118" spans="1:14">
      <c r="A1118" s="28">
        <v>536</v>
      </c>
      <c r="B1118" t="s">
        <v>2113</v>
      </c>
      <c r="C1118" t="s">
        <v>348</v>
      </c>
      <c r="D1118">
        <v>87.01</v>
      </c>
      <c r="E1118">
        <v>1072.8599999999999</v>
      </c>
      <c r="F1118">
        <v>24.12</v>
      </c>
      <c r="G1118" t="s">
        <v>2788</v>
      </c>
      <c r="H1118">
        <v>-14.94</v>
      </c>
      <c r="I1118">
        <v>-26.02</v>
      </c>
      <c r="J1118">
        <v>-1483.7</v>
      </c>
      <c r="K1118">
        <v>5864.28</v>
      </c>
      <c r="M1118">
        <v>3.42</v>
      </c>
    </row>
    <row r="1119" spans="1:14">
      <c r="A1119" s="28">
        <v>397</v>
      </c>
      <c r="B1119" t="s">
        <v>2650</v>
      </c>
      <c r="C1119" t="s">
        <v>348</v>
      </c>
      <c r="D1119">
        <v>87.12</v>
      </c>
      <c r="E1119">
        <v>2003.96</v>
      </c>
      <c r="F1119">
        <v>31.8</v>
      </c>
      <c r="G1119">
        <v>99.07</v>
      </c>
      <c r="H1119">
        <v>4.3499999999999996</v>
      </c>
      <c r="I1119">
        <v>9.11</v>
      </c>
      <c r="J1119">
        <v>733.45</v>
      </c>
      <c r="K1119">
        <v>10519.81</v>
      </c>
      <c r="L1119">
        <v>23.86</v>
      </c>
      <c r="M1119">
        <v>1.66</v>
      </c>
      <c r="N1119">
        <v>150.15</v>
      </c>
    </row>
    <row r="1120" spans="1:14">
      <c r="A1120" s="28">
        <v>914</v>
      </c>
      <c r="B1120" t="s">
        <v>964</v>
      </c>
      <c r="C1120" t="s">
        <v>348</v>
      </c>
      <c r="D1120">
        <v>87.5</v>
      </c>
      <c r="E1120">
        <v>1622.45</v>
      </c>
      <c r="F1120">
        <v>11</v>
      </c>
      <c r="G1120">
        <v>366.82</v>
      </c>
      <c r="H1120">
        <v>3.42</v>
      </c>
      <c r="I1120">
        <v>5.31</v>
      </c>
      <c r="J1120">
        <v>215.05</v>
      </c>
      <c r="K1120">
        <v>4373.2700000000004</v>
      </c>
      <c r="L1120">
        <v>47.9</v>
      </c>
      <c r="M1120">
        <v>2.36</v>
      </c>
      <c r="N1120">
        <v>29.94</v>
      </c>
    </row>
    <row r="1121" spans="1:14">
      <c r="A1121" s="28">
        <v>242</v>
      </c>
      <c r="B1121" t="s">
        <v>2571</v>
      </c>
      <c r="C1121" t="s">
        <v>348</v>
      </c>
      <c r="D1121">
        <v>87.58</v>
      </c>
      <c r="E1121">
        <v>23.98</v>
      </c>
      <c r="F1121">
        <v>47.81</v>
      </c>
      <c r="G1121" t="s">
        <v>2788</v>
      </c>
      <c r="H1121">
        <v>-59.23</v>
      </c>
      <c r="I1121">
        <v>-108.9</v>
      </c>
      <c r="J1121">
        <v>-715.52</v>
      </c>
      <c r="K1121">
        <v>619.89</v>
      </c>
      <c r="M1121">
        <v>6.52</v>
      </c>
    </row>
    <row r="1122" spans="1:14">
      <c r="A1122" s="28">
        <v>369</v>
      </c>
      <c r="B1122" t="s">
        <v>269</v>
      </c>
      <c r="C1122" t="s">
        <v>348</v>
      </c>
      <c r="D1122">
        <v>87.75</v>
      </c>
      <c r="E1122">
        <v>963.34</v>
      </c>
      <c r="F1122">
        <v>33.5</v>
      </c>
      <c r="G1122">
        <v>495.21</v>
      </c>
      <c r="H1122">
        <v>12.08</v>
      </c>
      <c r="I1122">
        <v>26.68</v>
      </c>
      <c r="J1122">
        <v>1269.06</v>
      </c>
      <c r="K1122">
        <v>5316.7</v>
      </c>
      <c r="L1122">
        <v>2.25</v>
      </c>
      <c r="M1122">
        <v>0.54</v>
      </c>
      <c r="N1122">
        <v>20.73</v>
      </c>
    </row>
    <row r="1123" spans="1:14">
      <c r="A1123" s="28">
        <v>74</v>
      </c>
      <c r="B1123" t="s">
        <v>1522</v>
      </c>
      <c r="C1123" t="s">
        <v>348</v>
      </c>
      <c r="D1123">
        <v>87.91</v>
      </c>
      <c r="E1123">
        <v>178.02</v>
      </c>
      <c r="F1123">
        <v>142.47999999999999</v>
      </c>
      <c r="G1123" t="s">
        <v>2788</v>
      </c>
      <c r="H1123">
        <v>-14.78</v>
      </c>
      <c r="I1123">
        <v>-31.07</v>
      </c>
      <c r="J1123">
        <v>-479.26</v>
      </c>
      <c r="K1123">
        <v>1390.09</v>
      </c>
      <c r="M1123">
        <v>2.69</v>
      </c>
    </row>
    <row r="1124" spans="1:14">
      <c r="A1124" s="28">
        <v>354</v>
      </c>
      <c r="B1124" t="s">
        <v>812</v>
      </c>
      <c r="C1124" t="s">
        <v>347</v>
      </c>
      <c r="D1124">
        <v>88.03</v>
      </c>
      <c r="E1124">
        <v>43628.97</v>
      </c>
      <c r="F1124">
        <v>35.06</v>
      </c>
      <c r="G1124">
        <v>167.28</v>
      </c>
      <c r="H1124">
        <v>1.57</v>
      </c>
      <c r="I1124">
        <v>2.93</v>
      </c>
      <c r="J1124">
        <v>6305.7</v>
      </c>
      <c r="K1124">
        <v>218644.85</v>
      </c>
      <c r="L1124">
        <v>19.63</v>
      </c>
      <c r="M1124">
        <v>0.56999999999999995</v>
      </c>
      <c r="N1124">
        <v>7.61</v>
      </c>
    </row>
    <row r="1125" spans="1:14">
      <c r="A1125" s="28">
        <v>628</v>
      </c>
      <c r="B1125" t="s">
        <v>2092</v>
      </c>
      <c r="C1125" t="s">
        <v>348</v>
      </c>
      <c r="D1125">
        <v>88.18</v>
      </c>
      <c r="E1125">
        <v>671.6</v>
      </c>
      <c r="F1125">
        <v>19.63</v>
      </c>
      <c r="G1125" t="s">
        <v>349</v>
      </c>
      <c r="H1125">
        <v>-10.29</v>
      </c>
      <c r="I1125">
        <v>-18.89</v>
      </c>
      <c r="J1125">
        <v>-170.63</v>
      </c>
      <c r="K1125">
        <v>771.6</v>
      </c>
      <c r="M1125">
        <v>1.1299999999999999</v>
      </c>
      <c r="N1125">
        <v>20.48</v>
      </c>
    </row>
    <row r="1126" spans="1:14">
      <c r="A1126" s="28">
        <v>785</v>
      </c>
      <c r="B1126" t="s">
        <v>830</v>
      </c>
      <c r="C1126" t="s">
        <v>347</v>
      </c>
      <c r="D1126">
        <v>88.61</v>
      </c>
      <c r="E1126">
        <v>2370.21</v>
      </c>
      <c r="F1126">
        <v>14.55</v>
      </c>
      <c r="G1126">
        <v>8.64</v>
      </c>
      <c r="H1126">
        <v>1.8</v>
      </c>
      <c r="I1126">
        <v>3.44</v>
      </c>
      <c r="J1126">
        <v>409.8</v>
      </c>
      <c r="K1126">
        <v>12351.07</v>
      </c>
      <c r="L1126">
        <v>10.86</v>
      </c>
      <c r="M1126">
        <v>0.36</v>
      </c>
      <c r="N1126">
        <v>7.82</v>
      </c>
    </row>
    <row r="1127" spans="1:14">
      <c r="A1127" s="28">
        <v>859</v>
      </c>
      <c r="B1127" t="s">
        <v>641</v>
      </c>
      <c r="C1127" t="s">
        <v>348</v>
      </c>
      <c r="D1127">
        <v>88.63</v>
      </c>
      <c r="E1127">
        <v>222.14</v>
      </c>
      <c r="F1127">
        <v>12.37</v>
      </c>
      <c r="G1127">
        <v>10.37</v>
      </c>
      <c r="H1127">
        <v>2</v>
      </c>
      <c r="I1127">
        <v>3.55</v>
      </c>
      <c r="J1127">
        <v>50.85</v>
      </c>
      <c r="K1127">
        <v>1610.72</v>
      </c>
      <c r="L1127">
        <v>36.64</v>
      </c>
      <c r="M1127">
        <v>1.1599999999999999</v>
      </c>
      <c r="N1127">
        <v>7</v>
      </c>
    </row>
    <row r="1128" spans="1:14">
      <c r="A1128" s="28">
        <v>32</v>
      </c>
      <c r="B1128" t="s">
        <v>1851</v>
      </c>
      <c r="C1128" t="s">
        <v>348</v>
      </c>
      <c r="D1128">
        <v>88.71</v>
      </c>
      <c r="E1128">
        <v>395.87</v>
      </c>
      <c r="F1128">
        <v>313.43</v>
      </c>
      <c r="G1128" t="s">
        <v>2788</v>
      </c>
      <c r="H1128">
        <v>-8.81</v>
      </c>
      <c r="I1128">
        <v>-22.2</v>
      </c>
      <c r="J1128">
        <v>-361.27</v>
      </c>
      <c r="K1128">
        <v>2479.37</v>
      </c>
      <c r="M1128">
        <v>3.13</v>
      </c>
    </row>
    <row r="1129" spans="1:14">
      <c r="A1129" s="28">
        <v>735</v>
      </c>
      <c r="B1129" t="s">
        <v>1263</v>
      </c>
      <c r="C1129" t="s">
        <v>348</v>
      </c>
      <c r="D1129">
        <v>88.88</v>
      </c>
      <c r="E1129">
        <v>4519.1000000000004</v>
      </c>
      <c r="F1129">
        <v>15.87</v>
      </c>
      <c r="G1129">
        <v>-17.05</v>
      </c>
      <c r="H1129">
        <v>13.7</v>
      </c>
      <c r="I1129">
        <v>25.94</v>
      </c>
      <c r="J1129">
        <v>5044.66</v>
      </c>
      <c r="K1129">
        <v>23095.51</v>
      </c>
      <c r="L1129">
        <v>14.09</v>
      </c>
      <c r="M1129">
        <v>3.08</v>
      </c>
      <c r="N1129">
        <v>7.74</v>
      </c>
    </row>
    <row r="1130" spans="1:14">
      <c r="A1130" s="28">
        <v>269</v>
      </c>
      <c r="B1130" t="s">
        <v>2155</v>
      </c>
      <c r="C1130" t="s">
        <v>347</v>
      </c>
      <c r="D1130">
        <v>89.05</v>
      </c>
      <c r="E1130">
        <v>670.97</v>
      </c>
      <c r="F1130">
        <v>44.55</v>
      </c>
      <c r="G1130" t="s">
        <v>2788</v>
      </c>
      <c r="H1130">
        <v>-3.52</v>
      </c>
      <c r="I1130">
        <v>-6.66</v>
      </c>
      <c r="J1130">
        <v>-265.37</v>
      </c>
      <c r="K1130">
        <v>3854.83</v>
      </c>
      <c r="M1130">
        <v>26.05</v>
      </c>
    </row>
    <row r="1131" spans="1:14">
      <c r="A1131" s="28">
        <v>884</v>
      </c>
      <c r="B1131" t="s">
        <v>528</v>
      </c>
      <c r="C1131" t="s">
        <v>348</v>
      </c>
      <c r="D1131">
        <v>89.05</v>
      </c>
      <c r="E1131">
        <v>38621.120000000003</v>
      </c>
      <c r="F1131">
        <v>11.52</v>
      </c>
      <c r="G1131">
        <v>-11.8</v>
      </c>
      <c r="H1131">
        <v>10.66</v>
      </c>
      <c r="I1131">
        <v>20.82</v>
      </c>
      <c r="J1131">
        <v>7571.39</v>
      </c>
      <c r="K1131">
        <v>39275.410000000003</v>
      </c>
      <c r="L1131">
        <v>8.02</v>
      </c>
      <c r="M1131">
        <v>1.55</v>
      </c>
      <c r="N1131">
        <v>4.34</v>
      </c>
    </row>
    <row r="1132" spans="1:14">
      <c r="A1132" s="28">
        <v>623</v>
      </c>
      <c r="B1132" t="s">
        <v>2577</v>
      </c>
      <c r="C1132" t="s">
        <v>348</v>
      </c>
      <c r="D1132">
        <v>89.11</v>
      </c>
      <c r="E1132">
        <v>24.26</v>
      </c>
      <c r="F1132">
        <v>19.78</v>
      </c>
      <c r="G1132" t="s">
        <v>2788</v>
      </c>
      <c r="H1132">
        <v>-8.14</v>
      </c>
      <c r="I1132">
        <v>-16.87</v>
      </c>
      <c r="J1132">
        <v>-102.9</v>
      </c>
      <c r="K1132">
        <v>621.29999999999995</v>
      </c>
      <c r="M1132">
        <v>2.52</v>
      </c>
    </row>
    <row r="1133" spans="1:14">
      <c r="A1133" s="28">
        <v>780</v>
      </c>
      <c r="B1133" t="s">
        <v>1306</v>
      </c>
      <c r="C1133" t="s">
        <v>348</v>
      </c>
      <c r="D1133">
        <v>89.2</v>
      </c>
      <c r="E1133">
        <v>2024.27</v>
      </c>
      <c r="F1133">
        <v>14.64</v>
      </c>
      <c r="G1133" t="s">
        <v>349</v>
      </c>
      <c r="H1133">
        <v>-6.82</v>
      </c>
      <c r="I1133">
        <v>-12.19</v>
      </c>
      <c r="J1133">
        <v>-1172.19</v>
      </c>
      <c r="K1133">
        <v>10621.34</v>
      </c>
      <c r="M1133">
        <v>3.83</v>
      </c>
    </row>
    <row r="1134" spans="1:14">
      <c r="A1134" s="28">
        <v>442</v>
      </c>
      <c r="B1134" t="s">
        <v>527</v>
      </c>
      <c r="C1134" t="s">
        <v>347</v>
      </c>
      <c r="D1134">
        <v>89.31</v>
      </c>
      <c r="E1134">
        <v>284.41000000000003</v>
      </c>
      <c r="F1134">
        <v>28.65</v>
      </c>
      <c r="G1134">
        <v>-59.98</v>
      </c>
      <c r="H1134">
        <v>1.57</v>
      </c>
      <c r="I1134">
        <v>2.99</v>
      </c>
      <c r="J1134">
        <v>555.22</v>
      </c>
      <c r="K1134">
        <v>19220.48</v>
      </c>
      <c r="L1134">
        <v>16.39</v>
      </c>
      <c r="M1134">
        <v>0.47</v>
      </c>
      <c r="N1134">
        <v>11.51</v>
      </c>
    </row>
    <row r="1135" spans="1:14">
      <c r="A1135" s="28">
        <v>404</v>
      </c>
      <c r="B1135" t="s">
        <v>1019</v>
      </c>
      <c r="C1135" t="s">
        <v>347</v>
      </c>
      <c r="D1135">
        <v>89.51</v>
      </c>
      <c r="E1135">
        <v>1001.81</v>
      </c>
      <c r="F1135">
        <v>31.57</v>
      </c>
      <c r="G1135">
        <v>200.41</v>
      </c>
      <c r="H1135">
        <v>6.93</v>
      </c>
      <c r="I1135">
        <v>13.1</v>
      </c>
      <c r="J1135">
        <v>6750.94</v>
      </c>
      <c r="K1135">
        <v>55090.720000000001</v>
      </c>
      <c r="L1135">
        <v>10.84</v>
      </c>
      <c r="M1135">
        <v>1.33</v>
      </c>
      <c r="N1135">
        <v>7.03</v>
      </c>
    </row>
    <row r="1136" spans="1:14">
      <c r="A1136" s="28">
        <v>413</v>
      </c>
      <c r="B1136" t="s">
        <v>1917</v>
      </c>
      <c r="C1136" t="s">
        <v>348</v>
      </c>
      <c r="D1136">
        <v>89.6</v>
      </c>
      <c r="E1136">
        <v>967.01</v>
      </c>
      <c r="F1136">
        <v>30.65</v>
      </c>
      <c r="G1136">
        <v>37.630000000000003</v>
      </c>
      <c r="H1136">
        <v>12.24</v>
      </c>
      <c r="I1136">
        <v>25.18</v>
      </c>
      <c r="J1136">
        <v>1184.73</v>
      </c>
      <c r="K1136">
        <v>5335.05</v>
      </c>
      <c r="N1136">
        <v>0</v>
      </c>
    </row>
    <row r="1137" spans="1:14">
      <c r="A1137" s="28">
        <v>388</v>
      </c>
      <c r="B1137" t="s">
        <v>2049</v>
      </c>
      <c r="C1137" t="s">
        <v>348</v>
      </c>
      <c r="D1137">
        <v>89.92</v>
      </c>
      <c r="E1137">
        <v>2151.15</v>
      </c>
      <c r="F1137">
        <v>32.19</v>
      </c>
      <c r="G1137">
        <v>27.28</v>
      </c>
      <c r="H1137">
        <v>14.2</v>
      </c>
      <c r="I1137">
        <v>34.79</v>
      </c>
      <c r="J1137">
        <v>607.20000000000005</v>
      </c>
      <c r="K1137">
        <v>2251.15</v>
      </c>
      <c r="N1137">
        <v>0</v>
      </c>
    </row>
    <row r="1138" spans="1:14">
      <c r="A1138" s="28">
        <v>1080</v>
      </c>
      <c r="B1138" t="s">
        <v>1738</v>
      </c>
      <c r="C1138" t="s">
        <v>348</v>
      </c>
      <c r="D1138">
        <v>894.66</v>
      </c>
      <c r="E1138">
        <v>84.43</v>
      </c>
      <c r="F1138">
        <v>7.47</v>
      </c>
      <c r="G1138" t="s">
        <v>349</v>
      </c>
      <c r="H1138">
        <v>-6.44</v>
      </c>
      <c r="I1138">
        <v>-50.38</v>
      </c>
      <c r="J1138">
        <v>-523.53</v>
      </c>
      <c r="K1138">
        <v>922.15</v>
      </c>
      <c r="M1138">
        <v>1.1299999999999999</v>
      </c>
      <c r="N1138">
        <v>9.5399999999999991</v>
      </c>
    </row>
    <row r="1139" spans="1:14">
      <c r="A1139" s="28">
        <v>1115</v>
      </c>
      <c r="B1139" t="s">
        <v>474</v>
      </c>
      <c r="C1139" t="s">
        <v>347</v>
      </c>
      <c r="D1139">
        <v>899.79</v>
      </c>
      <c r="E1139">
        <v>14596.87</v>
      </c>
      <c r="F1139">
        <v>6.51</v>
      </c>
      <c r="G1139">
        <v>26.22</v>
      </c>
      <c r="H1139">
        <v>1.93</v>
      </c>
      <c r="I1139">
        <v>17.36</v>
      </c>
      <c r="J1139">
        <v>13849.82</v>
      </c>
      <c r="K1139">
        <v>73484.34</v>
      </c>
      <c r="L1139">
        <v>4.71</v>
      </c>
      <c r="M1139">
        <v>0.89</v>
      </c>
    </row>
    <row r="1140" spans="1:14">
      <c r="A1140" s="28">
        <v>54</v>
      </c>
      <c r="B1140" t="s">
        <v>213</v>
      </c>
      <c r="C1140" t="s">
        <v>347</v>
      </c>
      <c r="D1140">
        <v>9</v>
      </c>
      <c r="E1140">
        <v>3686.81</v>
      </c>
      <c r="F1140">
        <v>187.81</v>
      </c>
      <c r="G1140">
        <v>348.83</v>
      </c>
      <c r="H1140">
        <v>3.88</v>
      </c>
      <c r="I1140">
        <v>4.3600000000000003</v>
      </c>
      <c r="J1140">
        <v>716.1</v>
      </c>
      <c r="K1140">
        <v>18934.05</v>
      </c>
      <c r="L1140">
        <v>14.59</v>
      </c>
      <c r="M1140">
        <v>0.55000000000000004</v>
      </c>
      <c r="N1140">
        <v>15.62</v>
      </c>
    </row>
    <row r="1141" spans="1:14">
      <c r="A1141" s="28">
        <v>598</v>
      </c>
      <c r="B1141" t="s">
        <v>1925</v>
      </c>
      <c r="C1141" t="s">
        <v>348</v>
      </c>
      <c r="D1141">
        <v>9.01</v>
      </c>
      <c r="E1141">
        <v>10257.94</v>
      </c>
      <c r="F1141">
        <v>20.71</v>
      </c>
      <c r="G1141">
        <v>22.61</v>
      </c>
      <c r="H1141">
        <v>13.34</v>
      </c>
      <c r="I1141">
        <v>14.55</v>
      </c>
      <c r="J1141">
        <v>1251.1600000000001</v>
      </c>
      <c r="K1141">
        <v>10357.94</v>
      </c>
      <c r="L1141">
        <v>6.95</v>
      </c>
      <c r="M1141">
        <v>0.84</v>
      </c>
      <c r="N1141">
        <v>6.26</v>
      </c>
    </row>
    <row r="1142" spans="1:14">
      <c r="A1142" s="28">
        <v>935</v>
      </c>
      <c r="B1142" t="s">
        <v>185</v>
      </c>
      <c r="C1142" t="s">
        <v>347</v>
      </c>
      <c r="D1142">
        <v>9.14</v>
      </c>
      <c r="E1142">
        <v>5813.06</v>
      </c>
      <c r="F1142">
        <v>10.41</v>
      </c>
      <c r="G1142">
        <v>-19.14</v>
      </c>
      <c r="H1142">
        <v>0.77</v>
      </c>
      <c r="I1142">
        <v>0.83</v>
      </c>
      <c r="J1142">
        <v>246.81</v>
      </c>
      <c r="K1142">
        <v>29565.32</v>
      </c>
      <c r="L1142">
        <v>59.15</v>
      </c>
      <c r="M1142">
        <v>0.49</v>
      </c>
      <c r="N1142">
        <v>48.24</v>
      </c>
    </row>
    <row r="1143" spans="1:14">
      <c r="A1143" s="28">
        <v>31</v>
      </c>
      <c r="B1143" t="s">
        <v>938</v>
      </c>
      <c r="C1143" t="s">
        <v>347</v>
      </c>
      <c r="D1143">
        <v>9.23</v>
      </c>
      <c r="E1143">
        <v>2213.59</v>
      </c>
      <c r="F1143">
        <v>320.25</v>
      </c>
      <c r="G1143">
        <v>477.6</v>
      </c>
      <c r="H1143">
        <v>16.71</v>
      </c>
      <c r="I1143">
        <v>18.59</v>
      </c>
      <c r="J1143">
        <v>1918.6</v>
      </c>
      <c r="K1143">
        <v>11567.93</v>
      </c>
      <c r="L1143">
        <v>3.16</v>
      </c>
      <c r="M1143">
        <v>0.52</v>
      </c>
      <c r="N1143">
        <v>3.5</v>
      </c>
    </row>
    <row r="1144" spans="1:14">
      <c r="A1144" s="28">
        <v>469</v>
      </c>
      <c r="B1144" t="s">
        <v>2074</v>
      </c>
      <c r="C1144" t="s">
        <v>348</v>
      </c>
      <c r="D1144">
        <v>9.2799999999999994</v>
      </c>
      <c r="E1144">
        <v>1293.01</v>
      </c>
      <c r="F1144">
        <v>27.08</v>
      </c>
      <c r="G1144">
        <v>-28.01</v>
      </c>
      <c r="H1144">
        <v>8.82</v>
      </c>
      <c r="I1144">
        <v>9.73</v>
      </c>
      <c r="J1144">
        <v>118.45</v>
      </c>
      <c r="K1144">
        <v>1393.01</v>
      </c>
      <c r="L1144">
        <v>20.18</v>
      </c>
      <c r="M1144">
        <v>1.72</v>
      </c>
      <c r="N1144">
        <v>9.61</v>
      </c>
    </row>
    <row r="1145" spans="1:14">
      <c r="A1145" s="28">
        <v>12</v>
      </c>
      <c r="B1145" t="s">
        <v>2704</v>
      </c>
      <c r="C1145" t="s">
        <v>348</v>
      </c>
      <c r="D1145">
        <v>9.34</v>
      </c>
      <c r="E1145">
        <v>608.82000000000005</v>
      </c>
      <c r="F1145">
        <v>854.05</v>
      </c>
      <c r="G1145">
        <v>129.87</v>
      </c>
      <c r="H1145">
        <v>2.5</v>
      </c>
      <c r="I1145">
        <v>2.68</v>
      </c>
      <c r="J1145">
        <v>92.71</v>
      </c>
      <c r="K1145">
        <v>3544.08</v>
      </c>
      <c r="L1145">
        <v>1062.49</v>
      </c>
      <c r="M1145">
        <v>27.79</v>
      </c>
      <c r="N1145">
        <v>3417.46</v>
      </c>
    </row>
    <row r="1146" spans="1:14">
      <c r="A1146" s="28">
        <v>891</v>
      </c>
      <c r="B1146" t="s">
        <v>1142</v>
      </c>
      <c r="C1146" t="s">
        <v>348</v>
      </c>
      <c r="D1146">
        <v>9.3800000000000008</v>
      </c>
      <c r="E1146">
        <v>2531.4699999999998</v>
      </c>
      <c r="F1146">
        <v>11.34</v>
      </c>
      <c r="G1146">
        <v>-6.17</v>
      </c>
      <c r="H1146">
        <v>6.43</v>
      </c>
      <c r="I1146">
        <v>7.1</v>
      </c>
      <c r="J1146">
        <v>909.45</v>
      </c>
      <c r="K1146">
        <v>13157.33</v>
      </c>
      <c r="L1146">
        <v>14.51</v>
      </c>
      <c r="M1146">
        <v>1</v>
      </c>
      <c r="N1146">
        <v>7.25</v>
      </c>
    </row>
    <row r="1147" spans="1:14">
      <c r="A1147" s="28">
        <v>466</v>
      </c>
      <c r="B1147" t="s">
        <v>192</v>
      </c>
      <c r="C1147" t="s">
        <v>347</v>
      </c>
      <c r="D1147">
        <v>9.52</v>
      </c>
      <c r="E1147">
        <v>3568.01</v>
      </c>
      <c r="F1147">
        <v>27.44</v>
      </c>
      <c r="G1147" t="s">
        <v>349</v>
      </c>
      <c r="H1147">
        <v>-4.5599999999999996</v>
      </c>
      <c r="I1147">
        <v>-5.04</v>
      </c>
      <c r="J1147">
        <v>-1574.5</v>
      </c>
      <c r="K1147">
        <v>36680.080000000002</v>
      </c>
      <c r="M1147">
        <v>0.64</v>
      </c>
    </row>
    <row r="1148" spans="1:14">
      <c r="A1148" s="28">
        <v>1003</v>
      </c>
      <c r="B1148" t="s">
        <v>2731</v>
      </c>
      <c r="C1148" t="s">
        <v>347</v>
      </c>
      <c r="D1148">
        <v>9.5399999999999991</v>
      </c>
      <c r="E1148">
        <v>1090.68</v>
      </c>
      <c r="F1148">
        <v>9.11</v>
      </c>
      <c r="G1148" t="s">
        <v>2788</v>
      </c>
      <c r="H1148">
        <v>-10.62</v>
      </c>
      <c r="I1148">
        <v>-11.71</v>
      </c>
      <c r="J1148">
        <v>-713.7</v>
      </c>
      <c r="K1148">
        <v>5953.4</v>
      </c>
      <c r="M1148">
        <v>3.55</v>
      </c>
    </row>
    <row r="1149" spans="1:14">
      <c r="A1149" s="28">
        <v>929</v>
      </c>
      <c r="B1149" t="s">
        <v>2060</v>
      </c>
      <c r="C1149" t="s">
        <v>348</v>
      </c>
      <c r="D1149">
        <v>9.93</v>
      </c>
      <c r="E1149">
        <v>1082.24</v>
      </c>
      <c r="F1149">
        <v>10.54</v>
      </c>
      <c r="G1149" t="s">
        <v>2788</v>
      </c>
      <c r="H1149">
        <v>-2.5299999999999998</v>
      </c>
      <c r="I1149">
        <v>-2.76</v>
      </c>
      <c r="J1149">
        <v>-127.62</v>
      </c>
      <c r="K1149">
        <v>6323.67</v>
      </c>
      <c r="M1149">
        <v>0.86</v>
      </c>
    </row>
    <row r="1150" spans="1:14">
      <c r="A1150" s="28">
        <v>45</v>
      </c>
      <c r="B1150" t="s">
        <v>1882</v>
      </c>
      <c r="C1150" t="s">
        <v>348</v>
      </c>
      <c r="D1150">
        <v>9.98</v>
      </c>
      <c r="E1150">
        <v>491.86</v>
      </c>
      <c r="F1150">
        <v>211.28</v>
      </c>
      <c r="G1150" t="s">
        <v>2788</v>
      </c>
      <c r="H1150">
        <v>-26.58</v>
      </c>
      <c r="I1150">
        <v>-28.84</v>
      </c>
      <c r="J1150">
        <v>-989.49</v>
      </c>
      <c r="K1150">
        <v>2959.28</v>
      </c>
      <c r="M1150">
        <v>1.56</v>
      </c>
    </row>
    <row r="1151" spans="1:14">
      <c r="A1151" s="28">
        <v>609</v>
      </c>
      <c r="B1151" t="s">
        <v>2700</v>
      </c>
      <c r="C1151" t="s">
        <v>348</v>
      </c>
      <c r="D1151">
        <v>90</v>
      </c>
      <c r="E1151">
        <v>2126.5500000000002</v>
      </c>
      <c r="F1151">
        <v>20.13</v>
      </c>
      <c r="G1151">
        <v>7.55</v>
      </c>
      <c r="H1151">
        <v>2.72</v>
      </c>
      <c r="I1151">
        <v>5.53</v>
      </c>
      <c r="J1151">
        <v>599.11</v>
      </c>
      <c r="K1151">
        <v>11132.75</v>
      </c>
      <c r="L1151">
        <v>20.95</v>
      </c>
      <c r="M1151">
        <v>1.1299999999999999</v>
      </c>
      <c r="N1151">
        <v>8.09</v>
      </c>
    </row>
    <row r="1152" spans="1:14">
      <c r="A1152" s="28">
        <v>1103</v>
      </c>
      <c r="B1152" t="s">
        <v>2627</v>
      </c>
      <c r="C1152" t="s">
        <v>347</v>
      </c>
      <c r="D1152">
        <v>90.01</v>
      </c>
      <c r="E1152">
        <v>205.06</v>
      </c>
      <c r="F1152">
        <v>6.91</v>
      </c>
      <c r="G1152">
        <v>-22.39</v>
      </c>
      <c r="H1152">
        <v>3.01</v>
      </c>
      <c r="I1152">
        <v>5.37</v>
      </c>
      <c r="J1152">
        <v>79.459999999999994</v>
      </c>
      <c r="K1152">
        <v>1525.28</v>
      </c>
      <c r="L1152">
        <v>30.33</v>
      </c>
      <c r="M1152">
        <v>1.58</v>
      </c>
      <c r="N1152">
        <v>13.67</v>
      </c>
    </row>
    <row r="1153" spans="1:14">
      <c r="A1153" s="28">
        <v>739</v>
      </c>
      <c r="B1153" t="s">
        <v>2357</v>
      </c>
      <c r="C1153" t="s">
        <v>348</v>
      </c>
      <c r="D1153">
        <v>90.02</v>
      </c>
      <c r="E1153">
        <v>3578.96</v>
      </c>
      <c r="F1153">
        <v>15.76</v>
      </c>
      <c r="G1153" t="s">
        <v>350</v>
      </c>
      <c r="H1153">
        <v>6.42</v>
      </c>
      <c r="I1153">
        <v>12.05</v>
      </c>
      <c r="J1153">
        <v>1783.62</v>
      </c>
      <c r="K1153">
        <v>16453.02</v>
      </c>
      <c r="L1153">
        <v>29.49</v>
      </c>
      <c r="M1153">
        <v>3.2</v>
      </c>
      <c r="N1153">
        <v>202.55</v>
      </c>
    </row>
    <row r="1154" spans="1:14">
      <c r="A1154" s="28">
        <v>1020</v>
      </c>
      <c r="B1154" t="s">
        <v>1366</v>
      </c>
      <c r="C1154" t="s">
        <v>348</v>
      </c>
      <c r="D1154">
        <v>90.15</v>
      </c>
      <c r="E1154">
        <v>821.12</v>
      </c>
      <c r="F1154">
        <v>8.69</v>
      </c>
      <c r="G1154">
        <v>-39.06</v>
      </c>
      <c r="H1154">
        <v>2.5499999999999998</v>
      </c>
      <c r="I1154">
        <v>4.82</v>
      </c>
      <c r="J1154">
        <v>220.62</v>
      </c>
      <c r="K1154">
        <v>4644.8900000000003</v>
      </c>
      <c r="L1154">
        <v>75.61</v>
      </c>
      <c r="M1154">
        <v>3.59</v>
      </c>
      <c r="N1154">
        <v>48.14</v>
      </c>
    </row>
    <row r="1155" spans="1:14">
      <c r="A1155" s="28">
        <v>1027</v>
      </c>
      <c r="B1155" t="s">
        <v>625</v>
      </c>
      <c r="C1155" t="s">
        <v>348</v>
      </c>
      <c r="D1155">
        <v>90.15</v>
      </c>
      <c r="E1155">
        <v>1020.04</v>
      </c>
      <c r="F1155">
        <v>8.5299999999999994</v>
      </c>
      <c r="G1155">
        <v>-34.270000000000003</v>
      </c>
      <c r="H1155">
        <v>2.78</v>
      </c>
      <c r="I1155">
        <v>5.15</v>
      </c>
      <c r="J1155">
        <v>281.63</v>
      </c>
      <c r="K1155">
        <v>5600.2</v>
      </c>
      <c r="N1155">
        <v>0.74</v>
      </c>
    </row>
    <row r="1156" spans="1:14">
      <c r="A1156" s="28">
        <v>375</v>
      </c>
      <c r="B1156" t="s">
        <v>2009</v>
      </c>
      <c r="C1156" t="s">
        <v>348</v>
      </c>
      <c r="D1156">
        <v>90.66</v>
      </c>
      <c r="E1156">
        <v>2097.14</v>
      </c>
      <c r="F1156">
        <v>33.06</v>
      </c>
      <c r="G1156">
        <v>-3.76</v>
      </c>
      <c r="H1156">
        <v>7.21</v>
      </c>
      <c r="I1156">
        <v>15.19</v>
      </c>
      <c r="J1156">
        <v>1337.47</v>
      </c>
      <c r="K1156">
        <v>10985.69</v>
      </c>
      <c r="N1156">
        <v>2.83</v>
      </c>
    </row>
    <row r="1157" spans="1:14">
      <c r="A1157" s="28">
        <v>1064</v>
      </c>
      <c r="B1157" t="s">
        <v>1979</v>
      </c>
      <c r="C1157" t="s">
        <v>348</v>
      </c>
      <c r="D1157">
        <v>90.77</v>
      </c>
      <c r="E1157">
        <v>1351.34</v>
      </c>
      <c r="F1157">
        <v>7.87</v>
      </c>
      <c r="G1157" t="s">
        <v>349</v>
      </c>
      <c r="H1157">
        <v>-1.42</v>
      </c>
      <c r="I1157">
        <v>-2.68</v>
      </c>
      <c r="J1157">
        <v>-39.29</v>
      </c>
      <c r="K1157">
        <v>1451.34</v>
      </c>
      <c r="M1157">
        <v>1.89</v>
      </c>
      <c r="N1157">
        <v>36.31</v>
      </c>
    </row>
    <row r="1158" spans="1:14">
      <c r="A1158" s="28">
        <v>1069</v>
      </c>
      <c r="B1158" t="s">
        <v>780</v>
      </c>
      <c r="C1158" t="s">
        <v>347</v>
      </c>
      <c r="D1158">
        <v>91.29</v>
      </c>
      <c r="E1158">
        <v>1537.69</v>
      </c>
      <c r="F1158">
        <v>7.74</v>
      </c>
      <c r="G1158">
        <v>2.91</v>
      </c>
      <c r="H1158">
        <v>11.88</v>
      </c>
      <c r="I1158">
        <v>23.77</v>
      </c>
      <c r="J1158">
        <v>1755.57</v>
      </c>
      <c r="K1158">
        <v>8188.44</v>
      </c>
      <c r="L1158">
        <v>3.42</v>
      </c>
      <c r="M1158">
        <v>0.73</v>
      </c>
      <c r="N1158">
        <v>2.79</v>
      </c>
    </row>
    <row r="1159" spans="1:14">
      <c r="A1159" s="28">
        <v>551</v>
      </c>
      <c r="B1159" t="s">
        <v>1999</v>
      </c>
      <c r="C1159" t="s">
        <v>347</v>
      </c>
      <c r="D1159">
        <v>910.02</v>
      </c>
      <c r="F1159">
        <v>23.4</v>
      </c>
      <c r="G1159" t="s">
        <v>2788</v>
      </c>
      <c r="H1159">
        <v>-3.43</v>
      </c>
      <c r="I1159">
        <v>-35.1</v>
      </c>
      <c r="J1159">
        <v>-111.17</v>
      </c>
      <c r="K1159">
        <v>315.70999999999998</v>
      </c>
      <c r="M1159">
        <v>2.04</v>
      </c>
      <c r="N1159">
        <v>38.67</v>
      </c>
    </row>
    <row r="1160" spans="1:14">
      <c r="A1160" s="28">
        <v>1067</v>
      </c>
      <c r="B1160" t="s">
        <v>316</v>
      </c>
      <c r="C1160" t="s">
        <v>348</v>
      </c>
      <c r="D1160">
        <v>92.01</v>
      </c>
      <c r="E1160">
        <v>596.29999999999995</v>
      </c>
      <c r="F1160">
        <v>7.82</v>
      </c>
      <c r="G1160">
        <v>-41.57</v>
      </c>
      <c r="H1160">
        <v>6.95</v>
      </c>
      <c r="I1160">
        <v>13.3</v>
      </c>
      <c r="J1160">
        <v>432.03</v>
      </c>
      <c r="K1160">
        <v>3481.52</v>
      </c>
      <c r="L1160">
        <v>2.62</v>
      </c>
      <c r="M1160">
        <v>0.32</v>
      </c>
      <c r="N1160">
        <v>1.0900000000000001</v>
      </c>
    </row>
    <row r="1161" spans="1:14">
      <c r="A1161" s="28">
        <v>1048</v>
      </c>
      <c r="B1161" t="s">
        <v>2866</v>
      </c>
      <c r="C1161" t="s">
        <v>348</v>
      </c>
      <c r="D1161">
        <v>92.06</v>
      </c>
      <c r="E1161">
        <v>388.5</v>
      </c>
      <c r="F1161">
        <v>8.07</v>
      </c>
      <c r="G1161">
        <v>339.1</v>
      </c>
      <c r="H1161">
        <v>7.63</v>
      </c>
      <c r="I1161">
        <v>15.26</v>
      </c>
      <c r="J1161">
        <v>226.95</v>
      </c>
      <c r="K1161">
        <v>2442.5</v>
      </c>
      <c r="L1161">
        <v>23.35</v>
      </c>
      <c r="M1161">
        <v>2.17</v>
      </c>
      <c r="N1161">
        <v>12.21</v>
      </c>
    </row>
    <row r="1162" spans="1:14">
      <c r="A1162" s="28">
        <v>284</v>
      </c>
      <c r="B1162" t="s">
        <v>544</v>
      </c>
      <c r="C1162" t="s">
        <v>348</v>
      </c>
      <c r="D1162">
        <v>92.07</v>
      </c>
      <c r="E1162">
        <v>1770.89</v>
      </c>
      <c r="F1162">
        <v>42.75</v>
      </c>
      <c r="G1162">
        <v>343.51</v>
      </c>
      <c r="H1162">
        <v>2.37</v>
      </c>
      <c r="I1162">
        <v>4.07</v>
      </c>
      <c r="J1162">
        <v>375.36</v>
      </c>
      <c r="K1162">
        <v>9354.44</v>
      </c>
      <c r="L1162">
        <v>9.75</v>
      </c>
      <c r="M1162">
        <v>0.39</v>
      </c>
      <c r="N1162">
        <v>8.16</v>
      </c>
    </row>
    <row r="1163" spans="1:14">
      <c r="A1163" s="28">
        <v>757</v>
      </c>
      <c r="B1163" t="s">
        <v>593</v>
      </c>
      <c r="C1163" t="s">
        <v>348</v>
      </c>
      <c r="D1163">
        <v>92.09</v>
      </c>
      <c r="E1163">
        <v>1111.33</v>
      </c>
      <c r="F1163">
        <v>15.24</v>
      </c>
      <c r="G1163">
        <v>64.86</v>
      </c>
      <c r="H1163">
        <v>2.33</v>
      </c>
      <c r="I1163">
        <v>4.4800000000000004</v>
      </c>
      <c r="J1163">
        <v>268.29000000000002</v>
      </c>
      <c r="K1163">
        <v>6056.67</v>
      </c>
      <c r="L1163">
        <v>11.67</v>
      </c>
      <c r="M1163">
        <v>0.52</v>
      </c>
      <c r="N1163">
        <v>6.28</v>
      </c>
    </row>
    <row r="1164" spans="1:14">
      <c r="A1164" s="28">
        <v>580</v>
      </c>
      <c r="B1164" t="s">
        <v>1189</v>
      </c>
      <c r="C1164" t="s">
        <v>347</v>
      </c>
      <c r="D1164">
        <v>92.11</v>
      </c>
      <c r="E1164">
        <v>841.68</v>
      </c>
      <c r="F1164">
        <v>21.75</v>
      </c>
      <c r="G1164">
        <v>48.73</v>
      </c>
      <c r="H1164">
        <v>5.87</v>
      </c>
      <c r="I1164">
        <v>11.2</v>
      </c>
      <c r="J1164">
        <v>499.51</v>
      </c>
      <c r="K1164">
        <v>4708.3999999999996</v>
      </c>
      <c r="L1164">
        <v>8.6300000000000008</v>
      </c>
      <c r="M1164">
        <v>0.92</v>
      </c>
      <c r="N1164">
        <v>6.5</v>
      </c>
    </row>
    <row r="1165" spans="1:14">
      <c r="A1165" s="28">
        <v>787</v>
      </c>
      <c r="B1165" t="s">
        <v>1063</v>
      </c>
      <c r="C1165" t="s">
        <v>347</v>
      </c>
      <c r="D1165">
        <v>92.39</v>
      </c>
      <c r="E1165">
        <v>5164.66</v>
      </c>
      <c r="F1165">
        <v>14.51</v>
      </c>
      <c r="G1165" t="s">
        <v>349</v>
      </c>
      <c r="H1165">
        <v>-2.46</v>
      </c>
      <c r="I1165">
        <v>-4.28</v>
      </c>
      <c r="J1165">
        <v>-1155.25</v>
      </c>
      <c r="K1165">
        <v>26323.279999999999</v>
      </c>
      <c r="M1165">
        <v>1.62</v>
      </c>
      <c r="N1165">
        <v>16.29</v>
      </c>
    </row>
    <row r="1166" spans="1:14">
      <c r="A1166" s="28">
        <v>420</v>
      </c>
      <c r="B1166" t="s">
        <v>1408</v>
      </c>
      <c r="C1166" t="s">
        <v>347</v>
      </c>
      <c r="D1166">
        <v>92.39</v>
      </c>
      <c r="E1166">
        <v>497.13</v>
      </c>
      <c r="F1166">
        <v>30.36</v>
      </c>
      <c r="G1166">
        <v>103.68</v>
      </c>
      <c r="H1166">
        <v>10.4</v>
      </c>
      <c r="I1166">
        <v>20.59</v>
      </c>
      <c r="J1166">
        <v>582.28</v>
      </c>
      <c r="K1166">
        <v>2985.64</v>
      </c>
      <c r="L1166">
        <v>127.43</v>
      </c>
      <c r="M1166">
        <v>24.85</v>
      </c>
      <c r="N1166">
        <v>95.33</v>
      </c>
    </row>
    <row r="1167" spans="1:14">
      <c r="A1167" s="28">
        <v>498</v>
      </c>
      <c r="B1167" t="s">
        <v>1580</v>
      </c>
      <c r="C1167" t="s">
        <v>348</v>
      </c>
      <c r="D1167">
        <v>92.76</v>
      </c>
      <c r="E1167">
        <v>62.41</v>
      </c>
      <c r="F1167">
        <v>25.62</v>
      </c>
      <c r="G1167">
        <v>-77.36</v>
      </c>
      <c r="H1167">
        <v>0.62</v>
      </c>
      <c r="I1167">
        <v>1.1399999999999999</v>
      </c>
      <c r="J1167">
        <v>9.1199999999999992</v>
      </c>
      <c r="K1167">
        <v>812.05</v>
      </c>
      <c r="L1167">
        <v>66.650000000000006</v>
      </c>
      <c r="M1167">
        <v>0.75</v>
      </c>
      <c r="N1167">
        <v>11.9</v>
      </c>
    </row>
    <row r="1168" spans="1:14">
      <c r="A1168" s="28">
        <v>427</v>
      </c>
      <c r="B1168" t="s">
        <v>189</v>
      </c>
      <c r="C1168" t="s">
        <v>347</v>
      </c>
      <c r="D1168">
        <v>926.77</v>
      </c>
      <c r="E1168">
        <v>51.98</v>
      </c>
      <c r="F1168">
        <v>29.94</v>
      </c>
      <c r="G1168">
        <v>85.85</v>
      </c>
      <c r="H1168">
        <v>0.5</v>
      </c>
      <c r="I1168">
        <v>4.6900000000000004</v>
      </c>
      <c r="J1168">
        <v>338.09</v>
      </c>
      <c r="K1168">
        <v>7598.82</v>
      </c>
      <c r="L1168">
        <v>7.54</v>
      </c>
      <c r="M1168">
        <v>0.34</v>
      </c>
    </row>
    <row r="1169" spans="1:14">
      <c r="A1169" s="28">
        <v>275</v>
      </c>
      <c r="B1169" t="s">
        <v>2846</v>
      </c>
      <c r="C1169" t="s">
        <v>348</v>
      </c>
      <c r="D1169">
        <v>93.26</v>
      </c>
      <c r="E1169">
        <v>1199.8699999999999</v>
      </c>
      <c r="F1169">
        <v>43.51</v>
      </c>
      <c r="H1169">
        <v>10.54</v>
      </c>
      <c r="I1169">
        <v>23.18</v>
      </c>
      <c r="N1169">
        <v>1.66</v>
      </c>
    </row>
    <row r="1170" spans="1:14">
      <c r="A1170" s="28">
        <v>1083</v>
      </c>
      <c r="B1170" t="s">
        <v>95</v>
      </c>
      <c r="C1170" t="s">
        <v>347</v>
      </c>
      <c r="D1170">
        <v>93.36</v>
      </c>
      <c r="E1170">
        <v>653.96</v>
      </c>
      <c r="F1170">
        <v>7.37</v>
      </c>
      <c r="G1170">
        <v>-26.06</v>
      </c>
      <c r="H1170">
        <v>3.11</v>
      </c>
      <c r="I1170">
        <v>5.84</v>
      </c>
      <c r="J1170">
        <v>227.95</v>
      </c>
      <c r="K1170">
        <v>4211.3900000000003</v>
      </c>
      <c r="L1170">
        <v>15.79</v>
      </c>
      <c r="M1170">
        <v>0.85</v>
      </c>
      <c r="N1170">
        <v>5.0199999999999996</v>
      </c>
    </row>
    <row r="1171" spans="1:14">
      <c r="A1171" s="28">
        <v>71</v>
      </c>
      <c r="B1171" t="s">
        <v>2664</v>
      </c>
      <c r="C1171" t="s">
        <v>348</v>
      </c>
      <c r="D1171">
        <v>93.45</v>
      </c>
      <c r="F1171">
        <v>144.74</v>
      </c>
      <c r="G1171" t="s">
        <v>2788</v>
      </c>
      <c r="H1171">
        <v>-0.35</v>
      </c>
      <c r="I1171">
        <v>-0.76</v>
      </c>
      <c r="J1171">
        <v>-2.13</v>
      </c>
      <c r="K1171">
        <v>338.28</v>
      </c>
      <c r="M1171">
        <v>5.32</v>
      </c>
      <c r="N1171">
        <v>26.97</v>
      </c>
    </row>
    <row r="1172" spans="1:14">
      <c r="A1172" s="28">
        <v>573</v>
      </c>
      <c r="B1172" t="s">
        <v>2412</v>
      </c>
      <c r="C1172" t="s">
        <v>348</v>
      </c>
      <c r="D1172">
        <v>93.76</v>
      </c>
      <c r="E1172">
        <v>566.03</v>
      </c>
      <c r="F1172">
        <v>22.04</v>
      </c>
      <c r="G1172">
        <v>-50.29</v>
      </c>
      <c r="H1172">
        <v>8.11</v>
      </c>
      <c r="I1172">
        <v>17.809999999999999</v>
      </c>
      <c r="J1172">
        <v>502.28</v>
      </c>
      <c r="K1172">
        <v>3330.17</v>
      </c>
      <c r="L1172">
        <v>7.65</v>
      </c>
      <c r="M1172">
        <v>1.1499999999999999</v>
      </c>
      <c r="N1172">
        <v>6.98</v>
      </c>
    </row>
    <row r="1173" spans="1:14">
      <c r="A1173" s="28">
        <v>1064</v>
      </c>
      <c r="B1173" t="s">
        <v>1129</v>
      </c>
      <c r="C1173" t="s">
        <v>347</v>
      </c>
      <c r="D1173">
        <v>94.09</v>
      </c>
      <c r="E1173">
        <v>2628.57</v>
      </c>
      <c r="F1173">
        <v>7.87</v>
      </c>
      <c r="G1173">
        <v>174.86</v>
      </c>
      <c r="H1173">
        <v>1.53</v>
      </c>
      <c r="I1173">
        <v>2.98</v>
      </c>
      <c r="J1173">
        <v>396</v>
      </c>
      <c r="K1173">
        <v>13642.83</v>
      </c>
      <c r="L1173">
        <v>54.67</v>
      </c>
      <c r="M1173">
        <v>1.59</v>
      </c>
      <c r="N1173">
        <v>57.31</v>
      </c>
    </row>
    <row r="1174" spans="1:14">
      <c r="A1174" s="28">
        <v>872</v>
      </c>
      <c r="B1174" t="s">
        <v>1526</v>
      </c>
      <c r="C1174" t="s">
        <v>348</v>
      </c>
      <c r="D1174">
        <v>94.67</v>
      </c>
      <c r="E1174">
        <v>176.08</v>
      </c>
      <c r="F1174">
        <v>11.8</v>
      </c>
      <c r="G1174">
        <v>41.94</v>
      </c>
      <c r="H1174">
        <v>2</v>
      </c>
      <c r="I1174">
        <v>4.03</v>
      </c>
      <c r="J1174">
        <v>52.8</v>
      </c>
      <c r="K1174">
        <v>1380.42</v>
      </c>
      <c r="L1174">
        <v>24.43</v>
      </c>
      <c r="M1174">
        <v>0.93</v>
      </c>
      <c r="N1174">
        <v>16</v>
      </c>
    </row>
    <row r="1175" spans="1:14">
      <c r="A1175" s="28">
        <v>881</v>
      </c>
      <c r="B1175" t="s">
        <v>679</v>
      </c>
      <c r="C1175" t="s">
        <v>348</v>
      </c>
      <c r="D1175">
        <v>94.75</v>
      </c>
      <c r="E1175">
        <v>1102.54</v>
      </c>
      <c r="F1175">
        <v>11.58</v>
      </c>
      <c r="G1175">
        <v>-61.9</v>
      </c>
      <c r="H1175">
        <v>1.87</v>
      </c>
      <c r="I1175">
        <v>3.45</v>
      </c>
      <c r="J1175">
        <v>199.71</v>
      </c>
      <c r="K1175">
        <v>6012.72</v>
      </c>
      <c r="L1175">
        <v>28.54</v>
      </c>
      <c r="M1175">
        <v>0.95</v>
      </c>
      <c r="N1175">
        <v>13.05</v>
      </c>
    </row>
    <row r="1176" spans="1:14">
      <c r="A1176" s="28">
        <v>223</v>
      </c>
      <c r="B1176" t="s">
        <v>2686</v>
      </c>
      <c r="C1176" t="s">
        <v>348</v>
      </c>
      <c r="D1176">
        <v>95.64</v>
      </c>
      <c r="E1176">
        <v>738.74</v>
      </c>
      <c r="F1176">
        <v>50.37</v>
      </c>
      <c r="G1176">
        <v>102.8</v>
      </c>
      <c r="H1176">
        <v>9.25</v>
      </c>
      <c r="I1176">
        <v>18.010000000000002</v>
      </c>
      <c r="J1176">
        <v>678.93</v>
      </c>
      <c r="K1176">
        <v>4193.6899999999996</v>
      </c>
      <c r="L1176">
        <v>14.13</v>
      </c>
      <c r="M1176">
        <v>2.29</v>
      </c>
      <c r="N1176">
        <v>11.46</v>
      </c>
    </row>
    <row r="1177" spans="1:14">
      <c r="A1177" s="28">
        <v>331</v>
      </c>
      <c r="B1177" t="s">
        <v>1582</v>
      </c>
      <c r="C1177" t="s">
        <v>347</v>
      </c>
      <c r="D1177">
        <v>95.81</v>
      </c>
      <c r="E1177">
        <v>989.41</v>
      </c>
      <c r="F1177">
        <v>37.380000000000003</v>
      </c>
      <c r="G1177" t="s">
        <v>350</v>
      </c>
      <c r="H1177">
        <v>0.74</v>
      </c>
      <c r="I1177">
        <v>1.5</v>
      </c>
      <c r="J1177">
        <v>78.06</v>
      </c>
      <c r="K1177">
        <v>5447.06</v>
      </c>
      <c r="L1177">
        <v>85.58</v>
      </c>
      <c r="M1177">
        <v>1.23</v>
      </c>
      <c r="N1177">
        <v>11.56</v>
      </c>
    </row>
    <row r="1178" spans="1:14">
      <c r="A1178" s="28">
        <v>434</v>
      </c>
      <c r="B1178" t="s">
        <v>2321</v>
      </c>
      <c r="C1178" t="s">
        <v>348</v>
      </c>
      <c r="D1178">
        <v>96.88</v>
      </c>
      <c r="E1178">
        <v>1227.73</v>
      </c>
      <c r="F1178">
        <v>29.06</v>
      </c>
      <c r="G1178">
        <v>-28.72</v>
      </c>
      <c r="H1178">
        <v>9.57</v>
      </c>
      <c r="I1178">
        <v>19.350000000000001</v>
      </c>
      <c r="J1178">
        <v>167.35</v>
      </c>
      <c r="K1178">
        <v>1032.8599999999999</v>
      </c>
      <c r="N1178">
        <v>2.97</v>
      </c>
    </row>
    <row r="1179" spans="1:14">
      <c r="A1179" s="28">
        <v>596</v>
      </c>
      <c r="B1179" t="s">
        <v>2241</v>
      </c>
      <c r="C1179" t="s">
        <v>348</v>
      </c>
      <c r="D1179">
        <v>97.11</v>
      </c>
      <c r="E1179">
        <v>2009.94</v>
      </c>
      <c r="F1179">
        <v>20.72</v>
      </c>
      <c r="G1179">
        <v>-36.35</v>
      </c>
      <c r="H1179">
        <v>2.64</v>
      </c>
      <c r="I1179">
        <v>5.22</v>
      </c>
      <c r="J1179">
        <v>530.16</v>
      </c>
      <c r="K1179">
        <v>10641.2</v>
      </c>
      <c r="L1179">
        <v>29.52</v>
      </c>
      <c r="M1179">
        <v>1.47</v>
      </c>
      <c r="N1179">
        <v>8.41</v>
      </c>
    </row>
    <row r="1180" spans="1:14">
      <c r="A1180" s="28">
        <v>320</v>
      </c>
      <c r="B1180" t="s">
        <v>2152</v>
      </c>
      <c r="C1180" t="s">
        <v>347</v>
      </c>
      <c r="D1180">
        <v>97.24</v>
      </c>
      <c r="E1180">
        <v>2254.4</v>
      </c>
      <c r="F1180">
        <v>38.479999999999997</v>
      </c>
      <c r="G1180">
        <v>69.42</v>
      </c>
      <c r="H1180">
        <v>4.4800000000000004</v>
      </c>
      <c r="I1180">
        <v>9.43</v>
      </c>
      <c r="J1180">
        <v>970.94</v>
      </c>
      <c r="K1180">
        <v>11771.98</v>
      </c>
      <c r="L1180">
        <v>20.36</v>
      </c>
      <c r="M1180">
        <v>1.68</v>
      </c>
      <c r="N1180">
        <v>14.38</v>
      </c>
    </row>
    <row r="1181" spans="1:14">
      <c r="A1181" s="28">
        <v>997</v>
      </c>
      <c r="B1181" t="s">
        <v>2683</v>
      </c>
      <c r="C1181" t="s">
        <v>348</v>
      </c>
      <c r="D1181">
        <v>97.28</v>
      </c>
      <c r="E1181">
        <v>278.05</v>
      </c>
      <c r="F1181">
        <v>9.27</v>
      </c>
      <c r="G1181" t="s">
        <v>2788</v>
      </c>
      <c r="H1181">
        <v>-6.11</v>
      </c>
      <c r="I1181">
        <v>-11.55</v>
      </c>
      <c r="J1181">
        <v>-216.97</v>
      </c>
      <c r="K1181">
        <v>1770.41</v>
      </c>
      <c r="M1181">
        <v>1.83</v>
      </c>
      <c r="N1181">
        <v>146.75</v>
      </c>
    </row>
    <row r="1182" spans="1:14">
      <c r="A1182" s="28">
        <v>1085</v>
      </c>
      <c r="B1182" t="s">
        <v>1989</v>
      </c>
      <c r="C1182" t="s">
        <v>348</v>
      </c>
      <c r="D1182">
        <v>97.37</v>
      </c>
      <c r="E1182">
        <v>6476.32</v>
      </c>
      <c r="F1182">
        <v>7.36</v>
      </c>
      <c r="G1182">
        <v>-17.829999999999998</v>
      </c>
      <c r="H1182">
        <v>3.06</v>
      </c>
      <c r="I1182">
        <v>5.76</v>
      </c>
      <c r="J1182">
        <v>1883.59</v>
      </c>
      <c r="K1182">
        <v>34509.089999999997</v>
      </c>
      <c r="L1182">
        <v>26.39</v>
      </c>
      <c r="M1182">
        <v>1.44</v>
      </c>
      <c r="N1182">
        <v>21.51</v>
      </c>
    </row>
    <row r="1183" spans="1:14">
      <c r="A1183" s="28">
        <v>501</v>
      </c>
      <c r="B1183" t="s">
        <v>1507</v>
      </c>
      <c r="C1183" t="s">
        <v>348</v>
      </c>
      <c r="D1183">
        <v>97.63</v>
      </c>
      <c r="E1183">
        <v>317.01</v>
      </c>
      <c r="F1183">
        <v>25.53</v>
      </c>
      <c r="G1183" t="s">
        <v>2788</v>
      </c>
      <c r="H1183">
        <v>-11.21</v>
      </c>
      <c r="I1183">
        <v>-19.59</v>
      </c>
      <c r="J1183">
        <v>-406.04</v>
      </c>
      <c r="K1183">
        <v>2085.04</v>
      </c>
      <c r="M1183">
        <v>3.39</v>
      </c>
      <c r="N1183">
        <v>54.44</v>
      </c>
    </row>
    <row r="1184" spans="1:14">
      <c r="A1184" s="28">
        <v>1006</v>
      </c>
      <c r="B1184" t="s">
        <v>2285</v>
      </c>
      <c r="C1184" t="s">
        <v>347</v>
      </c>
      <c r="D1184">
        <v>97.75</v>
      </c>
      <c r="F1184">
        <v>9.0500000000000007</v>
      </c>
      <c r="G1184" t="s">
        <v>2788</v>
      </c>
      <c r="H1184">
        <v>-32.770000000000003</v>
      </c>
      <c r="I1184">
        <v>-70.31</v>
      </c>
      <c r="J1184">
        <v>-3202.68</v>
      </c>
      <c r="K1184">
        <v>4098.88</v>
      </c>
      <c r="M1184">
        <v>2.0299999999999998</v>
      </c>
    </row>
    <row r="1185" spans="1:14">
      <c r="A1185" s="28">
        <v>682</v>
      </c>
      <c r="B1185" t="s">
        <v>2847</v>
      </c>
      <c r="C1185" t="s">
        <v>348</v>
      </c>
      <c r="D1185">
        <v>977.71</v>
      </c>
      <c r="E1185">
        <v>40.35</v>
      </c>
      <c r="F1185">
        <v>17.399999999999999</v>
      </c>
      <c r="G1185" t="s">
        <v>2788</v>
      </c>
      <c r="H1185">
        <v>-18.37</v>
      </c>
      <c r="I1185">
        <v>-110</v>
      </c>
      <c r="J1185">
        <v>-1568.52</v>
      </c>
      <c r="K1185">
        <v>713</v>
      </c>
      <c r="M1185">
        <v>9.57</v>
      </c>
    </row>
    <row r="1186" spans="1:14">
      <c r="A1186" s="28">
        <v>874</v>
      </c>
      <c r="B1186" t="s">
        <v>2272</v>
      </c>
      <c r="C1186" t="s">
        <v>348</v>
      </c>
      <c r="D1186">
        <v>98.02</v>
      </c>
      <c r="E1186">
        <v>1038.58</v>
      </c>
      <c r="F1186">
        <v>11.73</v>
      </c>
      <c r="G1186" t="s">
        <v>2788</v>
      </c>
      <c r="H1186">
        <v>-10.84</v>
      </c>
      <c r="I1186">
        <v>-21.74</v>
      </c>
      <c r="J1186">
        <v>-200.68</v>
      </c>
      <c r="K1186">
        <v>1128.1600000000001</v>
      </c>
      <c r="M1186">
        <v>2.96</v>
      </c>
    </row>
    <row r="1187" spans="1:14">
      <c r="A1187" s="28">
        <v>326</v>
      </c>
      <c r="B1187" t="s">
        <v>243</v>
      </c>
      <c r="C1187" t="s">
        <v>347</v>
      </c>
      <c r="D1187">
        <v>98.58</v>
      </c>
      <c r="E1187">
        <v>553.48</v>
      </c>
      <c r="F1187">
        <v>38.1</v>
      </c>
      <c r="G1187">
        <v>8.7899999999999991</v>
      </c>
      <c r="H1187">
        <v>4.58</v>
      </c>
      <c r="I1187">
        <v>8.1300000000000008</v>
      </c>
      <c r="J1187">
        <v>3016.77</v>
      </c>
      <c r="K1187">
        <v>40080.65</v>
      </c>
      <c r="L1187">
        <v>3.6</v>
      </c>
      <c r="M1187">
        <v>0.27</v>
      </c>
      <c r="N1187">
        <v>2.57</v>
      </c>
    </row>
    <row r="1188" spans="1:14">
      <c r="A1188" s="28">
        <v>900</v>
      </c>
      <c r="B1188" t="s">
        <v>1184</v>
      </c>
      <c r="C1188" t="s">
        <v>348</v>
      </c>
      <c r="D1188">
        <v>98.64</v>
      </c>
      <c r="E1188">
        <v>725.16</v>
      </c>
      <c r="F1188">
        <v>11.19</v>
      </c>
      <c r="G1188">
        <v>0.89</v>
      </c>
      <c r="H1188">
        <v>3.77</v>
      </c>
      <c r="I1188">
        <v>7.54</v>
      </c>
      <c r="J1188">
        <v>304.61</v>
      </c>
      <c r="K1188">
        <v>4125.82</v>
      </c>
      <c r="L1188">
        <v>20.49</v>
      </c>
      <c r="M1188">
        <v>1.51</v>
      </c>
      <c r="N1188">
        <v>14.17</v>
      </c>
    </row>
    <row r="1189" spans="1:14">
      <c r="A1189" s="28">
        <v>123</v>
      </c>
      <c r="B1189" t="s">
        <v>1843</v>
      </c>
      <c r="C1189" t="s">
        <v>348</v>
      </c>
      <c r="D1189">
        <v>98.64</v>
      </c>
      <c r="E1189">
        <v>12.71</v>
      </c>
      <c r="F1189">
        <v>86.88</v>
      </c>
      <c r="G1189" t="s">
        <v>2788</v>
      </c>
      <c r="H1189">
        <v>-14.24</v>
      </c>
      <c r="I1189">
        <v>-27.02</v>
      </c>
      <c r="J1189">
        <v>-156.52000000000001</v>
      </c>
      <c r="K1189">
        <v>563.53</v>
      </c>
      <c r="M1189">
        <v>2.69</v>
      </c>
    </row>
    <row r="1190" spans="1:14">
      <c r="A1190" s="28">
        <v>35</v>
      </c>
      <c r="B1190" t="s">
        <v>2062</v>
      </c>
      <c r="C1190" t="s">
        <v>348</v>
      </c>
      <c r="D1190">
        <v>98.64</v>
      </c>
      <c r="E1190">
        <v>437.41</v>
      </c>
      <c r="F1190">
        <v>299.27999999999997</v>
      </c>
      <c r="G1190" t="s">
        <v>2788</v>
      </c>
      <c r="H1190">
        <v>-16.77</v>
      </c>
      <c r="I1190">
        <v>-29.8</v>
      </c>
      <c r="J1190">
        <v>-174.33</v>
      </c>
      <c r="K1190">
        <v>537.41</v>
      </c>
      <c r="M1190">
        <v>3.05</v>
      </c>
    </row>
    <row r="1191" spans="1:14">
      <c r="A1191" s="28">
        <v>734</v>
      </c>
      <c r="B1191" t="s">
        <v>684</v>
      </c>
      <c r="C1191" t="s">
        <v>348</v>
      </c>
      <c r="D1191">
        <v>98.92</v>
      </c>
      <c r="E1191">
        <v>631.58000000000004</v>
      </c>
      <c r="F1191">
        <v>15.91</v>
      </c>
      <c r="G1191">
        <v>51.36</v>
      </c>
      <c r="H1191">
        <v>8.35</v>
      </c>
      <c r="I1191">
        <v>17.96</v>
      </c>
      <c r="J1191">
        <v>6107.84</v>
      </c>
      <c r="K1191">
        <v>36579.199999999997</v>
      </c>
      <c r="L1191">
        <v>5.27</v>
      </c>
      <c r="M1191">
        <v>0.88</v>
      </c>
      <c r="N1191">
        <v>4.1100000000000003</v>
      </c>
    </row>
    <row r="1192" spans="1:14">
      <c r="A1192" s="28">
        <v>858</v>
      </c>
      <c r="B1192" t="s">
        <v>779</v>
      </c>
      <c r="C1192" t="s">
        <v>347</v>
      </c>
      <c r="D1192">
        <v>98.93</v>
      </c>
      <c r="E1192">
        <v>1542.06</v>
      </c>
      <c r="F1192">
        <v>12.38</v>
      </c>
      <c r="G1192" t="s">
        <v>2788</v>
      </c>
      <c r="H1192">
        <v>-2.0299999999999998</v>
      </c>
      <c r="I1192">
        <v>-3.97</v>
      </c>
      <c r="J1192">
        <v>-3173.59</v>
      </c>
      <c r="K1192">
        <v>82103.16</v>
      </c>
      <c r="M1192">
        <v>0.99</v>
      </c>
      <c r="N1192">
        <v>33.880000000000003</v>
      </c>
    </row>
    <row r="1193" spans="1:14">
      <c r="A1193" s="28">
        <v>433</v>
      </c>
      <c r="B1193" t="s">
        <v>2507</v>
      </c>
      <c r="C1193" t="s">
        <v>348</v>
      </c>
      <c r="D1193">
        <v>9839.02</v>
      </c>
      <c r="F1193">
        <v>29.18</v>
      </c>
      <c r="G1193" t="s">
        <v>2788</v>
      </c>
      <c r="H1193">
        <v>-17.809999999999999</v>
      </c>
      <c r="I1193">
        <v>-396.49</v>
      </c>
      <c r="J1193">
        <v>-631.95000000000005</v>
      </c>
      <c r="K1193">
        <v>34.4</v>
      </c>
    </row>
    <row r="1194" spans="1:14">
      <c r="A1194" s="28">
        <v>514</v>
      </c>
      <c r="B1194" t="s">
        <v>862</v>
      </c>
      <c r="C1194" t="s">
        <v>348</v>
      </c>
      <c r="D1194">
        <v>99.13</v>
      </c>
      <c r="E1194">
        <v>3277.39</v>
      </c>
      <c r="F1194">
        <v>25.02</v>
      </c>
      <c r="G1194">
        <v>51.26</v>
      </c>
      <c r="H1194">
        <v>25.76</v>
      </c>
      <c r="I1194">
        <v>51.71</v>
      </c>
      <c r="J1194">
        <v>7509.04</v>
      </c>
      <c r="K1194">
        <v>18108.53</v>
      </c>
      <c r="L1194">
        <v>3.52</v>
      </c>
      <c r="M1194">
        <v>1.46</v>
      </c>
      <c r="N1194">
        <v>2.31</v>
      </c>
    </row>
    <row r="1195" spans="1:14">
      <c r="A1195" s="28">
        <v>307</v>
      </c>
      <c r="B1195" t="s">
        <v>2673</v>
      </c>
      <c r="C1195" t="s">
        <v>348</v>
      </c>
      <c r="D1195">
        <v>99.17</v>
      </c>
      <c r="E1195">
        <v>136.52000000000001</v>
      </c>
      <c r="F1195">
        <v>40.19</v>
      </c>
      <c r="G1195" t="s">
        <v>2788</v>
      </c>
      <c r="H1195">
        <v>-5.26</v>
      </c>
      <c r="I1195">
        <v>-15.02</v>
      </c>
      <c r="J1195">
        <v>-126.43</v>
      </c>
      <c r="K1195">
        <v>1182.58</v>
      </c>
      <c r="N1195">
        <v>0</v>
      </c>
    </row>
    <row r="1196" spans="1:14">
      <c r="A1196" s="28">
        <v>835</v>
      </c>
      <c r="B1196" t="s">
        <v>677</v>
      </c>
      <c r="C1196" t="s">
        <v>348</v>
      </c>
      <c r="D1196">
        <v>99.19</v>
      </c>
      <c r="E1196">
        <v>683.3</v>
      </c>
      <c r="F1196">
        <v>13.15</v>
      </c>
      <c r="G1196" t="s">
        <v>349</v>
      </c>
      <c r="H1196">
        <v>-20.76</v>
      </c>
      <c r="I1196">
        <v>-36.51</v>
      </c>
      <c r="J1196">
        <v>-53.72</v>
      </c>
      <c r="K1196">
        <v>195.83</v>
      </c>
      <c r="M1196">
        <v>6.81</v>
      </c>
      <c r="N1196">
        <v>178.24</v>
      </c>
    </row>
    <row r="1197" spans="1:14">
      <c r="A1197" s="28">
        <v>146</v>
      </c>
      <c r="B1197" t="s">
        <v>2523</v>
      </c>
      <c r="C1197" t="s">
        <v>348</v>
      </c>
      <c r="D1197">
        <v>99.24</v>
      </c>
      <c r="E1197">
        <v>499.55</v>
      </c>
      <c r="F1197">
        <v>73.17</v>
      </c>
      <c r="G1197" t="s">
        <v>2788</v>
      </c>
      <c r="H1197">
        <v>-17.149999999999999</v>
      </c>
      <c r="I1197">
        <v>-33.619999999999997</v>
      </c>
      <c r="J1197">
        <v>-1184.0999999999999</v>
      </c>
      <c r="K1197">
        <v>2997.74</v>
      </c>
      <c r="M1197">
        <v>4.8600000000000003</v>
      </c>
    </row>
    <row r="1198" spans="1:14">
      <c r="A1198" s="28">
        <v>176</v>
      </c>
      <c r="B1198" t="s">
        <v>2264</v>
      </c>
      <c r="C1198" t="s">
        <v>348</v>
      </c>
      <c r="D1198">
        <v>99.6</v>
      </c>
      <c r="E1198">
        <v>172.73</v>
      </c>
      <c r="F1198">
        <v>63.48</v>
      </c>
      <c r="G1198" t="s">
        <v>349</v>
      </c>
      <c r="H1198">
        <v>-10.97</v>
      </c>
      <c r="I1198">
        <v>-19.54</v>
      </c>
      <c r="J1198">
        <v>-58.08</v>
      </c>
      <c r="K1198">
        <v>272.73</v>
      </c>
      <c r="M1198">
        <v>1.56</v>
      </c>
    </row>
    <row r="1199" spans="1:14">
      <c r="A1199" s="28">
        <v>495</v>
      </c>
      <c r="B1199" t="s">
        <v>1735</v>
      </c>
      <c r="C1199" t="s">
        <v>348</v>
      </c>
      <c r="D1199">
        <v>99.73</v>
      </c>
      <c r="E1199">
        <v>939.22</v>
      </c>
      <c r="F1199">
        <v>25.75</v>
      </c>
      <c r="G1199">
        <v>942.16</v>
      </c>
      <c r="H1199">
        <v>1.27</v>
      </c>
      <c r="I1199">
        <v>2.61</v>
      </c>
      <c r="J1199">
        <v>120.01</v>
      </c>
      <c r="K1199">
        <v>4947.04</v>
      </c>
      <c r="L1199">
        <v>89.99</v>
      </c>
      <c r="M1199">
        <v>2.1800000000000002</v>
      </c>
      <c r="N1199">
        <v>17.579999999999998</v>
      </c>
    </row>
    <row r="1200" spans="1:14">
      <c r="A1200" s="28">
        <v>882</v>
      </c>
      <c r="B1200" t="s">
        <v>1372</v>
      </c>
      <c r="C1200" t="s">
        <v>347</v>
      </c>
      <c r="D1200">
        <v>99.92</v>
      </c>
      <c r="E1200">
        <v>3231.05</v>
      </c>
      <c r="F1200">
        <v>11.56</v>
      </c>
      <c r="G1200">
        <v>58.68</v>
      </c>
      <c r="H1200">
        <v>4.41</v>
      </c>
      <c r="I1200">
        <v>8.68</v>
      </c>
      <c r="J1200">
        <v>1170.1400000000001</v>
      </c>
      <c r="K1200">
        <v>16655.23</v>
      </c>
      <c r="L1200">
        <v>24.74</v>
      </c>
      <c r="M1200">
        <v>1.74</v>
      </c>
      <c r="N1200">
        <v>10.54</v>
      </c>
    </row>
    <row r="1201" spans="1:14">
      <c r="A1201" s="28">
        <v>36</v>
      </c>
      <c r="B1201" t="s">
        <v>1825</v>
      </c>
      <c r="C1201" t="s">
        <v>348</v>
      </c>
      <c r="D1201">
        <v>99.96</v>
      </c>
      <c r="E1201">
        <v>2155.52</v>
      </c>
      <c r="F1201">
        <v>292.48</v>
      </c>
      <c r="G1201">
        <v>248.07</v>
      </c>
      <c r="H1201">
        <v>28.73</v>
      </c>
      <c r="I1201">
        <v>60.84</v>
      </c>
      <c r="J1201">
        <v>2402.98</v>
      </c>
      <c r="K1201">
        <v>5638.8</v>
      </c>
      <c r="N1201">
        <v>0.48</v>
      </c>
    </row>
    <row r="1202" spans="1:14">
      <c r="A1202" s="28">
        <v>1113</v>
      </c>
      <c r="B1202" t="s">
        <v>2515</v>
      </c>
      <c r="C1202" t="s">
        <v>347</v>
      </c>
      <c r="D1202">
        <v>99.99</v>
      </c>
      <c r="E1202">
        <v>439.92</v>
      </c>
      <c r="F1202">
        <v>6.55</v>
      </c>
      <c r="G1202" t="s">
        <v>349</v>
      </c>
      <c r="H1202">
        <v>-0.09</v>
      </c>
      <c r="I1202">
        <v>-0.19</v>
      </c>
      <c r="J1202">
        <v>-3.23</v>
      </c>
      <c r="K1202">
        <v>2699.59</v>
      </c>
      <c r="M1202">
        <v>0.26</v>
      </c>
      <c r="N1202">
        <v>15.94</v>
      </c>
    </row>
    <row r="1203" spans="1:14">
      <c r="A1203" s="28">
        <v>942</v>
      </c>
      <c r="B1203" t="s">
        <v>2824</v>
      </c>
      <c r="C1203" t="s">
        <v>348</v>
      </c>
      <c r="D1203" t="s">
        <v>2792</v>
      </c>
      <c r="F1203">
        <v>10.3</v>
      </c>
      <c r="G1203" t="s">
        <v>2788</v>
      </c>
      <c r="H1203">
        <v>-40.29</v>
      </c>
      <c r="I1203" t="s">
        <v>2792</v>
      </c>
      <c r="J1203">
        <v>-1227.6199999999999</v>
      </c>
      <c r="K1203">
        <v>-1088.3800000000001</v>
      </c>
    </row>
    <row r="1204" spans="1:14">
      <c r="A1204" s="28">
        <v>528</v>
      </c>
      <c r="B1204" t="s">
        <v>2853</v>
      </c>
      <c r="C1204" t="s">
        <v>348</v>
      </c>
      <c r="D1204" t="s">
        <v>2792</v>
      </c>
      <c r="F1204">
        <v>24.46</v>
      </c>
      <c r="G1204" t="s">
        <v>2788</v>
      </c>
      <c r="H1204">
        <v>-2.35</v>
      </c>
      <c r="I1204" t="s">
        <v>2792</v>
      </c>
      <c r="J1204">
        <v>-82.14</v>
      </c>
      <c r="K1204">
        <v>-876.6</v>
      </c>
      <c r="N1204">
        <v>26.91</v>
      </c>
    </row>
    <row r="1205" spans="1:14">
      <c r="A1205" s="28">
        <v>529</v>
      </c>
      <c r="B1205" t="s">
        <v>2855</v>
      </c>
      <c r="C1205" t="s">
        <v>348</v>
      </c>
      <c r="D1205" t="s">
        <v>2792</v>
      </c>
      <c r="F1205">
        <v>24.42</v>
      </c>
      <c r="H1205">
        <v>-25.68</v>
      </c>
      <c r="I1205" t="s">
        <v>2792</v>
      </c>
    </row>
    <row r="1206" spans="1:14">
      <c r="A1206" s="28">
        <v>99</v>
      </c>
      <c r="B1206" t="s">
        <v>2854</v>
      </c>
      <c r="C1206" t="s">
        <v>348</v>
      </c>
      <c r="D1206" t="s">
        <v>2792</v>
      </c>
      <c r="F1206">
        <v>113.34</v>
      </c>
      <c r="H1206">
        <v>-50.44</v>
      </c>
      <c r="I1206" t="s">
        <v>2792</v>
      </c>
    </row>
    <row r="1207" spans="1:14">
      <c r="A1207" s="28">
        <v>28</v>
      </c>
      <c r="B1207" t="s">
        <v>2856</v>
      </c>
      <c r="C1207" t="s">
        <v>348</v>
      </c>
      <c r="D1207" t="s">
        <v>2792</v>
      </c>
      <c r="F1207">
        <v>347.53</v>
      </c>
      <c r="G1207" t="s">
        <v>2788</v>
      </c>
      <c r="H1207">
        <v>-7.77</v>
      </c>
      <c r="I1207" t="s">
        <v>2792</v>
      </c>
      <c r="J1207">
        <v>-22.79</v>
      </c>
      <c r="K1207">
        <v>-9.4600000000000009</v>
      </c>
    </row>
    <row r="1208" spans="1:14">
      <c r="A1208" s="28">
        <v>512</v>
      </c>
      <c r="B1208" t="s">
        <v>2566</v>
      </c>
      <c r="C1208" t="s">
        <v>348</v>
      </c>
      <c r="D1208" t="s">
        <v>2792</v>
      </c>
      <c r="F1208">
        <v>25.15</v>
      </c>
      <c r="G1208" t="s">
        <v>2788</v>
      </c>
      <c r="H1208">
        <v>-109.47</v>
      </c>
      <c r="I1208">
        <v>-246.87</v>
      </c>
      <c r="J1208">
        <v>-2155.7399999999998</v>
      </c>
      <c r="K1208">
        <v>-115.84</v>
      </c>
    </row>
    <row r="1209" spans="1:14">
      <c r="A1209" s="28">
        <v>267</v>
      </c>
      <c r="B1209" t="s">
        <v>2867</v>
      </c>
      <c r="C1209" t="s">
        <v>348</v>
      </c>
      <c r="D1209" t="s">
        <v>2792</v>
      </c>
      <c r="F1209">
        <v>44.66</v>
      </c>
      <c r="G1209" t="s">
        <v>2788</v>
      </c>
      <c r="H1209">
        <v>-226.11</v>
      </c>
      <c r="I1209" t="s">
        <v>2792</v>
      </c>
      <c r="J1209">
        <v>-922.48</v>
      </c>
      <c r="K1209">
        <v>-346.63</v>
      </c>
    </row>
    <row r="1210" spans="1:14">
      <c r="A1210" s="28">
        <v>79</v>
      </c>
      <c r="B1210" t="s">
        <v>2402</v>
      </c>
      <c r="C1210" t="s">
        <v>348</v>
      </c>
      <c r="D1210" t="s">
        <v>2792</v>
      </c>
      <c r="F1210">
        <v>134.27000000000001</v>
      </c>
      <c r="G1210" t="s">
        <v>2788</v>
      </c>
      <c r="H1210">
        <v>-64.650000000000006</v>
      </c>
      <c r="I1210">
        <v>-3360.25</v>
      </c>
      <c r="J1210">
        <v>-750.76</v>
      </c>
      <c r="K1210">
        <v>-348.8</v>
      </c>
    </row>
    <row r="1211" spans="1:14">
      <c r="A1211" s="28">
        <v>24</v>
      </c>
      <c r="B1211" t="s">
        <v>2031</v>
      </c>
      <c r="C1211" t="s">
        <v>348</v>
      </c>
      <c r="D1211" t="s">
        <v>2792</v>
      </c>
      <c r="F1211">
        <v>423.93</v>
      </c>
      <c r="G1211" t="s">
        <v>2788</v>
      </c>
      <c r="H1211">
        <v>-84.91</v>
      </c>
      <c r="I1211" t="s">
        <v>2792</v>
      </c>
      <c r="J1211">
        <v>-1095.5999999999999</v>
      </c>
      <c r="K1211">
        <v>-1663.14</v>
      </c>
    </row>
    <row r="1212" spans="1:14">
      <c r="A1212" s="28">
        <v>200</v>
      </c>
      <c r="B1212" t="s">
        <v>1524</v>
      </c>
      <c r="C1212" t="s">
        <v>348</v>
      </c>
      <c r="D1212" t="s">
        <v>2792</v>
      </c>
      <c r="F1212">
        <v>56.46</v>
      </c>
      <c r="G1212" t="s">
        <v>2788</v>
      </c>
      <c r="H1212">
        <v>-90.63</v>
      </c>
      <c r="I1212" t="s">
        <v>2792</v>
      </c>
      <c r="J1212">
        <v>-982.44</v>
      </c>
      <c r="K1212">
        <v>-240.41</v>
      </c>
    </row>
    <row r="1213" spans="1:14">
      <c r="A1213" s="28">
        <v>902</v>
      </c>
      <c r="B1213" t="s">
        <v>2850</v>
      </c>
      <c r="C1213" t="s">
        <v>348</v>
      </c>
      <c r="D1213" t="s">
        <v>2792</v>
      </c>
      <c r="F1213">
        <v>11.17</v>
      </c>
      <c r="G1213" t="s">
        <v>2788</v>
      </c>
      <c r="H1213">
        <v>-55.51</v>
      </c>
      <c r="I1213" t="s">
        <v>2792</v>
      </c>
      <c r="J1213">
        <v>-819</v>
      </c>
      <c r="K1213">
        <v>-2429.58</v>
      </c>
    </row>
    <row r="1214" spans="1:14">
      <c r="A1214" s="28">
        <v>60</v>
      </c>
      <c r="B1214" t="s">
        <v>2849</v>
      </c>
      <c r="C1214" t="s">
        <v>348</v>
      </c>
      <c r="D1214" t="s">
        <v>2792</v>
      </c>
      <c r="F1214">
        <v>168.37</v>
      </c>
      <c r="H1214">
        <v>-35.17</v>
      </c>
      <c r="I1214" t="s">
        <v>2792</v>
      </c>
    </row>
    <row r="1215" spans="1:14">
      <c r="A1215" s="28">
        <v>58</v>
      </c>
      <c r="B1215" t="s">
        <v>1880</v>
      </c>
      <c r="C1215" t="s">
        <v>348</v>
      </c>
      <c r="D1215" t="s">
        <v>2792</v>
      </c>
      <c r="F1215">
        <v>173</v>
      </c>
      <c r="G1215" t="s">
        <v>2788</v>
      </c>
      <c r="H1215">
        <v>-21.74</v>
      </c>
      <c r="I1215" t="s">
        <v>2792</v>
      </c>
      <c r="J1215">
        <v>-257.62</v>
      </c>
      <c r="K1215">
        <v>-444.97</v>
      </c>
    </row>
    <row r="1216" spans="1:14">
      <c r="A1216" s="28">
        <v>44</v>
      </c>
      <c r="B1216" t="s">
        <v>2834</v>
      </c>
      <c r="C1216" t="s">
        <v>348</v>
      </c>
      <c r="D1216" t="s">
        <v>2792</v>
      </c>
      <c r="F1216">
        <v>213.45</v>
      </c>
      <c r="G1216" t="s">
        <v>2788</v>
      </c>
      <c r="H1216">
        <v>-38.76</v>
      </c>
      <c r="I1216" t="s">
        <v>2792</v>
      </c>
      <c r="J1216">
        <v>-2768.86</v>
      </c>
      <c r="K1216">
        <v>-3813.24</v>
      </c>
    </row>
    <row r="1217" spans="1:14">
      <c r="A1217" s="28">
        <v>372</v>
      </c>
      <c r="B1217" t="s">
        <v>2848</v>
      </c>
      <c r="C1217" t="s">
        <v>348</v>
      </c>
      <c r="D1217" t="s">
        <v>2792</v>
      </c>
      <c r="F1217">
        <v>33.299999999999997</v>
      </c>
      <c r="G1217" t="s">
        <v>2788</v>
      </c>
      <c r="H1217">
        <v>-3.01</v>
      </c>
      <c r="I1217" t="s">
        <v>2792</v>
      </c>
      <c r="J1217">
        <v>-553.4</v>
      </c>
      <c r="K1217">
        <v>-372.29</v>
      </c>
      <c r="N1217">
        <v>14.91</v>
      </c>
    </row>
    <row r="1218" spans="1:14">
      <c r="A1218" s="28">
        <v>252</v>
      </c>
      <c r="B1218" t="s">
        <v>2600</v>
      </c>
      <c r="C1218" t="s">
        <v>348</v>
      </c>
      <c r="D1218" t="s">
        <v>2792</v>
      </c>
      <c r="F1218">
        <v>46.09</v>
      </c>
      <c r="G1218" t="s">
        <v>2788</v>
      </c>
      <c r="H1218">
        <v>-102.15</v>
      </c>
      <c r="I1218">
        <v>-623.82000000000005</v>
      </c>
      <c r="J1218">
        <v>-2166.7600000000002</v>
      </c>
      <c r="K1218">
        <v>-580.09</v>
      </c>
      <c r="N1218">
        <v>125.26</v>
      </c>
    </row>
    <row r="1219" spans="1:14">
      <c r="A1219" s="28">
        <v>22</v>
      </c>
      <c r="B1219" t="s">
        <v>1878</v>
      </c>
      <c r="C1219" t="s">
        <v>348</v>
      </c>
      <c r="D1219" t="s">
        <v>2792</v>
      </c>
      <c r="F1219">
        <v>429.38</v>
      </c>
      <c r="G1219" t="s">
        <v>2788</v>
      </c>
      <c r="H1219">
        <v>-48.86</v>
      </c>
      <c r="I1219" t="s">
        <v>2792</v>
      </c>
      <c r="J1219">
        <v>-1403.53</v>
      </c>
      <c r="K1219">
        <v>-984.47</v>
      </c>
    </row>
    <row r="1220" spans="1:14">
      <c r="A1220" s="28">
        <v>80</v>
      </c>
      <c r="B1220" t="s">
        <v>2851</v>
      </c>
      <c r="C1220" t="s">
        <v>348</v>
      </c>
      <c r="D1220" t="s">
        <v>2792</v>
      </c>
      <c r="F1220">
        <v>133.08000000000001</v>
      </c>
      <c r="G1220" t="s">
        <v>2788</v>
      </c>
      <c r="H1220">
        <v>-34.47</v>
      </c>
      <c r="I1220" t="s">
        <v>2792</v>
      </c>
      <c r="J1220">
        <v>-487.68</v>
      </c>
      <c r="K1220">
        <v>-576.33000000000004</v>
      </c>
    </row>
    <row r="1221" spans="1:14">
      <c r="A1221" s="28">
        <v>164</v>
      </c>
      <c r="B1221" t="s">
        <v>2852</v>
      </c>
      <c r="C1221" t="s">
        <v>348</v>
      </c>
      <c r="D1221" t="s">
        <v>2792</v>
      </c>
      <c r="F1221">
        <v>66.22</v>
      </c>
      <c r="G1221" t="s">
        <v>2788</v>
      </c>
      <c r="H1221">
        <v>-13.55</v>
      </c>
      <c r="I1221" t="s">
        <v>2792</v>
      </c>
      <c r="J1221">
        <v>-209.96</v>
      </c>
      <c r="K1221">
        <v>-1289.72</v>
      </c>
    </row>
    <row r="1222" spans="1:14">
      <c r="A1222" s="28">
        <v>1121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krxData"/>
  <dimension ref="A4:M2627"/>
  <sheetViews>
    <sheetView workbookViewId="0">
      <selection activeCell="O94" sqref="O94"/>
    </sheetView>
  </sheetViews>
  <sheetFormatPr defaultRowHeight="16.5"/>
  <cols>
    <col min="1" max="1" width="14.25" style="28" customWidth="1"/>
    <col min="2" max="2" width="12.34765625" customWidth="1"/>
    <col min="3" max="3" width="11.84765625" customWidth="1"/>
    <col min="4" max="4" width="14" customWidth="1"/>
    <col min="5" max="5" width="15.25" customWidth="1"/>
    <col min="6" max="6" width="12.75" customWidth="1"/>
    <col min="7" max="7" width="11.25" customWidth="1"/>
    <col min="8" max="8" width="12.34765625" customWidth="1"/>
    <col min="9" max="9" width="12.09765625" customWidth="1"/>
    <col min="10" max="10" width="12.84765625" customWidth="1"/>
    <col min="11" max="11" width="11.34765625" customWidth="1"/>
    <col min="12" max="12" width="16" customWidth="1"/>
    <col min="13" max="13" width="18.25" customWidth="1"/>
  </cols>
  <sheetData>
    <row r="4" spans="1:13">
      <c r="B4">
        <v>20240323</v>
      </c>
      <c r="I4">
        <v>20240323</v>
      </c>
    </row>
    <row r="5" spans="1:13">
      <c r="A5" s="37" t="s">
        <v>384</v>
      </c>
      <c r="B5" s="36" t="s">
        <v>385</v>
      </c>
      <c r="C5" s="36" t="s">
        <v>386</v>
      </c>
      <c r="D5" s="36" t="s">
        <v>387</v>
      </c>
      <c r="E5" s="36" t="s">
        <v>388</v>
      </c>
      <c r="F5" s="36" t="s">
        <v>389</v>
      </c>
      <c r="G5" s="36" t="s">
        <v>390</v>
      </c>
      <c r="H5" s="36" t="s">
        <v>391</v>
      </c>
      <c r="I5" s="36" t="s">
        <v>392</v>
      </c>
      <c r="J5" s="36" t="s">
        <v>393</v>
      </c>
      <c r="K5" s="36" t="s">
        <v>394</v>
      </c>
      <c r="L5" s="36" t="s">
        <v>395</v>
      </c>
      <c r="M5" s="36" t="s">
        <v>396</v>
      </c>
    </row>
    <row r="6" spans="1:1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397</v>
      </c>
      <c r="I6" t="s">
        <v>397</v>
      </c>
      <c r="J6">
        <v>3320</v>
      </c>
      <c r="K6">
        <v>0.6</v>
      </c>
      <c r="L6">
        <v>779</v>
      </c>
      <c r="M6">
        <v>38.97</v>
      </c>
    </row>
    <row r="7" spans="1:13">
      <c r="A7" s="28">
        <v>115390</v>
      </c>
      <c r="B7" t="s">
        <v>398</v>
      </c>
      <c r="C7">
        <v>7710</v>
      </c>
      <c r="D7">
        <v>480</v>
      </c>
      <c r="E7">
        <v>6.64</v>
      </c>
      <c r="F7" t="s">
        <v>397</v>
      </c>
      <c r="G7" t="s">
        <v>397</v>
      </c>
      <c r="H7" t="s">
        <v>397</v>
      </c>
      <c r="I7" t="s">
        <v>397</v>
      </c>
      <c r="J7">
        <v>12030</v>
      </c>
      <c r="K7">
        <v>0.64</v>
      </c>
      <c r="L7">
        <v>1953</v>
      </c>
      <c r="M7">
        <v>25.33</v>
      </c>
    </row>
    <row r="8" spans="1:1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397</v>
      </c>
      <c r="I8" t="s">
        <v>397</v>
      </c>
      <c r="J8">
        <v>60174</v>
      </c>
      <c r="K8">
        <v>0.37</v>
      </c>
      <c r="L8">
        <v>4005</v>
      </c>
      <c r="M8">
        <v>18</v>
      </c>
    </row>
    <row r="9" spans="1:1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397</v>
      </c>
      <c r="I9" t="s">
        <v>397</v>
      </c>
      <c r="J9">
        <v>16662</v>
      </c>
      <c r="K9">
        <v>0.34</v>
      </c>
      <c r="L9">
        <v>800</v>
      </c>
      <c r="M9">
        <v>14.21</v>
      </c>
    </row>
    <row r="10" spans="1:13">
      <c r="A10" s="28">
        <v>36220</v>
      </c>
      <c r="B10" t="s">
        <v>399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397</v>
      </c>
      <c r="I10" t="s">
        <v>397</v>
      </c>
      <c r="J10">
        <v>15877</v>
      </c>
      <c r="K10">
        <v>1.59</v>
      </c>
      <c r="L10">
        <v>3000</v>
      </c>
      <c r="M10">
        <v>11.9</v>
      </c>
    </row>
    <row r="11" spans="1:1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>
      <c r="A12" s="28">
        <v>10955</v>
      </c>
      <c r="B12" t="s">
        <v>400</v>
      </c>
      <c r="C12">
        <v>50200</v>
      </c>
      <c r="D12">
        <v>0</v>
      </c>
      <c r="E12">
        <v>0</v>
      </c>
      <c r="F12" t="s">
        <v>397</v>
      </c>
      <c r="G12" t="s">
        <v>397</v>
      </c>
      <c r="H12" t="s">
        <v>397</v>
      </c>
      <c r="I12" t="s">
        <v>397</v>
      </c>
      <c r="J12" t="s">
        <v>397</v>
      </c>
      <c r="K12" t="s">
        <v>397</v>
      </c>
      <c r="L12">
        <v>5525</v>
      </c>
      <c r="M12">
        <v>11.01</v>
      </c>
    </row>
    <row r="13" spans="1:1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397</v>
      </c>
      <c r="I13" t="s">
        <v>397</v>
      </c>
      <c r="J13">
        <v>15707</v>
      </c>
      <c r="K13">
        <v>0.28999999999999998</v>
      </c>
      <c r="L13">
        <v>490</v>
      </c>
      <c r="M13">
        <v>10.9</v>
      </c>
    </row>
    <row r="14" spans="1:1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>
      <c r="A15" s="28">
        <v>96240</v>
      </c>
      <c r="B15" t="s">
        <v>401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397</v>
      </c>
      <c r="I15" t="s">
        <v>397</v>
      </c>
      <c r="J15">
        <v>5467</v>
      </c>
      <c r="K15">
        <v>3.22</v>
      </c>
      <c r="L15">
        <v>1800</v>
      </c>
      <c r="M15">
        <v>10.220000000000001</v>
      </c>
    </row>
    <row r="16" spans="1:13">
      <c r="A16" s="28">
        <v>214320</v>
      </c>
      <c r="B16" t="s">
        <v>402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397</v>
      </c>
      <c r="I17" t="s">
        <v>397</v>
      </c>
      <c r="J17">
        <v>19502</v>
      </c>
      <c r="K17">
        <v>0.12</v>
      </c>
      <c r="L17">
        <v>225</v>
      </c>
      <c r="M17">
        <v>9.74</v>
      </c>
    </row>
    <row r="18" spans="1:1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397</v>
      </c>
      <c r="I18" t="s">
        <v>397</v>
      </c>
      <c r="J18">
        <v>25542</v>
      </c>
      <c r="K18">
        <v>0.2</v>
      </c>
      <c r="L18">
        <v>500</v>
      </c>
      <c r="M18">
        <v>9.7100000000000009</v>
      </c>
    </row>
    <row r="19" spans="1:13">
      <c r="A19" s="28">
        <v>225190</v>
      </c>
      <c r="B19" t="s">
        <v>403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397</v>
      </c>
      <c r="I19" t="s">
        <v>397</v>
      </c>
      <c r="J19">
        <v>3600</v>
      </c>
      <c r="K19">
        <v>2.58</v>
      </c>
      <c r="L19">
        <v>900</v>
      </c>
      <c r="M19">
        <v>9.7100000000000009</v>
      </c>
    </row>
    <row r="20" spans="1:1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397</v>
      </c>
      <c r="I20" t="s">
        <v>397</v>
      </c>
      <c r="J20">
        <v>26478</v>
      </c>
      <c r="K20">
        <v>0.42</v>
      </c>
      <c r="L20">
        <v>1050</v>
      </c>
      <c r="M20">
        <v>9.5</v>
      </c>
    </row>
    <row r="21" spans="1:13">
      <c r="A21" s="28">
        <v>51380</v>
      </c>
      <c r="B21" t="s">
        <v>404</v>
      </c>
      <c r="C21">
        <v>3325</v>
      </c>
      <c r="D21">
        <v>-60</v>
      </c>
      <c r="E21">
        <v>-1.77</v>
      </c>
      <c r="F21" t="s">
        <v>397</v>
      </c>
      <c r="G21" t="s">
        <v>397</v>
      </c>
      <c r="H21" t="s">
        <v>397</v>
      </c>
      <c r="I21" t="s">
        <v>397</v>
      </c>
      <c r="J21">
        <v>2923</v>
      </c>
      <c r="K21">
        <v>1.1399999999999999</v>
      </c>
      <c r="L21">
        <v>300</v>
      </c>
      <c r="M21">
        <v>9.02</v>
      </c>
    </row>
    <row r="22" spans="1:1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397</v>
      </c>
      <c r="I22" t="s">
        <v>397</v>
      </c>
      <c r="J22">
        <v>78491</v>
      </c>
      <c r="K22">
        <v>0.22</v>
      </c>
      <c r="L22">
        <v>1500</v>
      </c>
      <c r="M22">
        <v>8.89</v>
      </c>
    </row>
    <row r="23" spans="1:1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397</v>
      </c>
      <c r="I23" t="s">
        <v>397</v>
      </c>
      <c r="J23">
        <v>4503</v>
      </c>
      <c r="K23">
        <v>0.23</v>
      </c>
      <c r="L23">
        <v>90</v>
      </c>
      <c r="M23">
        <v>8.73</v>
      </c>
    </row>
    <row r="24" spans="1:1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397</v>
      </c>
      <c r="I24" t="s">
        <v>397</v>
      </c>
      <c r="J24">
        <v>28794</v>
      </c>
      <c r="K24">
        <v>0.4</v>
      </c>
      <c r="L24">
        <v>990</v>
      </c>
      <c r="M24">
        <v>8.6199999999999992</v>
      </c>
    </row>
    <row r="25" spans="1:1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397</v>
      </c>
      <c r="I26" t="s">
        <v>397</v>
      </c>
      <c r="J26">
        <v>6156</v>
      </c>
      <c r="K26">
        <v>0.51</v>
      </c>
      <c r="L26">
        <v>260</v>
      </c>
      <c r="M26">
        <v>8.2799999999999994</v>
      </c>
    </row>
    <row r="27" spans="1:1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397</v>
      </c>
      <c r="I27" t="s">
        <v>397</v>
      </c>
      <c r="J27">
        <v>27514</v>
      </c>
      <c r="K27">
        <v>0.44</v>
      </c>
      <c r="L27">
        <v>1000</v>
      </c>
      <c r="M27">
        <v>8.24</v>
      </c>
    </row>
    <row r="28" spans="1:1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397</v>
      </c>
      <c r="I28" t="s">
        <v>397</v>
      </c>
      <c r="J28">
        <v>3685</v>
      </c>
      <c r="K28">
        <v>0.77</v>
      </c>
      <c r="L28">
        <v>230</v>
      </c>
      <c r="M28">
        <v>8.11</v>
      </c>
    </row>
    <row r="29" spans="1:1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397</v>
      </c>
      <c r="I29" t="s">
        <v>397</v>
      </c>
      <c r="J29">
        <v>28881</v>
      </c>
      <c r="K29">
        <v>0.39</v>
      </c>
      <c r="L29">
        <v>900</v>
      </c>
      <c r="M29">
        <v>8.09</v>
      </c>
    </row>
    <row r="30" spans="1:13">
      <c r="A30" s="28">
        <v>92130</v>
      </c>
      <c r="B30" t="s">
        <v>405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397</v>
      </c>
      <c r="I30" t="s">
        <v>397</v>
      </c>
      <c r="J30">
        <v>3840</v>
      </c>
      <c r="K30">
        <v>3.41</v>
      </c>
      <c r="L30">
        <v>1040</v>
      </c>
      <c r="M30">
        <v>7.93</v>
      </c>
    </row>
    <row r="31" spans="1:13">
      <c r="A31" s="28">
        <v>65710</v>
      </c>
      <c r="B31" t="s">
        <v>406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397</v>
      </c>
      <c r="I31" t="s">
        <v>397</v>
      </c>
      <c r="J31">
        <v>17842</v>
      </c>
      <c r="K31">
        <v>1.08</v>
      </c>
      <c r="L31">
        <v>1500</v>
      </c>
      <c r="M31">
        <v>7.81</v>
      </c>
    </row>
    <row r="32" spans="1:13">
      <c r="A32" s="28">
        <v>11785</v>
      </c>
      <c r="B32" t="s">
        <v>407</v>
      </c>
      <c r="C32">
        <v>69800</v>
      </c>
      <c r="D32">
        <v>500</v>
      </c>
      <c r="E32">
        <v>0.72</v>
      </c>
      <c r="F32" t="s">
        <v>397</v>
      </c>
      <c r="G32" t="s">
        <v>397</v>
      </c>
      <c r="H32" t="s">
        <v>397</v>
      </c>
      <c r="I32" t="s">
        <v>397</v>
      </c>
      <c r="J32" t="s">
        <v>397</v>
      </c>
      <c r="K32" t="s">
        <v>397</v>
      </c>
      <c r="L32">
        <v>5450</v>
      </c>
      <c r="M32">
        <v>7.81</v>
      </c>
    </row>
    <row r="33" spans="1:1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397</v>
      </c>
      <c r="I33" t="s">
        <v>397</v>
      </c>
      <c r="J33">
        <v>2866</v>
      </c>
      <c r="K33">
        <v>0.45</v>
      </c>
      <c r="L33">
        <v>100</v>
      </c>
      <c r="M33">
        <v>7.74</v>
      </c>
    </row>
    <row r="34" spans="1:13">
      <c r="A34" s="28">
        <v>4800</v>
      </c>
      <c r="B34" t="s">
        <v>408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>
      <c r="A35" s="28">
        <v>40420</v>
      </c>
      <c r="B35" t="s">
        <v>409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397</v>
      </c>
      <c r="I35" t="s">
        <v>397</v>
      </c>
      <c r="J35">
        <v>5207</v>
      </c>
      <c r="K35">
        <v>1.33</v>
      </c>
      <c r="L35">
        <v>530</v>
      </c>
      <c r="M35">
        <v>7.66</v>
      </c>
    </row>
    <row r="36" spans="1:13">
      <c r="A36" s="28">
        <v>3545</v>
      </c>
      <c r="B36" t="s">
        <v>410</v>
      </c>
      <c r="C36">
        <v>16440</v>
      </c>
      <c r="D36">
        <v>150</v>
      </c>
      <c r="E36">
        <v>0.92</v>
      </c>
      <c r="F36" t="s">
        <v>397</v>
      </c>
      <c r="G36" t="s">
        <v>397</v>
      </c>
      <c r="H36" t="s">
        <v>397</v>
      </c>
      <c r="I36" t="s">
        <v>397</v>
      </c>
      <c r="J36" t="s">
        <v>397</v>
      </c>
      <c r="K36" t="s">
        <v>397</v>
      </c>
      <c r="L36">
        <v>1250</v>
      </c>
      <c r="M36">
        <v>7.6</v>
      </c>
    </row>
    <row r="37" spans="1:1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397</v>
      </c>
      <c r="I38" t="s">
        <v>397</v>
      </c>
      <c r="J38">
        <v>4291</v>
      </c>
      <c r="K38">
        <v>0.77</v>
      </c>
      <c r="L38">
        <v>250</v>
      </c>
      <c r="M38">
        <v>7.52</v>
      </c>
    </row>
    <row r="39" spans="1:1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>
      <c r="A40" s="28">
        <v>3547</v>
      </c>
      <c r="B40" t="s">
        <v>411</v>
      </c>
      <c r="C40">
        <v>15960</v>
      </c>
      <c r="D40">
        <v>160</v>
      </c>
      <c r="E40">
        <v>1.01</v>
      </c>
      <c r="F40" t="s">
        <v>397</v>
      </c>
      <c r="G40" t="s">
        <v>397</v>
      </c>
      <c r="H40" t="s">
        <v>397</v>
      </c>
      <c r="I40" t="s">
        <v>397</v>
      </c>
      <c r="J40" t="s">
        <v>397</v>
      </c>
      <c r="K40" t="s">
        <v>397</v>
      </c>
      <c r="L40">
        <v>1200</v>
      </c>
      <c r="M40">
        <v>7.52</v>
      </c>
    </row>
    <row r="41" spans="1:13">
      <c r="A41" s="28">
        <v>330730</v>
      </c>
      <c r="B41" t="s">
        <v>379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397</v>
      </c>
      <c r="I41" t="s">
        <v>397</v>
      </c>
      <c r="J41">
        <v>4951</v>
      </c>
      <c r="K41">
        <v>1.08</v>
      </c>
      <c r="L41">
        <v>400</v>
      </c>
      <c r="M41">
        <v>7.48</v>
      </c>
    </row>
    <row r="42" spans="1:1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397</v>
      </c>
      <c r="I42" t="s">
        <v>397</v>
      </c>
      <c r="J42">
        <v>36091</v>
      </c>
      <c r="K42">
        <v>0.3</v>
      </c>
      <c r="L42">
        <v>800</v>
      </c>
      <c r="M42">
        <v>7.43</v>
      </c>
    </row>
    <row r="43" spans="1:1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397</v>
      </c>
      <c r="I46" t="s">
        <v>397</v>
      </c>
      <c r="J46">
        <v>156939</v>
      </c>
      <c r="K46">
        <v>0.22</v>
      </c>
      <c r="L46">
        <v>2500</v>
      </c>
      <c r="M46">
        <v>7.41</v>
      </c>
    </row>
    <row r="47" spans="1:1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397</v>
      </c>
      <c r="I47" t="s">
        <v>397</v>
      </c>
      <c r="J47">
        <v>11015</v>
      </c>
      <c r="K47">
        <v>0.49</v>
      </c>
      <c r="L47">
        <v>400</v>
      </c>
      <c r="M47">
        <v>7.38</v>
      </c>
    </row>
    <row r="48" spans="1:1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397</v>
      </c>
      <c r="I48" t="s">
        <v>397</v>
      </c>
      <c r="J48">
        <v>40593</v>
      </c>
      <c r="K48">
        <v>0.34</v>
      </c>
      <c r="L48">
        <v>1000</v>
      </c>
      <c r="M48">
        <v>7.3</v>
      </c>
    </row>
    <row r="49" spans="1:13">
      <c r="A49" s="28">
        <v>29960</v>
      </c>
      <c r="B49" t="s">
        <v>412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397</v>
      </c>
      <c r="I49" t="s">
        <v>397</v>
      </c>
      <c r="J49">
        <v>3510</v>
      </c>
      <c r="K49">
        <v>1.96</v>
      </c>
      <c r="L49">
        <v>500</v>
      </c>
      <c r="M49">
        <v>7.28</v>
      </c>
    </row>
    <row r="50" spans="1:1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397</v>
      </c>
      <c r="I50" t="s">
        <v>397</v>
      </c>
      <c r="J50">
        <v>13726</v>
      </c>
      <c r="K50">
        <v>0.4</v>
      </c>
      <c r="L50">
        <v>400</v>
      </c>
      <c r="M50">
        <v>7.27</v>
      </c>
    </row>
    <row r="51" spans="1:13">
      <c r="A51" s="28">
        <v>2960</v>
      </c>
      <c r="B51" t="s">
        <v>413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397</v>
      </c>
      <c r="I51" t="s">
        <v>397</v>
      </c>
      <c r="J51">
        <v>86889</v>
      </c>
      <c r="K51">
        <v>2.86</v>
      </c>
      <c r="L51">
        <v>18000</v>
      </c>
      <c r="M51">
        <v>7.24</v>
      </c>
    </row>
    <row r="52" spans="1:1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397</v>
      </c>
      <c r="I52" t="s">
        <v>397</v>
      </c>
      <c r="J52">
        <v>99270</v>
      </c>
      <c r="K52">
        <v>0.31</v>
      </c>
      <c r="L52">
        <v>2200</v>
      </c>
      <c r="M52">
        <v>7.21</v>
      </c>
    </row>
    <row r="53" spans="1:1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397</v>
      </c>
      <c r="I54" t="s">
        <v>397</v>
      </c>
      <c r="J54">
        <v>21609</v>
      </c>
      <c r="K54">
        <v>0.28999999999999998</v>
      </c>
      <c r="L54">
        <v>450</v>
      </c>
      <c r="M54">
        <v>7.12</v>
      </c>
    </row>
    <row r="55" spans="1:13">
      <c r="A55" s="28">
        <v>1275</v>
      </c>
      <c r="B55" t="s">
        <v>414</v>
      </c>
      <c r="C55">
        <v>22000</v>
      </c>
      <c r="D55">
        <v>200</v>
      </c>
      <c r="E55">
        <v>0.92</v>
      </c>
      <c r="F55" t="s">
        <v>397</v>
      </c>
      <c r="G55" t="s">
        <v>397</v>
      </c>
      <c r="H55" t="s">
        <v>397</v>
      </c>
      <c r="I55" t="s">
        <v>397</v>
      </c>
      <c r="J55" t="s">
        <v>397</v>
      </c>
      <c r="K55" t="s">
        <v>397</v>
      </c>
      <c r="L55">
        <v>1550</v>
      </c>
      <c r="M55">
        <v>7.05</v>
      </c>
    </row>
    <row r="56" spans="1:13">
      <c r="A56" s="28">
        <v>96775</v>
      </c>
      <c r="B56" t="s">
        <v>415</v>
      </c>
      <c r="C56">
        <v>83500</v>
      </c>
      <c r="D56">
        <v>-400</v>
      </c>
      <c r="E56">
        <v>-0.48</v>
      </c>
      <c r="F56" t="s">
        <v>397</v>
      </c>
      <c r="G56" t="s">
        <v>397</v>
      </c>
      <c r="H56" t="s">
        <v>397</v>
      </c>
      <c r="I56" t="s">
        <v>397</v>
      </c>
      <c r="J56" t="s">
        <v>397</v>
      </c>
      <c r="K56" t="s">
        <v>397</v>
      </c>
      <c r="L56">
        <v>5890</v>
      </c>
      <c r="M56">
        <v>7.05</v>
      </c>
    </row>
    <row r="57" spans="1:1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397</v>
      </c>
      <c r="I58" t="s">
        <v>397</v>
      </c>
      <c r="J58">
        <v>10618</v>
      </c>
      <c r="K58">
        <v>0.54</v>
      </c>
      <c r="L58">
        <v>400</v>
      </c>
      <c r="M58">
        <v>6.97</v>
      </c>
    </row>
    <row r="59" spans="1:1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397</v>
      </c>
      <c r="I60" t="s">
        <v>397</v>
      </c>
      <c r="J60">
        <v>16181</v>
      </c>
      <c r="K60">
        <v>0.31</v>
      </c>
      <c r="L60">
        <v>350</v>
      </c>
      <c r="M60">
        <v>6.93</v>
      </c>
    </row>
    <row r="61" spans="1:1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397</v>
      </c>
      <c r="I61" t="s">
        <v>397</v>
      </c>
      <c r="J61">
        <v>11376</v>
      </c>
      <c r="K61">
        <v>0.76</v>
      </c>
      <c r="L61">
        <v>600</v>
      </c>
      <c r="M61">
        <v>6.92</v>
      </c>
    </row>
    <row r="62" spans="1:1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397</v>
      </c>
      <c r="I63" t="s">
        <v>397</v>
      </c>
      <c r="J63">
        <v>192642</v>
      </c>
      <c r="K63">
        <v>0.23</v>
      </c>
      <c r="L63">
        <v>3000</v>
      </c>
      <c r="M63">
        <v>6.8</v>
      </c>
    </row>
    <row r="64" spans="1:1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397</v>
      </c>
      <c r="I65" t="s">
        <v>397</v>
      </c>
      <c r="J65">
        <v>26018</v>
      </c>
      <c r="K65">
        <v>0.37</v>
      </c>
      <c r="L65">
        <v>650</v>
      </c>
      <c r="M65">
        <v>6.69</v>
      </c>
    </row>
    <row r="66" spans="1:13">
      <c r="A66" s="28">
        <v>78935</v>
      </c>
      <c r="B66" t="s">
        <v>416</v>
      </c>
      <c r="C66">
        <v>39100</v>
      </c>
      <c r="D66">
        <v>50</v>
      </c>
      <c r="E66">
        <v>0.13</v>
      </c>
      <c r="F66" t="s">
        <v>397</v>
      </c>
      <c r="G66" t="s">
        <v>397</v>
      </c>
      <c r="H66" t="s">
        <v>397</v>
      </c>
      <c r="I66" t="s">
        <v>397</v>
      </c>
      <c r="J66" t="s">
        <v>397</v>
      </c>
      <c r="K66" t="s">
        <v>397</v>
      </c>
      <c r="L66">
        <v>2550</v>
      </c>
      <c r="M66">
        <v>6.52</v>
      </c>
    </row>
    <row r="67" spans="1:1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>
      <c r="A68" s="28">
        <v>75</v>
      </c>
      <c r="B68" t="s">
        <v>417</v>
      </c>
      <c r="C68">
        <v>54900</v>
      </c>
      <c r="D68">
        <v>-100</v>
      </c>
      <c r="E68">
        <v>-0.18</v>
      </c>
      <c r="F68" t="s">
        <v>397</v>
      </c>
      <c r="G68" t="s">
        <v>397</v>
      </c>
      <c r="H68" t="s">
        <v>397</v>
      </c>
      <c r="I68" t="s">
        <v>397</v>
      </c>
      <c r="J68" t="s">
        <v>397</v>
      </c>
      <c r="K68" t="s">
        <v>397</v>
      </c>
      <c r="L68">
        <v>3550</v>
      </c>
      <c r="M68">
        <v>6.47</v>
      </c>
    </row>
    <row r="69" spans="1:1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>
      <c r="A70" s="28">
        <v>9415</v>
      </c>
      <c r="B70" t="s">
        <v>418</v>
      </c>
      <c r="C70">
        <v>3565</v>
      </c>
      <c r="D70">
        <v>0</v>
      </c>
      <c r="E70">
        <v>0</v>
      </c>
      <c r="F70" t="s">
        <v>397</v>
      </c>
      <c r="G70" t="s">
        <v>397</v>
      </c>
      <c r="H70" t="s">
        <v>397</v>
      </c>
      <c r="I70" t="s">
        <v>397</v>
      </c>
      <c r="J70" t="s">
        <v>397</v>
      </c>
      <c r="K70" t="s">
        <v>397</v>
      </c>
      <c r="L70">
        <v>230</v>
      </c>
      <c r="M70">
        <v>6.45</v>
      </c>
    </row>
    <row r="71" spans="1:1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397</v>
      </c>
      <c r="I71" t="s">
        <v>397</v>
      </c>
      <c r="J71">
        <v>10892</v>
      </c>
      <c r="K71">
        <v>0.56999999999999995</v>
      </c>
      <c r="L71">
        <v>400</v>
      </c>
      <c r="M71">
        <v>6.4</v>
      </c>
    </row>
    <row r="72" spans="1:13">
      <c r="A72" s="28">
        <v>87</v>
      </c>
      <c r="B72" t="s">
        <v>419</v>
      </c>
      <c r="C72">
        <v>15710</v>
      </c>
      <c r="D72">
        <v>90</v>
      </c>
      <c r="E72">
        <v>0.57999999999999996</v>
      </c>
      <c r="F72" t="s">
        <v>397</v>
      </c>
      <c r="G72" t="s">
        <v>397</v>
      </c>
      <c r="H72" t="s">
        <v>397</v>
      </c>
      <c r="I72" t="s">
        <v>397</v>
      </c>
      <c r="J72" t="s">
        <v>397</v>
      </c>
      <c r="K72" t="s">
        <v>397</v>
      </c>
      <c r="L72">
        <v>1000</v>
      </c>
      <c r="M72">
        <v>6.37</v>
      </c>
    </row>
    <row r="73" spans="1:13">
      <c r="A73" s="28">
        <v>15360</v>
      </c>
      <c r="B73" t="s">
        <v>420</v>
      </c>
      <c r="C73">
        <v>39350</v>
      </c>
      <c r="D73">
        <v>1100</v>
      </c>
      <c r="E73">
        <v>2.88</v>
      </c>
      <c r="F73" t="s">
        <v>397</v>
      </c>
      <c r="G73" t="s">
        <v>397</v>
      </c>
      <c r="H73" t="s">
        <v>397</v>
      </c>
      <c r="I73" t="s">
        <v>397</v>
      </c>
      <c r="J73">
        <v>112673</v>
      </c>
      <c r="K73">
        <v>0.35</v>
      </c>
      <c r="L73">
        <v>2500</v>
      </c>
      <c r="M73">
        <v>6.35</v>
      </c>
    </row>
    <row r="74" spans="1:1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>
      <c r="A75" s="28">
        <v>30000</v>
      </c>
      <c r="B75" t="s">
        <v>421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397</v>
      </c>
      <c r="I76" t="s">
        <v>397</v>
      </c>
      <c r="J76">
        <v>34362</v>
      </c>
      <c r="K76">
        <v>0.23</v>
      </c>
      <c r="L76">
        <v>500</v>
      </c>
      <c r="M76">
        <v>6.32</v>
      </c>
    </row>
    <row r="77" spans="1:1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397</v>
      </c>
      <c r="I78" t="s">
        <v>397</v>
      </c>
      <c r="J78">
        <v>13155</v>
      </c>
      <c r="K78">
        <v>0.6</v>
      </c>
      <c r="L78">
        <v>500</v>
      </c>
      <c r="M78">
        <v>6.3</v>
      </c>
    </row>
    <row r="79" spans="1:1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>
      <c r="A81" s="28">
        <v>5945</v>
      </c>
      <c r="B81" t="s">
        <v>422</v>
      </c>
      <c r="C81">
        <v>11980</v>
      </c>
      <c r="D81">
        <v>30</v>
      </c>
      <c r="E81">
        <v>0.25</v>
      </c>
      <c r="F81" t="s">
        <v>397</v>
      </c>
      <c r="G81" t="s">
        <v>397</v>
      </c>
      <c r="H81" t="s">
        <v>397</v>
      </c>
      <c r="I81" t="s">
        <v>397</v>
      </c>
      <c r="J81" t="s">
        <v>397</v>
      </c>
      <c r="K81" t="s">
        <v>397</v>
      </c>
      <c r="L81">
        <v>750</v>
      </c>
      <c r="M81">
        <v>6.26</v>
      </c>
    </row>
    <row r="82" spans="1:13">
      <c r="A82" s="28">
        <v>34950</v>
      </c>
      <c r="B82" t="s">
        <v>423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397</v>
      </c>
      <c r="I82" t="s">
        <v>397</v>
      </c>
      <c r="J82">
        <v>25180</v>
      </c>
      <c r="K82">
        <v>3.24</v>
      </c>
      <c r="L82">
        <v>5100</v>
      </c>
      <c r="M82">
        <v>6.26</v>
      </c>
    </row>
    <row r="83" spans="1:1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>
      <c r="A84" s="28">
        <v>17670</v>
      </c>
      <c r="B84" t="s">
        <v>424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397</v>
      </c>
      <c r="I85" t="s">
        <v>397</v>
      </c>
      <c r="J85">
        <v>9479</v>
      </c>
      <c r="K85">
        <v>0.68</v>
      </c>
      <c r="L85">
        <v>400</v>
      </c>
      <c r="M85">
        <v>6.24</v>
      </c>
    </row>
    <row r="86" spans="1:13">
      <c r="A86" s="28">
        <v>2870</v>
      </c>
      <c r="B86" t="s">
        <v>425</v>
      </c>
      <c r="C86">
        <v>804</v>
      </c>
      <c r="D86">
        <v>-20</v>
      </c>
      <c r="E86">
        <v>-2.4300000000000002</v>
      </c>
      <c r="F86" t="s">
        <v>397</v>
      </c>
      <c r="G86" t="s">
        <v>397</v>
      </c>
      <c r="H86" t="s">
        <v>397</v>
      </c>
      <c r="I86" t="s">
        <v>397</v>
      </c>
      <c r="J86">
        <v>2895</v>
      </c>
      <c r="K86">
        <v>0.28000000000000003</v>
      </c>
      <c r="L86">
        <v>50</v>
      </c>
      <c r="M86">
        <v>6.22</v>
      </c>
    </row>
    <row r="87" spans="1:1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397</v>
      </c>
      <c r="I88" t="s">
        <v>397</v>
      </c>
      <c r="J88">
        <v>3414</v>
      </c>
      <c r="K88">
        <v>0.95</v>
      </c>
      <c r="L88">
        <v>200</v>
      </c>
      <c r="M88">
        <v>6.18</v>
      </c>
    </row>
    <row r="89" spans="1:1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397</v>
      </c>
      <c r="I89" t="s">
        <v>397</v>
      </c>
      <c r="J89">
        <v>15912</v>
      </c>
      <c r="K89">
        <v>0.41</v>
      </c>
      <c r="L89">
        <v>400</v>
      </c>
      <c r="M89">
        <v>6.18</v>
      </c>
    </row>
    <row r="90" spans="1:1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397</v>
      </c>
      <c r="I90" t="s">
        <v>397</v>
      </c>
      <c r="J90">
        <v>7447</v>
      </c>
      <c r="K90">
        <v>0.44</v>
      </c>
      <c r="L90">
        <v>200</v>
      </c>
      <c r="M90">
        <v>6.15</v>
      </c>
    </row>
    <row r="91" spans="1:1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397</v>
      </c>
      <c r="I91" t="s">
        <v>397</v>
      </c>
      <c r="J91">
        <v>46069</v>
      </c>
      <c r="K91">
        <v>0.28000000000000003</v>
      </c>
      <c r="L91">
        <v>800</v>
      </c>
      <c r="M91">
        <v>6.14</v>
      </c>
    </row>
    <row r="92" spans="1:1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397</v>
      </c>
      <c r="I92" t="s">
        <v>397</v>
      </c>
      <c r="J92">
        <v>6258</v>
      </c>
      <c r="K92">
        <v>0.52</v>
      </c>
      <c r="L92">
        <v>200</v>
      </c>
      <c r="M92">
        <v>6.12</v>
      </c>
    </row>
    <row r="93" spans="1:13">
      <c r="A93" s="28">
        <v>95570</v>
      </c>
      <c r="B93" t="s">
        <v>426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>
      <c r="A94" s="28">
        <v>94280</v>
      </c>
      <c r="B94" t="s">
        <v>427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397</v>
      </c>
      <c r="I94" t="s">
        <v>397</v>
      </c>
      <c r="J94">
        <v>5956</v>
      </c>
      <c r="K94">
        <v>2.0699999999999998</v>
      </c>
      <c r="L94">
        <v>750</v>
      </c>
      <c r="M94">
        <v>6.09</v>
      </c>
    </row>
    <row r="95" spans="1:13">
      <c r="A95" s="28">
        <v>120115</v>
      </c>
      <c r="B95" t="s">
        <v>428</v>
      </c>
      <c r="C95">
        <v>22200</v>
      </c>
      <c r="D95">
        <v>150</v>
      </c>
      <c r="E95">
        <v>0.68</v>
      </c>
      <c r="F95" t="s">
        <v>397</v>
      </c>
      <c r="G95" t="s">
        <v>397</v>
      </c>
      <c r="H95" t="s">
        <v>397</v>
      </c>
      <c r="I95" t="s">
        <v>397</v>
      </c>
      <c r="J95" t="s">
        <v>397</v>
      </c>
      <c r="K95" t="s">
        <v>397</v>
      </c>
      <c r="L95">
        <v>1350</v>
      </c>
      <c r="M95">
        <v>6.08</v>
      </c>
    </row>
    <row r="96" spans="1:1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397</v>
      </c>
      <c r="I96" t="s">
        <v>397</v>
      </c>
      <c r="J96">
        <v>5813</v>
      </c>
      <c r="K96">
        <v>0.54</v>
      </c>
      <c r="L96">
        <v>190</v>
      </c>
      <c r="M96">
        <v>6.08</v>
      </c>
    </row>
    <row r="97" spans="1:1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397</v>
      </c>
      <c r="I97" t="s">
        <v>397</v>
      </c>
      <c r="J97">
        <v>122776</v>
      </c>
      <c r="K97">
        <v>0.37</v>
      </c>
      <c r="L97">
        <v>2750</v>
      </c>
      <c r="M97">
        <v>6.02</v>
      </c>
    </row>
    <row r="98" spans="1:1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397</v>
      </c>
      <c r="I98" t="s">
        <v>397</v>
      </c>
      <c r="J98">
        <v>17890</v>
      </c>
      <c r="K98">
        <v>0.37</v>
      </c>
      <c r="L98">
        <v>400</v>
      </c>
      <c r="M98">
        <v>6.01</v>
      </c>
    </row>
    <row r="99" spans="1:1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397</v>
      </c>
      <c r="I99" t="s">
        <v>397</v>
      </c>
      <c r="J99">
        <v>25597</v>
      </c>
      <c r="K99">
        <v>0.19</v>
      </c>
      <c r="L99">
        <v>300</v>
      </c>
      <c r="M99">
        <v>6.01</v>
      </c>
    </row>
    <row r="100" spans="1:1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397</v>
      </c>
      <c r="I101" t="s">
        <v>397</v>
      </c>
      <c r="J101">
        <v>11515</v>
      </c>
      <c r="K101">
        <v>0.52</v>
      </c>
      <c r="L101">
        <v>360</v>
      </c>
      <c r="M101">
        <v>6</v>
      </c>
    </row>
    <row r="102" spans="1:13">
      <c r="A102" s="28">
        <v>18880</v>
      </c>
      <c r="B102" t="s">
        <v>429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397</v>
      </c>
      <c r="I103" t="s">
        <v>397</v>
      </c>
      <c r="J103">
        <v>12264</v>
      </c>
      <c r="K103">
        <v>0.41</v>
      </c>
      <c r="L103">
        <v>300</v>
      </c>
      <c r="M103">
        <v>5.99</v>
      </c>
    </row>
    <row r="104" spans="1:1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397</v>
      </c>
      <c r="I104" t="s">
        <v>397</v>
      </c>
      <c r="J104">
        <v>7269</v>
      </c>
      <c r="K104">
        <v>0.35</v>
      </c>
      <c r="L104">
        <v>150</v>
      </c>
      <c r="M104">
        <v>5.95</v>
      </c>
    </row>
    <row r="105" spans="1:1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397</v>
      </c>
      <c r="I106" t="s">
        <v>397</v>
      </c>
      <c r="J106">
        <v>3928</v>
      </c>
      <c r="K106">
        <v>0.22</v>
      </c>
      <c r="L106">
        <v>50</v>
      </c>
      <c r="M106">
        <v>5.92</v>
      </c>
    </row>
    <row r="107" spans="1:13">
      <c r="A107" s="28">
        <v>1755</v>
      </c>
      <c r="B107" t="s">
        <v>430</v>
      </c>
      <c r="C107">
        <v>14390</v>
      </c>
      <c r="D107">
        <v>-10</v>
      </c>
      <c r="E107">
        <v>-7.0000000000000007E-2</v>
      </c>
      <c r="F107" t="s">
        <v>397</v>
      </c>
      <c r="G107" t="s">
        <v>397</v>
      </c>
      <c r="H107" t="s">
        <v>397</v>
      </c>
      <c r="I107" t="s">
        <v>397</v>
      </c>
      <c r="J107" t="s">
        <v>397</v>
      </c>
      <c r="K107" t="s">
        <v>397</v>
      </c>
      <c r="L107">
        <v>850</v>
      </c>
      <c r="M107">
        <v>5.91</v>
      </c>
    </row>
    <row r="108" spans="1:13">
      <c r="A108" s="28">
        <v>1725</v>
      </c>
      <c r="B108" t="s">
        <v>431</v>
      </c>
      <c r="C108">
        <v>68600</v>
      </c>
      <c r="D108">
        <v>800</v>
      </c>
      <c r="E108">
        <v>1.18</v>
      </c>
      <c r="F108" t="s">
        <v>397</v>
      </c>
      <c r="G108" t="s">
        <v>397</v>
      </c>
      <c r="H108" t="s">
        <v>397</v>
      </c>
      <c r="I108" t="s">
        <v>397</v>
      </c>
      <c r="J108" t="s">
        <v>397</v>
      </c>
      <c r="K108" t="s">
        <v>397</v>
      </c>
      <c r="L108">
        <v>4050</v>
      </c>
      <c r="M108">
        <v>5.9</v>
      </c>
    </row>
    <row r="109" spans="1:13">
      <c r="A109" s="28">
        <v>127980</v>
      </c>
      <c r="B109" t="s">
        <v>432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397</v>
      </c>
      <c r="I109" t="s">
        <v>397</v>
      </c>
      <c r="J109">
        <v>3125</v>
      </c>
      <c r="K109">
        <v>2.7</v>
      </c>
      <c r="L109">
        <v>490</v>
      </c>
      <c r="M109">
        <v>5.81</v>
      </c>
    </row>
    <row r="110" spans="1:1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397</v>
      </c>
      <c r="I110" t="s">
        <v>397</v>
      </c>
      <c r="J110">
        <v>188226</v>
      </c>
      <c r="K110">
        <v>0.37</v>
      </c>
      <c r="L110">
        <v>4000</v>
      </c>
      <c r="M110">
        <v>5.81</v>
      </c>
    </row>
    <row r="111" spans="1:1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397</v>
      </c>
      <c r="I111" t="s">
        <v>397</v>
      </c>
      <c r="J111">
        <v>11288</v>
      </c>
      <c r="K111">
        <v>0.25</v>
      </c>
      <c r="L111">
        <v>160</v>
      </c>
      <c r="M111">
        <v>5.78</v>
      </c>
    </row>
    <row r="112" spans="1:1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397</v>
      </c>
      <c r="I112" t="s">
        <v>397</v>
      </c>
      <c r="J112">
        <v>23494</v>
      </c>
      <c r="K112">
        <v>0.66</v>
      </c>
      <c r="L112">
        <v>900</v>
      </c>
      <c r="M112">
        <v>5.77</v>
      </c>
    </row>
    <row r="113" spans="1:1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397</v>
      </c>
      <c r="I113" t="s">
        <v>397</v>
      </c>
      <c r="J113">
        <v>38617</v>
      </c>
      <c r="K113">
        <v>0.25</v>
      </c>
      <c r="L113">
        <v>550</v>
      </c>
      <c r="M113">
        <v>5.76</v>
      </c>
    </row>
    <row r="114" spans="1:13">
      <c r="A114" s="28" t="s">
        <v>433</v>
      </c>
      <c r="B114" t="s">
        <v>434</v>
      </c>
      <c r="C114">
        <v>18270</v>
      </c>
      <c r="D114">
        <v>-190</v>
      </c>
      <c r="E114">
        <v>-1.03</v>
      </c>
      <c r="F114" t="s">
        <v>397</v>
      </c>
      <c r="G114" t="s">
        <v>397</v>
      </c>
      <c r="H114" t="s">
        <v>397</v>
      </c>
      <c r="I114" t="s">
        <v>397</v>
      </c>
      <c r="J114" t="s">
        <v>397</v>
      </c>
      <c r="K114" t="s">
        <v>397</v>
      </c>
      <c r="L114">
        <v>1050</v>
      </c>
      <c r="M114">
        <v>5.75</v>
      </c>
    </row>
    <row r="115" spans="1:13">
      <c r="A115" s="28">
        <v>108320</v>
      </c>
      <c r="B115" t="s">
        <v>435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>
      <c r="A116" s="28">
        <v>815</v>
      </c>
      <c r="B116" t="s">
        <v>436</v>
      </c>
      <c r="C116">
        <v>240000</v>
      </c>
      <c r="D116">
        <v>-10000</v>
      </c>
      <c r="E116">
        <v>-4</v>
      </c>
      <c r="F116" t="s">
        <v>397</v>
      </c>
      <c r="G116" t="s">
        <v>397</v>
      </c>
      <c r="H116" t="s">
        <v>397</v>
      </c>
      <c r="I116" t="s">
        <v>397</v>
      </c>
      <c r="J116" t="s">
        <v>397</v>
      </c>
      <c r="K116" t="s">
        <v>397</v>
      </c>
      <c r="L116">
        <v>13805</v>
      </c>
      <c r="M116">
        <v>5.75</v>
      </c>
    </row>
    <row r="117" spans="1:1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397</v>
      </c>
      <c r="I117" t="s">
        <v>397</v>
      </c>
      <c r="J117">
        <v>35416</v>
      </c>
      <c r="K117">
        <v>0.25</v>
      </c>
      <c r="L117">
        <v>500</v>
      </c>
      <c r="M117">
        <v>5.72</v>
      </c>
    </row>
    <row r="118" spans="1:1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397</v>
      </c>
      <c r="I119" t="s">
        <v>397</v>
      </c>
      <c r="J119">
        <v>116987</v>
      </c>
      <c r="K119">
        <v>0.22</v>
      </c>
      <c r="L119">
        <v>1500</v>
      </c>
      <c r="M119">
        <v>5.7</v>
      </c>
    </row>
    <row r="120" spans="1:1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397</v>
      </c>
      <c r="I120" t="s">
        <v>397</v>
      </c>
      <c r="J120">
        <v>9788</v>
      </c>
      <c r="K120">
        <v>0.34</v>
      </c>
      <c r="L120">
        <v>190</v>
      </c>
      <c r="M120">
        <v>5.7</v>
      </c>
    </row>
    <row r="121" spans="1:13">
      <c r="A121" s="28">
        <v>3475</v>
      </c>
      <c r="B121" t="s">
        <v>437</v>
      </c>
      <c r="C121">
        <v>2815</v>
      </c>
      <c r="D121">
        <v>15</v>
      </c>
      <c r="E121">
        <v>0.54</v>
      </c>
      <c r="F121" t="s">
        <v>397</v>
      </c>
      <c r="G121" t="s">
        <v>397</v>
      </c>
      <c r="H121" t="s">
        <v>397</v>
      </c>
      <c r="I121" t="s">
        <v>397</v>
      </c>
      <c r="J121" t="s">
        <v>397</v>
      </c>
      <c r="K121" t="s">
        <v>397</v>
      </c>
      <c r="L121">
        <v>160</v>
      </c>
      <c r="M121">
        <v>5.68</v>
      </c>
    </row>
    <row r="122" spans="1:13">
      <c r="A122" s="28">
        <v>2230</v>
      </c>
      <c r="B122" t="s">
        <v>438</v>
      </c>
      <c r="C122">
        <v>3530</v>
      </c>
      <c r="D122">
        <v>5</v>
      </c>
      <c r="E122">
        <v>0.14000000000000001</v>
      </c>
      <c r="F122" t="s">
        <v>397</v>
      </c>
      <c r="G122" t="s">
        <v>397</v>
      </c>
      <c r="H122" t="s">
        <v>397</v>
      </c>
      <c r="I122" t="s">
        <v>397</v>
      </c>
      <c r="J122">
        <v>7706</v>
      </c>
      <c r="K122">
        <v>0.46</v>
      </c>
      <c r="L122">
        <v>200</v>
      </c>
      <c r="M122">
        <v>5.67</v>
      </c>
    </row>
    <row r="123" spans="1:13">
      <c r="A123" s="28">
        <v>60980</v>
      </c>
      <c r="B123" t="s">
        <v>439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397</v>
      </c>
      <c r="I124" t="s">
        <v>397</v>
      </c>
      <c r="J124">
        <v>5480</v>
      </c>
      <c r="K124">
        <v>0.36</v>
      </c>
      <c r="L124">
        <v>110</v>
      </c>
      <c r="M124">
        <v>5.62</v>
      </c>
    </row>
    <row r="125" spans="1:1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397</v>
      </c>
      <c r="I125" t="s">
        <v>397</v>
      </c>
      <c r="J125">
        <v>19820</v>
      </c>
      <c r="K125">
        <v>0.54</v>
      </c>
      <c r="L125">
        <v>600</v>
      </c>
      <c r="M125">
        <v>5.6</v>
      </c>
    </row>
    <row r="126" spans="1:1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397</v>
      </c>
      <c r="I126" t="s">
        <v>397</v>
      </c>
      <c r="J126">
        <v>26118</v>
      </c>
      <c r="K126">
        <v>0.34</v>
      </c>
      <c r="L126">
        <v>500</v>
      </c>
      <c r="M126">
        <v>5.56</v>
      </c>
    </row>
    <row r="127" spans="1:13">
      <c r="A127" s="28">
        <v>6125</v>
      </c>
      <c r="B127" t="s">
        <v>440</v>
      </c>
      <c r="C127">
        <v>31750</v>
      </c>
      <c r="D127">
        <v>-400</v>
      </c>
      <c r="E127">
        <v>-1.24</v>
      </c>
      <c r="F127" t="s">
        <v>397</v>
      </c>
      <c r="G127" t="s">
        <v>397</v>
      </c>
      <c r="H127" t="s">
        <v>397</v>
      </c>
      <c r="I127" t="s">
        <v>397</v>
      </c>
      <c r="J127" t="s">
        <v>397</v>
      </c>
      <c r="K127" t="s">
        <v>397</v>
      </c>
      <c r="L127">
        <v>1750</v>
      </c>
      <c r="M127">
        <v>5.51</v>
      </c>
    </row>
    <row r="128" spans="1:13">
      <c r="A128" s="28" t="s">
        <v>441</v>
      </c>
      <c r="B128" t="s">
        <v>442</v>
      </c>
      <c r="C128">
        <v>28300</v>
      </c>
      <c r="D128">
        <v>-200</v>
      </c>
      <c r="E128">
        <v>-0.7</v>
      </c>
      <c r="F128" t="s">
        <v>397</v>
      </c>
      <c r="G128" t="s">
        <v>397</v>
      </c>
      <c r="H128" t="s">
        <v>397</v>
      </c>
      <c r="I128" t="s">
        <v>397</v>
      </c>
      <c r="J128" t="s">
        <v>397</v>
      </c>
      <c r="K128" t="s">
        <v>397</v>
      </c>
      <c r="L128">
        <v>1550</v>
      </c>
      <c r="M128">
        <v>5.48</v>
      </c>
    </row>
    <row r="129" spans="1:13">
      <c r="A129" s="28" t="s">
        <v>443</v>
      </c>
      <c r="B129" t="s">
        <v>444</v>
      </c>
      <c r="C129">
        <v>7390</v>
      </c>
      <c r="D129">
        <v>-40</v>
      </c>
      <c r="E129">
        <v>-0.54</v>
      </c>
      <c r="F129" t="s">
        <v>397</v>
      </c>
      <c r="G129" t="s">
        <v>397</v>
      </c>
      <c r="H129" t="s">
        <v>397</v>
      </c>
      <c r="I129" t="s">
        <v>397</v>
      </c>
      <c r="J129" t="s">
        <v>397</v>
      </c>
      <c r="K129" t="s">
        <v>397</v>
      </c>
      <c r="L129">
        <v>405</v>
      </c>
      <c r="M129">
        <v>5.48</v>
      </c>
    </row>
    <row r="130" spans="1:1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397</v>
      </c>
      <c r="I130" t="s">
        <v>397</v>
      </c>
      <c r="J130">
        <v>11339</v>
      </c>
      <c r="K130">
        <v>0.72</v>
      </c>
      <c r="L130">
        <v>450</v>
      </c>
      <c r="M130">
        <v>5.48</v>
      </c>
    </row>
    <row r="131" spans="1:13">
      <c r="A131" s="28">
        <v>6060</v>
      </c>
      <c r="B131" t="s">
        <v>445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397</v>
      </c>
      <c r="I131" t="s">
        <v>397</v>
      </c>
      <c r="J131">
        <v>6884</v>
      </c>
      <c r="K131">
        <v>0.5</v>
      </c>
      <c r="L131">
        <v>188</v>
      </c>
      <c r="M131">
        <v>5.47</v>
      </c>
    </row>
    <row r="132" spans="1:13">
      <c r="A132" s="28">
        <v>381970</v>
      </c>
      <c r="B132" t="s">
        <v>446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397</v>
      </c>
      <c r="I133" t="s">
        <v>397</v>
      </c>
      <c r="J133">
        <v>2465</v>
      </c>
      <c r="K133">
        <v>0.82</v>
      </c>
      <c r="L133">
        <v>110</v>
      </c>
      <c r="M133">
        <v>5.43</v>
      </c>
    </row>
    <row r="134" spans="1:1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397</v>
      </c>
      <c r="I135" t="s">
        <v>397</v>
      </c>
      <c r="J135">
        <v>39009</v>
      </c>
      <c r="K135">
        <v>0.24</v>
      </c>
      <c r="L135">
        <v>500</v>
      </c>
      <c r="M135">
        <v>5.43</v>
      </c>
    </row>
    <row r="136" spans="1:1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397</v>
      </c>
      <c r="I136" t="s">
        <v>397</v>
      </c>
      <c r="J136">
        <v>10535</v>
      </c>
      <c r="K136">
        <v>0.44</v>
      </c>
      <c r="L136">
        <v>250</v>
      </c>
      <c r="M136">
        <v>5.41</v>
      </c>
    </row>
    <row r="137" spans="1:13">
      <c r="A137" s="28">
        <v>4650</v>
      </c>
      <c r="B137" t="s">
        <v>447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397</v>
      </c>
      <c r="I137" t="s">
        <v>397</v>
      </c>
      <c r="J137">
        <v>17391</v>
      </c>
      <c r="K137">
        <v>0.53</v>
      </c>
      <c r="L137">
        <v>500</v>
      </c>
      <c r="M137">
        <v>5.41</v>
      </c>
    </row>
    <row r="138" spans="1:13">
      <c r="A138" s="28">
        <v>33780</v>
      </c>
      <c r="B138" t="s">
        <v>448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>
      <c r="A139" s="28">
        <v>215000</v>
      </c>
      <c r="B139" t="s">
        <v>449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397</v>
      </c>
      <c r="I140" t="s">
        <v>397</v>
      </c>
      <c r="J140">
        <v>20202</v>
      </c>
      <c r="K140">
        <v>0.41</v>
      </c>
      <c r="L140">
        <v>450</v>
      </c>
      <c r="M140">
        <v>5.4</v>
      </c>
    </row>
    <row r="141" spans="1:1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>
      <c r="A142" s="28" t="s">
        <v>450</v>
      </c>
      <c r="B142" t="s">
        <v>451</v>
      </c>
      <c r="C142">
        <v>14940</v>
      </c>
      <c r="D142">
        <v>-100</v>
      </c>
      <c r="E142">
        <v>-0.66</v>
      </c>
      <c r="F142" t="s">
        <v>397</v>
      </c>
      <c r="G142" t="s">
        <v>397</v>
      </c>
      <c r="H142" t="s">
        <v>397</v>
      </c>
      <c r="I142" t="s">
        <v>397</v>
      </c>
      <c r="J142" t="s">
        <v>397</v>
      </c>
      <c r="K142" t="s">
        <v>397</v>
      </c>
      <c r="L142">
        <v>800</v>
      </c>
      <c r="M142">
        <v>5.35</v>
      </c>
    </row>
    <row r="143" spans="1:1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397</v>
      </c>
      <c r="I143" t="s">
        <v>397</v>
      </c>
      <c r="J143">
        <v>8185</v>
      </c>
      <c r="K143">
        <v>0.69</v>
      </c>
      <c r="L143">
        <v>300</v>
      </c>
      <c r="M143">
        <v>5.34</v>
      </c>
    </row>
    <row r="144" spans="1:1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397</v>
      </c>
      <c r="I144" t="s">
        <v>397</v>
      </c>
      <c r="J144">
        <v>18328</v>
      </c>
      <c r="K144">
        <v>0.52</v>
      </c>
      <c r="L144">
        <v>500</v>
      </c>
      <c r="M144">
        <v>5.29</v>
      </c>
    </row>
    <row r="145" spans="1:1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397</v>
      </c>
      <c r="I145" t="s">
        <v>397</v>
      </c>
      <c r="J145">
        <v>19540</v>
      </c>
      <c r="K145">
        <v>0.44</v>
      </c>
      <c r="L145">
        <v>455</v>
      </c>
      <c r="M145">
        <v>5.28</v>
      </c>
    </row>
    <row r="146" spans="1:13">
      <c r="A146" s="28">
        <v>92230</v>
      </c>
      <c r="B146" t="s">
        <v>452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397</v>
      </c>
      <c r="I146" t="s">
        <v>397</v>
      </c>
      <c r="J146">
        <v>210854</v>
      </c>
      <c r="K146">
        <v>0.27</v>
      </c>
      <c r="L146">
        <v>3000</v>
      </c>
      <c r="M146">
        <v>5.25</v>
      </c>
    </row>
    <row r="147" spans="1:1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397</v>
      </c>
      <c r="I148" t="s">
        <v>397</v>
      </c>
      <c r="J148">
        <v>3553</v>
      </c>
      <c r="K148">
        <v>0.81</v>
      </c>
      <c r="L148">
        <v>150</v>
      </c>
      <c r="M148">
        <v>5.24</v>
      </c>
    </row>
    <row r="149" spans="1:1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>
      <c r="A151" s="28">
        <v>3465</v>
      </c>
      <c r="B151" t="s">
        <v>453</v>
      </c>
      <c r="C151">
        <v>2295</v>
      </c>
      <c r="D151">
        <v>-5</v>
      </c>
      <c r="E151">
        <v>-0.22</v>
      </c>
      <c r="F151" t="s">
        <v>397</v>
      </c>
      <c r="G151" t="s">
        <v>397</v>
      </c>
      <c r="H151" t="s">
        <v>397</v>
      </c>
      <c r="I151" t="s">
        <v>397</v>
      </c>
      <c r="J151" t="s">
        <v>397</v>
      </c>
      <c r="K151" t="s">
        <v>397</v>
      </c>
      <c r="L151">
        <v>120</v>
      </c>
      <c r="M151">
        <v>5.23</v>
      </c>
    </row>
    <row r="152" spans="1:1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397</v>
      </c>
      <c r="I153" t="s">
        <v>397</v>
      </c>
      <c r="J153">
        <v>7778</v>
      </c>
      <c r="K153">
        <v>0.74</v>
      </c>
      <c r="L153">
        <v>300</v>
      </c>
      <c r="M153">
        <v>5.22</v>
      </c>
    </row>
    <row r="154" spans="1:1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397</v>
      </c>
      <c r="I154" t="s">
        <v>397</v>
      </c>
      <c r="J154">
        <v>10943</v>
      </c>
      <c r="K154">
        <v>0.53</v>
      </c>
      <c r="L154">
        <v>300</v>
      </c>
      <c r="M154">
        <v>5.22</v>
      </c>
    </row>
    <row r="155" spans="1:1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397</v>
      </c>
      <c r="I155" t="s">
        <v>397</v>
      </c>
      <c r="J155">
        <v>5808</v>
      </c>
      <c r="K155">
        <v>0.66</v>
      </c>
      <c r="L155">
        <v>200</v>
      </c>
      <c r="M155">
        <v>5.22</v>
      </c>
    </row>
    <row r="156" spans="1:13">
      <c r="A156" s="28" t="s">
        <v>454</v>
      </c>
      <c r="B156" t="s">
        <v>455</v>
      </c>
      <c r="C156">
        <v>3830</v>
      </c>
      <c r="D156">
        <v>-120</v>
      </c>
      <c r="E156">
        <v>-3.04</v>
      </c>
      <c r="F156" t="s">
        <v>397</v>
      </c>
      <c r="G156" t="s">
        <v>397</v>
      </c>
      <c r="H156" t="s">
        <v>397</v>
      </c>
      <c r="I156" t="s">
        <v>397</v>
      </c>
      <c r="J156" t="s">
        <v>397</v>
      </c>
      <c r="K156" t="s">
        <v>397</v>
      </c>
      <c r="L156">
        <v>200</v>
      </c>
      <c r="M156">
        <v>5.22</v>
      </c>
    </row>
    <row r="157" spans="1:1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397</v>
      </c>
      <c r="I157" t="s">
        <v>397</v>
      </c>
      <c r="J157">
        <v>3242</v>
      </c>
      <c r="K157">
        <v>0.3</v>
      </c>
      <c r="L157">
        <v>50</v>
      </c>
      <c r="M157">
        <v>5.19</v>
      </c>
    </row>
    <row r="158" spans="1:1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397</v>
      </c>
      <c r="I159" t="s">
        <v>397</v>
      </c>
      <c r="J159">
        <v>58224</v>
      </c>
      <c r="K159">
        <v>0.44</v>
      </c>
      <c r="L159">
        <v>1330</v>
      </c>
      <c r="M159">
        <v>5.16</v>
      </c>
    </row>
    <row r="160" spans="1:1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397</v>
      </c>
      <c r="I160" t="s">
        <v>397</v>
      </c>
      <c r="J160">
        <v>8867</v>
      </c>
      <c r="K160">
        <v>0.26</v>
      </c>
      <c r="L160">
        <v>120</v>
      </c>
      <c r="M160">
        <v>5.15</v>
      </c>
    </row>
    <row r="161" spans="1:1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397</v>
      </c>
      <c r="I164" t="s">
        <v>397</v>
      </c>
      <c r="J164">
        <v>5904</v>
      </c>
      <c r="K164">
        <v>0.84</v>
      </c>
      <c r="L164">
        <v>250</v>
      </c>
      <c r="M164">
        <v>5.0599999999999996</v>
      </c>
    </row>
    <row r="165" spans="1:1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>
      <c r="A166" s="28">
        <v>6805</v>
      </c>
      <c r="B166" t="s">
        <v>456</v>
      </c>
      <c r="C166">
        <v>4360</v>
      </c>
      <c r="D166">
        <v>-30</v>
      </c>
      <c r="E166">
        <v>-0.68</v>
      </c>
      <c r="F166" t="s">
        <v>397</v>
      </c>
      <c r="G166" t="s">
        <v>397</v>
      </c>
      <c r="H166" t="s">
        <v>397</v>
      </c>
      <c r="I166" t="s">
        <v>397</v>
      </c>
      <c r="J166" t="s">
        <v>397</v>
      </c>
      <c r="K166" t="s">
        <v>397</v>
      </c>
      <c r="L166">
        <v>220</v>
      </c>
      <c r="M166">
        <v>5.05</v>
      </c>
    </row>
    <row r="167" spans="1:1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397</v>
      </c>
      <c r="I167" t="s">
        <v>397</v>
      </c>
      <c r="J167">
        <v>6449</v>
      </c>
      <c r="K167">
        <v>0.62</v>
      </c>
      <c r="L167">
        <v>200</v>
      </c>
      <c r="M167">
        <v>5.01</v>
      </c>
    </row>
    <row r="168" spans="1:13">
      <c r="A168" s="28">
        <v>69260</v>
      </c>
      <c r="B168" t="s">
        <v>457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397</v>
      </c>
      <c r="I169" t="s">
        <v>397</v>
      </c>
      <c r="J169">
        <v>10077</v>
      </c>
      <c r="K169">
        <v>0.6</v>
      </c>
      <c r="L169">
        <v>300</v>
      </c>
      <c r="M169">
        <v>5</v>
      </c>
    </row>
    <row r="170" spans="1:13">
      <c r="A170" s="28">
        <v>26040</v>
      </c>
      <c r="B170" t="s">
        <v>458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397</v>
      </c>
      <c r="I170" t="s">
        <v>397</v>
      </c>
      <c r="J170">
        <v>3047</v>
      </c>
      <c r="K170">
        <v>0.66</v>
      </c>
      <c r="L170">
        <v>100</v>
      </c>
      <c r="M170">
        <v>4.9800000000000004</v>
      </c>
    </row>
    <row r="171" spans="1:1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397</v>
      </c>
      <c r="I171" t="s">
        <v>397</v>
      </c>
      <c r="J171">
        <v>51612</v>
      </c>
      <c r="K171">
        <v>0.27</v>
      </c>
      <c r="L171">
        <v>700</v>
      </c>
      <c r="M171">
        <v>4.95</v>
      </c>
    </row>
    <row r="172" spans="1:1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397</v>
      </c>
      <c r="I173" t="s">
        <v>397</v>
      </c>
      <c r="J173">
        <v>48520</v>
      </c>
      <c r="K173">
        <v>0.52</v>
      </c>
      <c r="L173">
        <v>1250</v>
      </c>
      <c r="M173">
        <v>4.92</v>
      </c>
    </row>
    <row r="174" spans="1:1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397</v>
      </c>
      <c r="I174" t="s">
        <v>397</v>
      </c>
      <c r="J174">
        <v>39046</v>
      </c>
      <c r="K174">
        <v>0.26</v>
      </c>
      <c r="L174">
        <v>500</v>
      </c>
      <c r="M174">
        <v>4.92</v>
      </c>
    </row>
    <row r="175" spans="1:1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397</v>
      </c>
      <c r="I175" t="s">
        <v>397</v>
      </c>
      <c r="J175">
        <v>240995</v>
      </c>
      <c r="K175">
        <v>0.3</v>
      </c>
      <c r="L175">
        <v>3500</v>
      </c>
      <c r="M175">
        <v>4.91</v>
      </c>
    </row>
    <row r="176" spans="1:1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397</v>
      </c>
      <c r="I176" t="s">
        <v>397</v>
      </c>
      <c r="J176">
        <v>19912</v>
      </c>
      <c r="K176">
        <v>0.41</v>
      </c>
      <c r="L176">
        <v>400</v>
      </c>
      <c r="M176">
        <v>4.9000000000000004</v>
      </c>
    </row>
    <row r="177" spans="1:13">
      <c r="A177" s="28">
        <v>71055</v>
      </c>
      <c r="B177" t="s">
        <v>459</v>
      </c>
      <c r="C177">
        <v>48400</v>
      </c>
      <c r="D177">
        <v>-1200</v>
      </c>
      <c r="E177">
        <v>-2.42</v>
      </c>
      <c r="F177" t="s">
        <v>397</v>
      </c>
      <c r="G177" t="s">
        <v>397</v>
      </c>
      <c r="H177" t="s">
        <v>397</v>
      </c>
      <c r="I177" t="s">
        <v>397</v>
      </c>
      <c r="J177" t="s">
        <v>397</v>
      </c>
      <c r="K177" t="s">
        <v>397</v>
      </c>
      <c r="L177">
        <v>2362</v>
      </c>
      <c r="M177">
        <v>4.88</v>
      </c>
    </row>
    <row r="178" spans="1:13">
      <c r="A178" s="28">
        <v>10770</v>
      </c>
      <c r="B178" t="s">
        <v>460</v>
      </c>
      <c r="C178">
        <v>3075</v>
      </c>
      <c r="D178">
        <v>0</v>
      </c>
      <c r="E178">
        <v>0</v>
      </c>
      <c r="F178" t="s">
        <v>397</v>
      </c>
      <c r="G178" t="s">
        <v>397</v>
      </c>
      <c r="H178" t="s">
        <v>397</v>
      </c>
      <c r="I178" t="s">
        <v>397</v>
      </c>
      <c r="J178">
        <v>7178</v>
      </c>
      <c r="K178">
        <v>0.43</v>
      </c>
      <c r="L178">
        <v>150</v>
      </c>
      <c r="M178">
        <v>4.88</v>
      </c>
    </row>
    <row r="179" spans="1:1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>
      <c r="A181" s="28">
        <v>5305</v>
      </c>
      <c r="B181" t="s">
        <v>461</v>
      </c>
      <c r="C181">
        <v>68100</v>
      </c>
      <c r="D181">
        <v>0</v>
      </c>
      <c r="E181">
        <v>0</v>
      </c>
      <c r="F181" t="s">
        <v>397</v>
      </c>
      <c r="G181" t="s">
        <v>397</v>
      </c>
      <c r="H181" t="s">
        <v>397</v>
      </c>
      <c r="I181" t="s">
        <v>397</v>
      </c>
      <c r="J181" t="s">
        <v>397</v>
      </c>
      <c r="K181" t="s">
        <v>397</v>
      </c>
      <c r="L181">
        <v>3305</v>
      </c>
      <c r="M181">
        <v>4.8499999999999996</v>
      </c>
    </row>
    <row r="182" spans="1:1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397</v>
      </c>
      <c r="I182" t="s">
        <v>397</v>
      </c>
      <c r="J182">
        <v>11050</v>
      </c>
      <c r="K182">
        <v>0.37</v>
      </c>
      <c r="L182">
        <v>200</v>
      </c>
      <c r="M182">
        <v>4.84</v>
      </c>
    </row>
    <row r="183" spans="1:13">
      <c r="A183" s="28">
        <v>3460</v>
      </c>
      <c r="B183" t="s">
        <v>462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397</v>
      </c>
      <c r="I183" t="s">
        <v>397</v>
      </c>
      <c r="J183">
        <v>10892</v>
      </c>
      <c r="K183">
        <v>0.21</v>
      </c>
      <c r="L183">
        <v>110</v>
      </c>
      <c r="M183">
        <v>4.82</v>
      </c>
    </row>
    <row r="184" spans="1:1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397</v>
      </c>
      <c r="I184" t="s">
        <v>397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>
      <c r="A185" s="28">
        <v>67570</v>
      </c>
      <c r="B185" t="s">
        <v>463</v>
      </c>
      <c r="C185">
        <v>2500</v>
      </c>
      <c r="D185">
        <v>-40</v>
      </c>
      <c r="E185">
        <v>-1.57</v>
      </c>
      <c r="F185" t="s">
        <v>397</v>
      </c>
      <c r="G185" t="s">
        <v>397</v>
      </c>
      <c r="H185" t="s">
        <v>397</v>
      </c>
      <c r="I185" t="s">
        <v>397</v>
      </c>
      <c r="J185">
        <v>4693</v>
      </c>
      <c r="K185">
        <v>0.53</v>
      </c>
      <c r="L185">
        <v>120</v>
      </c>
      <c r="M185">
        <v>4.8</v>
      </c>
    </row>
    <row r="186" spans="1:1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397</v>
      </c>
      <c r="I187" t="s">
        <v>397</v>
      </c>
      <c r="J187">
        <v>5614</v>
      </c>
      <c r="K187">
        <v>0.56999999999999995</v>
      </c>
      <c r="L187">
        <v>150</v>
      </c>
      <c r="M187">
        <v>4.72</v>
      </c>
    </row>
    <row r="188" spans="1:13">
      <c r="A188" s="28">
        <v>145995</v>
      </c>
      <c r="B188" t="s">
        <v>464</v>
      </c>
      <c r="C188">
        <v>27600</v>
      </c>
      <c r="D188">
        <v>200</v>
      </c>
      <c r="E188">
        <v>0.73</v>
      </c>
      <c r="F188" t="s">
        <v>397</v>
      </c>
      <c r="G188" t="s">
        <v>397</v>
      </c>
      <c r="H188" t="s">
        <v>397</v>
      </c>
      <c r="I188" t="s">
        <v>397</v>
      </c>
      <c r="J188" t="s">
        <v>397</v>
      </c>
      <c r="K188" t="s">
        <v>397</v>
      </c>
      <c r="L188">
        <v>1300</v>
      </c>
      <c r="M188">
        <v>4.71</v>
      </c>
    </row>
    <row r="189" spans="1:13">
      <c r="A189" s="28">
        <v>92440</v>
      </c>
      <c r="B189" t="s">
        <v>465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397</v>
      </c>
      <c r="I189" t="s">
        <v>397</v>
      </c>
      <c r="J189">
        <v>8601</v>
      </c>
      <c r="K189">
        <v>0.37</v>
      </c>
      <c r="L189">
        <v>150</v>
      </c>
      <c r="M189">
        <v>4.7</v>
      </c>
    </row>
    <row r="190" spans="1:13">
      <c r="A190" s="28">
        <v>41520</v>
      </c>
      <c r="B190" t="s">
        <v>466</v>
      </c>
      <c r="C190">
        <v>6400</v>
      </c>
      <c r="D190">
        <v>-10</v>
      </c>
      <c r="E190">
        <v>-0.16</v>
      </c>
      <c r="F190" t="s">
        <v>397</v>
      </c>
      <c r="G190" t="s">
        <v>397</v>
      </c>
      <c r="H190" t="s">
        <v>397</v>
      </c>
      <c r="I190" t="s">
        <v>397</v>
      </c>
      <c r="J190">
        <v>16304</v>
      </c>
      <c r="K190">
        <v>0.39</v>
      </c>
      <c r="L190">
        <v>300</v>
      </c>
      <c r="M190">
        <v>4.6900000000000004</v>
      </c>
    </row>
    <row r="191" spans="1:13">
      <c r="A191" s="28">
        <v>80</v>
      </c>
      <c r="B191" t="s">
        <v>467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>
      <c r="A192" s="28">
        <v>5389</v>
      </c>
      <c r="B192" t="s">
        <v>468</v>
      </c>
      <c r="C192">
        <v>151000</v>
      </c>
      <c r="D192">
        <v>-5700</v>
      </c>
      <c r="E192">
        <v>-3.64</v>
      </c>
      <c r="F192" t="s">
        <v>397</v>
      </c>
      <c r="G192" t="s">
        <v>397</v>
      </c>
      <c r="H192" t="s">
        <v>397</v>
      </c>
      <c r="I192" t="s">
        <v>397</v>
      </c>
      <c r="J192" t="s">
        <v>397</v>
      </c>
      <c r="K192" t="s">
        <v>397</v>
      </c>
      <c r="L192">
        <v>7050</v>
      </c>
      <c r="M192">
        <v>4.67</v>
      </c>
    </row>
    <row r="193" spans="1:13">
      <c r="A193" s="28">
        <v>95720</v>
      </c>
      <c r="B193" t="s">
        <v>469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397</v>
      </c>
      <c r="I194" t="s">
        <v>397</v>
      </c>
      <c r="J194">
        <v>6994</v>
      </c>
      <c r="K194">
        <v>0.41</v>
      </c>
      <c r="L194">
        <v>135</v>
      </c>
      <c r="M194">
        <v>4.66</v>
      </c>
    </row>
    <row r="195" spans="1:1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397</v>
      </c>
      <c r="I195" t="s">
        <v>397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>
      <c r="A196" s="28">
        <v>34300</v>
      </c>
      <c r="B196" t="s">
        <v>470</v>
      </c>
      <c r="C196">
        <v>10830</v>
      </c>
      <c r="D196">
        <v>-150</v>
      </c>
      <c r="E196">
        <v>-1.37</v>
      </c>
      <c r="F196" t="s">
        <v>397</v>
      </c>
      <c r="G196" t="s">
        <v>397</v>
      </c>
      <c r="H196" t="s">
        <v>397</v>
      </c>
      <c r="I196" t="s">
        <v>397</v>
      </c>
      <c r="J196">
        <v>70930</v>
      </c>
      <c r="K196">
        <v>0.15</v>
      </c>
      <c r="L196">
        <v>500</v>
      </c>
      <c r="M196">
        <v>4.62</v>
      </c>
    </row>
    <row r="197" spans="1:13">
      <c r="A197" s="28">
        <v>145</v>
      </c>
      <c r="B197" t="s">
        <v>471</v>
      </c>
      <c r="C197">
        <v>12000</v>
      </c>
      <c r="D197">
        <v>0</v>
      </c>
      <c r="E197">
        <v>0</v>
      </c>
      <c r="F197" t="s">
        <v>397</v>
      </c>
      <c r="G197" t="s">
        <v>397</v>
      </c>
      <c r="H197" t="s">
        <v>397</v>
      </c>
      <c r="I197" t="s">
        <v>397</v>
      </c>
      <c r="J197" t="s">
        <v>397</v>
      </c>
      <c r="K197" t="s">
        <v>397</v>
      </c>
      <c r="L197">
        <v>550</v>
      </c>
      <c r="M197">
        <v>4.58</v>
      </c>
    </row>
    <row r="198" spans="1:13">
      <c r="A198" s="28">
        <v>3555</v>
      </c>
      <c r="B198" t="s">
        <v>472</v>
      </c>
      <c r="C198">
        <v>66700</v>
      </c>
      <c r="D198">
        <v>-700</v>
      </c>
      <c r="E198">
        <v>-1.04</v>
      </c>
      <c r="F198" t="s">
        <v>397</v>
      </c>
      <c r="G198" t="s">
        <v>397</v>
      </c>
      <c r="H198" t="s">
        <v>397</v>
      </c>
      <c r="I198" t="s">
        <v>397</v>
      </c>
      <c r="J198" t="s">
        <v>397</v>
      </c>
      <c r="K198" t="s">
        <v>397</v>
      </c>
      <c r="L198">
        <v>3050</v>
      </c>
      <c r="M198">
        <v>4.57</v>
      </c>
    </row>
    <row r="199" spans="1:1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397</v>
      </c>
      <c r="I199" t="s">
        <v>397</v>
      </c>
      <c r="J199">
        <v>25341</v>
      </c>
      <c r="K199">
        <v>0.43</v>
      </c>
      <c r="L199">
        <v>500</v>
      </c>
      <c r="M199">
        <v>4.57</v>
      </c>
    </row>
    <row r="200" spans="1:13">
      <c r="A200" s="28">
        <v>2995</v>
      </c>
      <c r="B200" t="s">
        <v>473</v>
      </c>
      <c r="C200">
        <v>12080</v>
      </c>
      <c r="D200">
        <v>-220</v>
      </c>
      <c r="E200">
        <v>-1.79</v>
      </c>
      <c r="F200" t="s">
        <v>397</v>
      </c>
      <c r="G200" t="s">
        <v>397</v>
      </c>
      <c r="H200" t="s">
        <v>397</v>
      </c>
      <c r="I200" t="s">
        <v>397</v>
      </c>
      <c r="J200" t="s">
        <v>397</v>
      </c>
      <c r="K200" t="s">
        <v>397</v>
      </c>
      <c r="L200">
        <v>550</v>
      </c>
      <c r="M200">
        <v>4.55</v>
      </c>
    </row>
    <row r="201" spans="1:1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397</v>
      </c>
      <c r="G201" t="s">
        <v>397</v>
      </c>
      <c r="H201" t="s">
        <v>397</v>
      </c>
      <c r="I201" t="s">
        <v>397</v>
      </c>
      <c r="J201">
        <v>18143</v>
      </c>
      <c r="K201">
        <v>0.28000000000000003</v>
      </c>
      <c r="L201">
        <v>230</v>
      </c>
      <c r="M201">
        <v>4.54</v>
      </c>
    </row>
    <row r="202" spans="1:13">
      <c r="A202" s="28">
        <v>5830</v>
      </c>
      <c r="B202" t="s">
        <v>474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397</v>
      </c>
      <c r="I203" t="s">
        <v>397</v>
      </c>
      <c r="J203">
        <v>67007</v>
      </c>
      <c r="K203">
        <v>0.28999999999999998</v>
      </c>
      <c r="L203">
        <v>875</v>
      </c>
      <c r="M203">
        <v>4.51</v>
      </c>
    </row>
    <row r="204" spans="1:13">
      <c r="A204" s="28">
        <v>5387</v>
      </c>
      <c r="B204" t="s">
        <v>475</v>
      </c>
      <c r="C204">
        <v>157700</v>
      </c>
      <c r="D204">
        <v>-8300</v>
      </c>
      <c r="E204">
        <v>-5</v>
      </c>
      <c r="F204" t="s">
        <v>397</v>
      </c>
      <c r="G204" t="s">
        <v>397</v>
      </c>
      <c r="H204" t="s">
        <v>397</v>
      </c>
      <c r="I204" t="s">
        <v>397</v>
      </c>
      <c r="J204" t="s">
        <v>397</v>
      </c>
      <c r="K204" t="s">
        <v>397</v>
      </c>
      <c r="L204">
        <v>7100</v>
      </c>
      <c r="M204">
        <v>4.5</v>
      </c>
    </row>
    <row r="205" spans="1:13">
      <c r="A205" s="28">
        <v>23530</v>
      </c>
      <c r="B205" t="s">
        <v>476</v>
      </c>
      <c r="C205">
        <v>73600</v>
      </c>
      <c r="D205">
        <v>1100</v>
      </c>
      <c r="E205">
        <v>1.52</v>
      </c>
      <c r="F205" t="s">
        <v>397</v>
      </c>
      <c r="G205" t="s">
        <v>397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>
      <c r="A206" s="28">
        <v>2025</v>
      </c>
      <c r="B206" t="s">
        <v>477</v>
      </c>
      <c r="C206">
        <v>13390</v>
      </c>
      <c r="D206">
        <v>100</v>
      </c>
      <c r="E206">
        <v>0.75</v>
      </c>
      <c r="F206" t="s">
        <v>397</v>
      </c>
      <c r="G206" t="s">
        <v>397</v>
      </c>
      <c r="H206" t="s">
        <v>397</v>
      </c>
      <c r="I206" t="s">
        <v>397</v>
      </c>
      <c r="J206" t="s">
        <v>397</v>
      </c>
      <c r="K206" t="s">
        <v>397</v>
      </c>
      <c r="L206">
        <v>600</v>
      </c>
      <c r="M206">
        <v>4.4800000000000004</v>
      </c>
    </row>
    <row r="207" spans="1:1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397</v>
      </c>
      <c r="I207" t="s">
        <v>397</v>
      </c>
      <c r="J207">
        <v>184874</v>
      </c>
      <c r="K207">
        <v>0.12</v>
      </c>
      <c r="L207">
        <v>1000</v>
      </c>
      <c r="M207">
        <v>4.4800000000000004</v>
      </c>
    </row>
    <row r="208" spans="1:13">
      <c r="A208" s="28">
        <v>810</v>
      </c>
      <c r="B208" t="s">
        <v>478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>
      <c r="A209" s="28">
        <v>5385</v>
      </c>
      <c r="B209" t="s">
        <v>479</v>
      </c>
      <c r="C209">
        <v>158000</v>
      </c>
      <c r="D209">
        <v>-6300</v>
      </c>
      <c r="E209">
        <v>-3.83</v>
      </c>
      <c r="F209" t="s">
        <v>397</v>
      </c>
      <c r="G209" t="s">
        <v>397</v>
      </c>
      <c r="H209" t="s">
        <v>397</v>
      </c>
      <c r="I209" t="s">
        <v>397</v>
      </c>
      <c r="J209" t="s">
        <v>397</v>
      </c>
      <c r="K209" t="s">
        <v>397</v>
      </c>
      <c r="L209">
        <v>7050</v>
      </c>
      <c r="M209">
        <v>4.46</v>
      </c>
    </row>
    <row r="210" spans="1:1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397</v>
      </c>
      <c r="I210" t="s">
        <v>397</v>
      </c>
      <c r="J210">
        <v>1461</v>
      </c>
      <c r="K210">
        <v>0.43</v>
      </c>
      <c r="L210">
        <v>28</v>
      </c>
      <c r="M210">
        <v>4.4400000000000004</v>
      </c>
    </row>
    <row r="211" spans="1:1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>
      <c r="A213" s="28">
        <v>44340</v>
      </c>
      <c r="B213" t="s">
        <v>480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397</v>
      </c>
      <c r="I213" t="s">
        <v>397</v>
      </c>
      <c r="J213">
        <v>12784</v>
      </c>
      <c r="K213">
        <v>0.71</v>
      </c>
      <c r="L213">
        <v>400</v>
      </c>
      <c r="M213">
        <v>4.42</v>
      </c>
    </row>
    <row r="214" spans="1:1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397</v>
      </c>
      <c r="I214" t="s">
        <v>397</v>
      </c>
      <c r="J214">
        <v>63050</v>
      </c>
      <c r="K214">
        <v>0.11</v>
      </c>
      <c r="L214">
        <v>300</v>
      </c>
      <c r="M214">
        <v>4.41</v>
      </c>
    </row>
    <row r="215" spans="1:1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397</v>
      </c>
      <c r="I215" t="s">
        <v>397</v>
      </c>
      <c r="J215">
        <v>31140</v>
      </c>
      <c r="K215">
        <v>0.57999999999999996</v>
      </c>
      <c r="L215">
        <v>800</v>
      </c>
      <c r="M215">
        <v>4.41</v>
      </c>
    </row>
    <row r="216" spans="1:1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397</v>
      </c>
      <c r="I216" t="s">
        <v>397</v>
      </c>
      <c r="J216">
        <v>7735</v>
      </c>
      <c r="K216">
        <v>0.59</v>
      </c>
      <c r="L216">
        <v>200</v>
      </c>
      <c r="M216">
        <v>4.41</v>
      </c>
    </row>
    <row r="217" spans="1:1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397</v>
      </c>
      <c r="I217" t="s">
        <v>397</v>
      </c>
      <c r="J217">
        <v>1498</v>
      </c>
      <c r="K217">
        <v>0.91</v>
      </c>
      <c r="L217">
        <v>60</v>
      </c>
      <c r="M217">
        <v>4.41</v>
      </c>
    </row>
    <row r="218" spans="1:13">
      <c r="A218" s="28">
        <v>1795</v>
      </c>
      <c r="B218" t="s">
        <v>481</v>
      </c>
      <c r="C218">
        <v>2840</v>
      </c>
      <c r="D218">
        <v>15</v>
      </c>
      <c r="E218">
        <v>0.53</v>
      </c>
      <c r="F218" t="s">
        <v>397</v>
      </c>
      <c r="G218" t="s">
        <v>397</v>
      </c>
      <c r="H218" t="s">
        <v>397</v>
      </c>
      <c r="I218" t="s">
        <v>397</v>
      </c>
      <c r="J218" t="s">
        <v>397</v>
      </c>
      <c r="K218" t="s">
        <v>397</v>
      </c>
      <c r="L218">
        <v>125</v>
      </c>
      <c r="M218">
        <v>4.4000000000000004</v>
      </c>
    </row>
    <row r="219" spans="1:13">
      <c r="A219" s="28">
        <v>298050</v>
      </c>
      <c r="B219" t="s">
        <v>482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397</v>
      </c>
      <c r="I220" t="s">
        <v>397</v>
      </c>
      <c r="J220">
        <v>26238</v>
      </c>
      <c r="K220">
        <v>0.52</v>
      </c>
      <c r="L220">
        <v>600</v>
      </c>
      <c r="M220">
        <v>4.37</v>
      </c>
    </row>
    <row r="221" spans="1:13">
      <c r="A221" s="28" t="s">
        <v>483</v>
      </c>
      <c r="B221" t="s">
        <v>484</v>
      </c>
      <c r="C221">
        <v>35800</v>
      </c>
      <c r="D221">
        <v>-150</v>
      </c>
      <c r="E221">
        <v>-0.42</v>
      </c>
      <c r="F221" t="s">
        <v>397</v>
      </c>
      <c r="G221" t="s">
        <v>397</v>
      </c>
      <c r="H221" t="s">
        <v>397</v>
      </c>
      <c r="I221" t="s">
        <v>397</v>
      </c>
      <c r="J221" t="s">
        <v>397</v>
      </c>
      <c r="K221" t="s">
        <v>397</v>
      </c>
      <c r="L221">
        <v>1550</v>
      </c>
      <c r="M221">
        <v>4.33</v>
      </c>
    </row>
    <row r="222" spans="1:1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397</v>
      </c>
      <c r="I222" t="s">
        <v>397</v>
      </c>
      <c r="J222">
        <v>38479</v>
      </c>
      <c r="K222">
        <v>0.3</v>
      </c>
      <c r="L222">
        <v>500</v>
      </c>
      <c r="M222">
        <v>4.33</v>
      </c>
    </row>
    <row r="223" spans="1:1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397</v>
      </c>
      <c r="I223" t="s">
        <v>397</v>
      </c>
      <c r="J223">
        <v>67355</v>
      </c>
      <c r="K223">
        <v>0.45</v>
      </c>
      <c r="L223">
        <v>1300</v>
      </c>
      <c r="M223">
        <v>4.32</v>
      </c>
    </row>
    <row r="224" spans="1:1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397</v>
      </c>
      <c r="I224" t="s">
        <v>397</v>
      </c>
      <c r="J224">
        <v>18061</v>
      </c>
      <c r="K224">
        <v>0.51</v>
      </c>
      <c r="L224">
        <v>400</v>
      </c>
      <c r="M224">
        <v>4.32</v>
      </c>
    </row>
    <row r="225" spans="1:1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397</v>
      </c>
      <c r="I226" t="s">
        <v>397</v>
      </c>
      <c r="J226">
        <v>12896</v>
      </c>
      <c r="K226">
        <v>0.31</v>
      </c>
      <c r="L226">
        <v>170</v>
      </c>
      <c r="M226">
        <v>4.3099999999999996</v>
      </c>
    </row>
    <row r="227" spans="1:1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397</v>
      </c>
      <c r="I227" t="s">
        <v>397</v>
      </c>
      <c r="J227">
        <v>11419</v>
      </c>
      <c r="K227">
        <v>0.24</v>
      </c>
      <c r="L227">
        <v>120</v>
      </c>
      <c r="M227">
        <v>4.3</v>
      </c>
    </row>
    <row r="228" spans="1:1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397</v>
      </c>
      <c r="I228" t="s">
        <v>397</v>
      </c>
      <c r="J228">
        <v>11011</v>
      </c>
      <c r="K228">
        <v>0.37</v>
      </c>
      <c r="L228">
        <v>175</v>
      </c>
      <c r="M228">
        <v>4.29</v>
      </c>
    </row>
    <row r="229" spans="1:13">
      <c r="A229" s="28">
        <v>1685</v>
      </c>
      <c r="B229" t="s">
        <v>485</v>
      </c>
      <c r="C229">
        <v>18880</v>
      </c>
      <c r="D229">
        <v>-370</v>
      </c>
      <c r="E229">
        <v>-1.92</v>
      </c>
      <c r="F229" t="s">
        <v>397</v>
      </c>
      <c r="G229" t="s">
        <v>397</v>
      </c>
      <c r="H229" t="s">
        <v>397</v>
      </c>
      <c r="I229" t="s">
        <v>397</v>
      </c>
      <c r="J229" t="s">
        <v>397</v>
      </c>
      <c r="K229" t="s">
        <v>397</v>
      </c>
      <c r="L229">
        <v>810</v>
      </c>
      <c r="M229">
        <v>4.29</v>
      </c>
    </row>
    <row r="230" spans="1:1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>
      <c r="A231" s="28" t="s">
        <v>486</v>
      </c>
      <c r="B231" t="s">
        <v>487</v>
      </c>
      <c r="C231">
        <v>9480</v>
      </c>
      <c r="D231">
        <v>30</v>
      </c>
      <c r="E231">
        <v>0.32</v>
      </c>
      <c r="F231" t="s">
        <v>397</v>
      </c>
      <c r="G231" t="s">
        <v>397</v>
      </c>
      <c r="H231" t="s">
        <v>397</v>
      </c>
      <c r="I231" t="s">
        <v>397</v>
      </c>
      <c r="J231" t="s">
        <v>397</v>
      </c>
      <c r="K231" t="s">
        <v>397</v>
      </c>
      <c r="L231">
        <v>405</v>
      </c>
      <c r="M231">
        <v>4.2699999999999996</v>
      </c>
    </row>
    <row r="232" spans="1:1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397</v>
      </c>
      <c r="I232" t="s">
        <v>397</v>
      </c>
      <c r="J232">
        <v>17995</v>
      </c>
      <c r="K232">
        <v>0.46</v>
      </c>
      <c r="L232">
        <v>350</v>
      </c>
      <c r="M232">
        <v>4.2699999999999996</v>
      </c>
    </row>
    <row r="233" spans="1:13">
      <c r="A233" s="28">
        <v>215</v>
      </c>
      <c r="B233" t="s">
        <v>488</v>
      </c>
      <c r="C233">
        <v>24650</v>
      </c>
      <c r="D233">
        <v>-950</v>
      </c>
      <c r="E233">
        <v>-3.71</v>
      </c>
      <c r="F233" t="s">
        <v>397</v>
      </c>
      <c r="G233" t="s">
        <v>397</v>
      </c>
      <c r="H233" t="s">
        <v>397</v>
      </c>
      <c r="I233" t="s">
        <v>397</v>
      </c>
      <c r="J233" t="s">
        <v>397</v>
      </c>
      <c r="K233" t="s">
        <v>397</v>
      </c>
      <c r="L233">
        <v>1050</v>
      </c>
      <c r="M233">
        <v>4.26</v>
      </c>
    </row>
    <row r="234" spans="1:1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>
      <c r="A235" s="28">
        <v>1045</v>
      </c>
      <c r="B235" t="s">
        <v>489</v>
      </c>
      <c r="C235">
        <v>59800</v>
      </c>
      <c r="D235">
        <v>2300</v>
      </c>
      <c r="E235">
        <v>4</v>
      </c>
      <c r="F235" t="s">
        <v>397</v>
      </c>
      <c r="G235" t="s">
        <v>397</v>
      </c>
      <c r="H235" t="s">
        <v>397</v>
      </c>
      <c r="I235" t="s">
        <v>397</v>
      </c>
      <c r="J235" t="s">
        <v>397</v>
      </c>
      <c r="K235" t="s">
        <v>397</v>
      </c>
      <c r="L235">
        <v>2550</v>
      </c>
      <c r="M235">
        <v>4.26</v>
      </c>
    </row>
    <row r="236" spans="1:1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397</v>
      </c>
      <c r="I236" t="s">
        <v>397</v>
      </c>
      <c r="J236">
        <v>3837</v>
      </c>
      <c r="K236">
        <v>0.8</v>
      </c>
      <c r="L236">
        <v>130</v>
      </c>
      <c r="M236">
        <v>4.24</v>
      </c>
    </row>
    <row r="237" spans="1:13">
      <c r="A237" s="28">
        <v>12750</v>
      </c>
      <c r="B237" t="s">
        <v>490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397</v>
      </c>
      <c r="I238" t="s">
        <v>397</v>
      </c>
      <c r="J238">
        <v>14510</v>
      </c>
      <c r="K238">
        <v>0.49</v>
      </c>
      <c r="L238">
        <v>300</v>
      </c>
      <c r="M238">
        <v>4.2300000000000004</v>
      </c>
    </row>
    <row r="239" spans="1:1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>
      <c r="A241" s="28">
        <v>26960</v>
      </c>
      <c r="B241" t="s">
        <v>491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397</v>
      </c>
      <c r="I241" t="s">
        <v>397</v>
      </c>
      <c r="J241">
        <v>15510</v>
      </c>
      <c r="K241">
        <v>1.1299999999999999</v>
      </c>
      <c r="L241">
        <v>730</v>
      </c>
      <c r="M241">
        <v>4.17</v>
      </c>
    </row>
    <row r="242" spans="1:13">
      <c r="A242" s="28">
        <v>272550</v>
      </c>
      <c r="B242" t="s">
        <v>492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397</v>
      </c>
      <c r="I242" t="s">
        <v>397</v>
      </c>
      <c r="J242">
        <v>22869</v>
      </c>
      <c r="K242">
        <v>0.79</v>
      </c>
      <c r="L242">
        <v>750</v>
      </c>
      <c r="M242">
        <v>4.17</v>
      </c>
    </row>
    <row r="243" spans="1:13">
      <c r="A243" s="28">
        <v>75130</v>
      </c>
      <c r="B243" t="s">
        <v>493</v>
      </c>
      <c r="C243">
        <v>2400</v>
      </c>
      <c r="D243">
        <v>-60</v>
      </c>
      <c r="E243">
        <v>-2.44</v>
      </c>
      <c r="F243" t="s">
        <v>397</v>
      </c>
      <c r="G243" t="s">
        <v>397</v>
      </c>
      <c r="H243" t="s">
        <v>397</v>
      </c>
      <c r="I243" t="s">
        <v>397</v>
      </c>
      <c r="J243">
        <v>4387</v>
      </c>
      <c r="K243">
        <v>0.55000000000000004</v>
      </c>
      <c r="L243">
        <v>100</v>
      </c>
      <c r="M243">
        <v>4.17</v>
      </c>
    </row>
    <row r="244" spans="1:1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397</v>
      </c>
      <c r="I244" t="s">
        <v>397</v>
      </c>
      <c r="J244">
        <v>21811</v>
      </c>
      <c r="K244">
        <v>0.33</v>
      </c>
      <c r="L244">
        <v>300</v>
      </c>
      <c r="M244">
        <v>4.16</v>
      </c>
    </row>
    <row r="245" spans="1:1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397</v>
      </c>
      <c r="I245" t="s">
        <v>397</v>
      </c>
      <c r="J245">
        <v>15929</v>
      </c>
      <c r="K245">
        <v>0.25</v>
      </c>
      <c r="L245">
        <v>163</v>
      </c>
      <c r="M245">
        <v>4.16</v>
      </c>
    </row>
    <row r="246" spans="1:1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397</v>
      </c>
      <c r="I247" t="s">
        <v>397</v>
      </c>
      <c r="J247">
        <v>27495</v>
      </c>
      <c r="K247">
        <v>0.44</v>
      </c>
      <c r="L247">
        <v>500</v>
      </c>
      <c r="M247">
        <v>4.16</v>
      </c>
    </row>
    <row r="248" spans="1:13">
      <c r="A248" s="28">
        <v>97955</v>
      </c>
      <c r="B248" t="s">
        <v>494</v>
      </c>
      <c r="C248">
        <v>133900</v>
      </c>
      <c r="D248">
        <v>-2300</v>
      </c>
      <c r="E248">
        <v>-1.69</v>
      </c>
      <c r="F248" t="s">
        <v>397</v>
      </c>
      <c r="G248" t="s">
        <v>397</v>
      </c>
      <c r="H248" t="s">
        <v>397</v>
      </c>
      <c r="I248" t="s">
        <v>397</v>
      </c>
      <c r="J248" t="s">
        <v>397</v>
      </c>
      <c r="K248" t="s">
        <v>397</v>
      </c>
      <c r="L248">
        <v>5550</v>
      </c>
      <c r="M248">
        <v>4.1399999999999997</v>
      </c>
    </row>
    <row r="249" spans="1:1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397</v>
      </c>
      <c r="I250" t="s">
        <v>397</v>
      </c>
      <c r="J250">
        <v>42418</v>
      </c>
      <c r="K250">
        <v>0.09</v>
      </c>
      <c r="L250">
        <v>150</v>
      </c>
      <c r="M250">
        <v>4.1399999999999997</v>
      </c>
    </row>
    <row r="251" spans="1:13">
      <c r="A251" s="28" t="s">
        <v>495</v>
      </c>
      <c r="B251" t="s">
        <v>496</v>
      </c>
      <c r="C251">
        <v>24200</v>
      </c>
      <c r="D251">
        <v>-300</v>
      </c>
      <c r="E251">
        <v>-1.22</v>
      </c>
      <c r="F251" t="s">
        <v>397</v>
      </c>
      <c r="G251" t="s">
        <v>397</v>
      </c>
      <c r="H251" t="s">
        <v>397</v>
      </c>
      <c r="I251" t="s">
        <v>397</v>
      </c>
      <c r="J251" t="s">
        <v>397</v>
      </c>
      <c r="K251" t="s">
        <v>397</v>
      </c>
      <c r="L251">
        <v>1000</v>
      </c>
      <c r="M251">
        <v>4.13</v>
      </c>
    </row>
    <row r="252" spans="1:1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397</v>
      </c>
      <c r="I252" t="s">
        <v>397</v>
      </c>
      <c r="J252">
        <v>10822</v>
      </c>
      <c r="K252">
        <v>0.45</v>
      </c>
      <c r="L252">
        <v>200</v>
      </c>
      <c r="M252">
        <v>4.12</v>
      </c>
    </row>
    <row r="253" spans="1:13">
      <c r="A253" s="28">
        <v>1520</v>
      </c>
      <c r="B253" t="s">
        <v>497</v>
      </c>
      <c r="C253">
        <v>975</v>
      </c>
      <c r="D253">
        <v>1</v>
      </c>
      <c r="E253">
        <v>0.1</v>
      </c>
      <c r="F253" t="s">
        <v>397</v>
      </c>
      <c r="G253" t="s">
        <v>397</v>
      </c>
      <c r="H253" t="s">
        <v>397</v>
      </c>
      <c r="I253" t="s">
        <v>397</v>
      </c>
      <c r="J253">
        <v>4062</v>
      </c>
      <c r="K253">
        <v>0.24</v>
      </c>
      <c r="L253">
        <v>40</v>
      </c>
      <c r="M253">
        <v>4.0999999999999996</v>
      </c>
    </row>
    <row r="254" spans="1:1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397</v>
      </c>
      <c r="I255" t="s">
        <v>397</v>
      </c>
      <c r="J255">
        <v>3740</v>
      </c>
      <c r="K255">
        <v>0.98</v>
      </c>
      <c r="L255">
        <v>150</v>
      </c>
      <c r="M255">
        <v>4.09</v>
      </c>
    </row>
    <row r="256" spans="1:13">
      <c r="A256" s="28">
        <v>169330</v>
      </c>
      <c r="B256" t="s">
        <v>498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397</v>
      </c>
      <c r="I256" t="s">
        <v>397</v>
      </c>
      <c r="J256">
        <v>1676</v>
      </c>
      <c r="K256">
        <v>1.75</v>
      </c>
      <c r="L256">
        <v>120</v>
      </c>
      <c r="M256">
        <v>4.08</v>
      </c>
    </row>
    <row r="257" spans="1:1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397</v>
      </c>
      <c r="I257" t="s">
        <v>397</v>
      </c>
      <c r="J257">
        <v>6434</v>
      </c>
      <c r="K257">
        <v>0.46</v>
      </c>
      <c r="L257">
        <v>120</v>
      </c>
      <c r="M257">
        <v>4.08</v>
      </c>
    </row>
    <row r="258" spans="1:13">
      <c r="A258" s="28">
        <v>4365</v>
      </c>
      <c r="B258" t="s">
        <v>499</v>
      </c>
      <c r="C258">
        <v>7550</v>
      </c>
      <c r="D258">
        <v>50</v>
      </c>
      <c r="E258">
        <v>0.67</v>
      </c>
      <c r="F258" t="s">
        <v>397</v>
      </c>
      <c r="G258" t="s">
        <v>397</v>
      </c>
      <c r="H258" t="s">
        <v>397</v>
      </c>
      <c r="I258" t="s">
        <v>397</v>
      </c>
      <c r="J258" t="s">
        <v>397</v>
      </c>
      <c r="K258" t="s">
        <v>397</v>
      </c>
      <c r="L258">
        <v>305</v>
      </c>
      <c r="M258">
        <v>4.04</v>
      </c>
    </row>
    <row r="259" spans="1:1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397</v>
      </c>
      <c r="I259" t="s">
        <v>397</v>
      </c>
      <c r="J259">
        <v>11357</v>
      </c>
      <c r="K259">
        <v>0.33</v>
      </c>
      <c r="L259">
        <v>150</v>
      </c>
      <c r="M259">
        <v>4.04</v>
      </c>
    </row>
    <row r="260" spans="1:1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397</v>
      </c>
      <c r="I260" t="s">
        <v>397</v>
      </c>
      <c r="J260">
        <v>8081</v>
      </c>
      <c r="K260">
        <v>0.34</v>
      </c>
      <c r="L260">
        <v>110</v>
      </c>
      <c r="M260">
        <v>4.03</v>
      </c>
    </row>
    <row r="261" spans="1:1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397</v>
      </c>
      <c r="I261" t="s">
        <v>397</v>
      </c>
      <c r="J261">
        <v>47617</v>
      </c>
      <c r="K261">
        <v>0.47</v>
      </c>
      <c r="L261">
        <v>900</v>
      </c>
      <c r="M261">
        <v>4.03</v>
      </c>
    </row>
    <row r="262" spans="1:13">
      <c r="A262" s="28">
        <v>25530</v>
      </c>
      <c r="B262" t="s">
        <v>500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397</v>
      </c>
      <c r="I262" t="s">
        <v>397</v>
      </c>
      <c r="J262">
        <v>11073</v>
      </c>
      <c r="K262">
        <v>0.34</v>
      </c>
      <c r="L262">
        <v>150</v>
      </c>
      <c r="M262">
        <v>4.03</v>
      </c>
    </row>
    <row r="263" spans="1:1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397</v>
      </c>
      <c r="I263" t="s">
        <v>397</v>
      </c>
      <c r="J263">
        <v>109950</v>
      </c>
      <c r="K263">
        <v>0.34</v>
      </c>
      <c r="L263">
        <v>1500</v>
      </c>
      <c r="M263">
        <v>4.0199999999999996</v>
      </c>
    </row>
    <row r="264" spans="1:1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397</v>
      </c>
      <c r="I264" t="s">
        <v>397</v>
      </c>
      <c r="J264">
        <v>1912</v>
      </c>
      <c r="K264">
        <v>0.78</v>
      </c>
      <c r="L264">
        <v>60</v>
      </c>
      <c r="M264">
        <v>4.0199999999999996</v>
      </c>
    </row>
    <row r="265" spans="1:1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>
      <c r="A266" s="28">
        <v>234080</v>
      </c>
      <c r="B266" t="s">
        <v>501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397</v>
      </c>
      <c r="I266" t="s">
        <v>397</v>
      </c>
      <c r="J266">
        <v>9063</v>
      </c>
      <c r="K266">
        <v>1.38</v>
      </c>
      <c r="L266">
        <v>500</v>
      </c>
      <c r="M266">
        <v>4</v>
      </c>
    </row>
    <row r="267" spans="1:1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397</v>
      </c>
      <c r="I269" t="s">
        <v>397</v>
      </c>
      <c r="J269">
        <v>40622</v>
      </c>
      <c r="K269">
        <v>0.4</v>
      </c>
      <c r="L269">
        <v>650</v>
      </c>
      <c r="M269">
        <v>3.98</v>
      </c>
    </row>
    <row r="270" spans="1:1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397</v>
      </c>
      <c r="I270" t="s">
        <v>397</v>
      </c>
      <c r="J270">
        <v>13522</v>
      </c>
      <c r="K270">
        <v>0.22</v>
      </c>
      <c r="L270">
        <v>120</v>
      </c>
      <c r="M270">
        <v>3.98</v>
      </c>
    </row>
    <row r="271" spans="1:1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397</v>
      </c>
      <c r="I271" t="s">
        <v>397</v>
      </c>
      <c r="J271">
        <v>8894</v>
      </c>
      <c r="K271">
        <v>0.42</v>
      </c>
      <c r="L271">
        <v>150</v>
      </c>
      <c r="M271">
        <v>3.98</v>
      </c>
    </row>
    <row r="272" spans="1:1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397</v>
      </c>
      <c r="I272" t="s">
        <v>397</v>
      </c>
      <c r="J272">
        <v>12997</v>
      </c>
      <c r="K272">
        <v>0.77</v>
      </c>
      <c r="L272">
        <v>400</v>
      </c>
      <c r="M272">
        <v>3.98</v>
      </c>
    </row>
    <row r="273" spans="1:13">
      <c r="A273" s="28">
        <v>53280</v>
      </c>
      <c r="B273" t="s">
        <v>502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397</v>
      </c>
      <c r="I273" t="s">
        <v>397</v>
      </c>
      <c r="J273">
        <v>7341</v>
      </c>
      <c r="K273">
        <v>0.68</v>
      </c>
      <c r="L273">
        <v>200</v>
      </c>
      <c r="M273">
        <v>3.98</v>
      </c>
    </row>
    <row r="274" spans="1:13">
      <c r="A274" s="28">
        <v>128660</v>
      </c>
      <c r="B274" t="s">
        <v>503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397</v>
      </c>
      <c r="I274" t="s">
        <v>397</v>
      </c>
      <c r="J274">
        <v>2462</v>
      </c>
      <c r="K274">
        <v>1.38</v>
      </c>
      <c r="L274">
        <v>135</v>
      </c>
      <c r="M274">
        <v>3.96</v>
      </c>
    </row>
    <row r="275" spans="1:1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397</v>
      </c>
      <c r="I275" t="s">
        <v>397</v>
      </c>
      <c r="J275">
        <v>12112</v>
      </c>
      <c r="K275">
        <v>0.52</v>
      </c>
      <c r="L275">
        <v>250</v>
      </c>
      <c r="M275">
        <v>3.96</v>
      </c>
    </row>
    <row r="276" spans="1:13">
      <c r="A276" s="28">
        <v>9770</v>
      </c>
      <c r="B276" t="s">
        <v>504</v>
      </c>
      <c r="C276">
        <v>25350</v>
      </c>
      <c r="D276">
        <v>0</v>
      </c>
      <c r="E276">
        <v>0</v>
      </c>
      <c r="F276" t="s">
        <v>397</v>
      </c>
      <c r="G276" t="s">
        <v>397</v>
      </c>
      <c r="H276" t="s">
        <v>397</v>
      </c>
      <c r="I276" t="s">
        <v>397</v>
      </c>
      <c r="J276">
        <v>85204</v>
      </c>
      <c r="K276">
        <v>0.3</v>
      </c>
      <c r="L276">
        <v>1000</v>
      </c>
      <c r="M276">
        <v>3.94</v>
      </c>
    </row>
    <row r="277" spans="1:13">
      <c r="A277" s="28">
        <v>81660</v>
      </c>
      <c r="B277" t="s">
        <v>505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397</v>
      </c>
      <c r="I278" t="s">
        <v>397</v>
      </c>
      <c r="J278">
        <v>3225</v>
      </c>
      <c r="K278">
        <v>0.4</v>
      </c>
      <c r="L278">
        <v>50</v>
      </c>
      <c r="M278">
        <v>3.92</v>
      </c>
    </row>
    <row r="279" spans="1:1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397</v>
      </c>
      <c r="I279" t="s">
        <v>397</v>
      </c>
      <c r="J279">
        <v>10227</v>
      </c>
      <c r="K279">
        <v>0.62</v>
      </c>
      <c r="L279">
        <v>250</v>
      </c>
      <c r="M279">
        <v>3.91</v>
      </c>
    </row>
    <row r="280" spans="1:1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397</v>
      </c>
      <c r="I280" t="s">
        <v>397</v>
      </c>
      <c r="J280">
        <v>7971</v>
      </c>
      <c r="K280">
        <v>0.71</v>
      </c>
      <c r="L280">
        <v>220</v>
      </c>
      <c r="M280">
        <v>3.89</v>
      </c>
    </row>
    <row r="281" spans="1:13">
      <c r="A281" s="28">
        <v>143240</v>
      </c>
      <c r="B281" t="s">
        <v>506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397</v>
      </c>
      <c r="I281" t="s">
        <v>397</v>
      </c>
      <c r="J281">
        <v>15673</v>
      </c>
      <c r="K281">
        <v>1.1499999999999999</v>
      </c>
      <c r="L281">
        <v>700</v>
      </c>
      <c r="M281">
        <v>3.89</v>
      </c>
    </row>
    <row r="282" spans="1:1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397</v>
      </c>
      <c r="I284" t="s">
        <v>397</v>
      </c>
      <c r="J284">
        <v>31128</v>
      </c>
      <c r="K284">
        <v>0.44</v>
      </c>
      <c r="L284">
        <v>530</v>
      </c>
      <c r="M284">
        <v>3.86</v>
      </c>
    </row>
    <row r="285" spans="1:1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397</v>
      </c>
      <c r="I285" t="s">
        <v>397</v>
      </c>
      <c r="J285">
        <v>153209</v>
      </c>
      <c r="K285">
        <v>0.28999999999999998</v>
      </c>
      <c r="L285">
        <v>1700</v>
      </c>
      <c r="M285">
        <v>3.85</v>
      </c>
    </row>
    <row r="286" spans="1:13">
      <c r="A286" s="28">
        <v>4450</v>
      </c>
      <c r="B286" t="s">
        <v>507</v>
      </c>
      <c r="C286">
        <v>31250</v>
      </c>
      <c r="D286">
        <v>150</v>
      </c>
      <c r="E286">
        <v>0.48</v>
      </c>
      <c r="F286" t="s">
        <v>397</v>
      </c>
      <c r="G286" t="s">
        <v>397</v>
      </c>
      <c r="H286" t="s">
        <v>397</v>
      </c>
      <c r="I286" t="s">
        <v>397</v>
      </c>
      <c r="J286">
        <v>65831</v>
      </c>
      <c r="K286">
        <v>0.47</v>
      </c>
      <c r="L286">
        <v>1200</v>
      </c>
      <c r="M286">
        <v>3.84</v>
      </c>
    </row>
    <row r="287" spans="1:1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397</v>
      </c>
      <c r="I287" t="s">
        <v>397</v>
      </c>
      <c r="J287">
        <v>15115</v>
      </c>
      <c r="K287">
        <v>0.95</v>
      </c>
      <c r="L287">
        <v>550</v>
      </c>
      <c r="M287">
        <v>3.84</v>
      </c>
    </row>
    <row r="288" spans="1:1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397</v>
      </c>
      <c r="I288" t="s">
        <v>397</v>
      </c>
      <c r="J288">
        <v>7099</v>
      </c>
      <c r="K288">
        <v>0.66</v>
      </c>
      <c r="L288">
        <v>180</v>
      </c>
      <c r="M288">
        <v>3.83</v>
      </c>
    </row>
    <row r="289" spans="1:1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397</v>
      </c>
      <c r="I289" t="s">
        <v>397</v>
      </c>
      <c r="J289">
        <v>12654</v>
      </c>
      <c r="K289">
        <v>0.52</v>
      </c>
      <c r="L289">
        <v>250</v>
      </c>
      <c r="M289">
        <v>3.82</v>
      </c>
    </row>
    <row r="290" spans="1:13">
      <c r="A290" s="28">
        <v>264660</v>
      </c>
      <c r="B290" t="s">
        <v>508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397</v>
      </c>
      <c r="I290" t="s">
        <v>397</v>
      </c>
      <c r="J290">
        <v>11308</v>
      </c>
      <c r="K290">
        <v>1.1599999999999999</v>
      </c>
      <c r="L290">
        <v>500</v>
      </c>
      <c r="M290">
        <v>3.82</v>
      </c>
    </row>
    <row r="291" spans="1:1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>
      <c r="A292" s="28">
        <v>100030</v>
      </c>
      <c r="B292" t="s">
        <v>509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397</v>
      </c>
      <c r="I292" t="s">
        <v>397</v>
      </c>
      <c r="J292">
        <v>18065</v>
      </c>
      <c r="K292">
        <v>1.05</v>
      </c>
      <c r="L292">
        <v>720</v>
      </c>
      <c r="M292">
        <v>3.81</v>
      </c>
    </row>
    <row r="293" spans="1:13">
      <c r="A293" s="28">
        <v>32540</v>
      </c>
      <c r="B293" t="s">
        <v>380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397</v>
      </c>
      <c r="I293" t="s">
        <v>397</v>
      </c>
      <c r="J293">
        <v>6121</v>
      </c>
      <c r="K293">
        <v>0.99</v>
      </c>
      <c r="L293">
        <v>230</v>
      </c>
      <c r="M293">
        <v>3.8</v>
      </c>
    </row>
    <row r="294" spans="1:13">
      <c r="A294" s="28">
        <v>216050</v>
      </c>
      <c r="B294" t="s">
        <v>510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397</v>
      </c>
      <c r="I295" t="s">
        <v>397</v>
      </c>
      <c r="J295">
        <v>13734</v>
      </c>
      <c r="K295">
        <v>0.96</v>
      </c>
      <c r="L295">
        <v>500</v>
      </c>
      <c r="M295">
        <v>3.8</v>
      </c>
    </row>
    <row r="296" spans="1:1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397</v>
      </c>
      <c r="I296" t="s">
        <v>397</v>
      </c>
      <c r="J296">
        <v>13454</v>
      </c>
      <c r="K296">
        <v>0.49</v>
      </c>
      <c r="L296">
        <v>250</v>
      </c>
      <c r="M296">
        <v>3.79</v>
      </c>
    </row>
    <row r="297" spans="1:13">
      <c r="A297" s="28">
        <v>5725</v>
      </c>
      <c r="B297" t="s">
        <v>511</v>
      </c>
      <c r="C297">
        <v>3035</v>
      </c>
      <c r="D297">
        <v>30</v>
      </c>
      <c r="E297">
        <v>1</v>
      </c>
      <c r="F297" t="s">
        <v>397</v>
      </c>
      <c r="G297" t="s">
        <v>397</v>
      </c>
      <c r="H297" t="s">
        <v>397</v>
      </c>
      <c r="I297" t="s">
        <v>397</v>
      </c>
      <c r="J297" t="s">
        <v>397</v>
      </c>
      <c r="K297" t="s">
        <v>397</v>
      </c>
      <c r="L297">
        <v>115</v>
      </c>
      <c r="M297">
        <v>3.79</v>
      </c>
    </row>
    <row r="298" spans="1:1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>
      <c r="A299" s="28">
        <v>190650</v>
      </c>
      <c r="B299" t="s">
        <v>512</v>
      </c>
      <c r="C299">
        <v>5290</v>
      </c>
      <c r="D299">
        <v>-110</v>
      </c>
      <c r="E299">
        <v>-2.04</v>
      </c>
      <c r="F299" t="s">
        <v>397</v>
      </c>
      <c r="G299" t="s">
        <v>397</v>
      </c>
      <c r="H299" t="s">
        <v>397</v>
      </c>
      <c r="I299" t="s">
        <v>397</v>
      </c>
      <c r="J299">
        <v>13824</v>
      </c>
      <c r="K299">
        <v>0.38</v>
      </c>
      <c r="L299">
        <v>200</v>
      </c>
      <c r="M299">
        <v>3.78</v>
      </c>
    </row>
    <row r="300" spans="1:1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397</v>
      </c>
      <c r="I300" t="s">
        <v>397</v>
      </c>
      <c r="J300">
        <v>256975</v>
      </c>
      <c r="K300">
        <v>0.67</v>
      </c>
      <c r="L300">
        <v>6500</v>
      </c>
      <c r="M300">
        <v>3.76</v>
      </c>
    </row>
    <row r="301" spans="1:13">
      <c r="A301" s="28">
        <v>28100</v>
      </c>
      <c r="B301" t="s">
        <v>513</v>
      </c>
      <c r="C301">
        <v>13300</v>
      </c>
      <c r="D301">
        <v>170</v>
      </c>
      <c r="E301">
        <v>1.29</v>
      </c>
      <c r="F301" t="s">
        <v>397</v>
      </c>
      <c r="G301" t="s">
        <v>397</v>
      </c>
      <c r="H301" t="s">
        <v>397</v>
      </c>
      <c r="I301" t="s">
        <v>397</v>
      </c>
      <c r="J301">
        <v>15999</v>
      </c>
      <c r="K301">
        <v>0.83</v>
      </c>
      <c r="L301">
        <v>500</v>
      </c>
      <c r="M301">
        <v>3.76</v>
      </c>
    </row>
    <row r="302" spans="1:1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397</v>
      </c>
      <c r="I302" t="s">
        <v>397</v>
      </c>
      <c r="J302">
        <v>15515</v>
      </c>
      <c r="K302">
        <v>0.88</v>
      </c>
      <c r="L302">
        <v>510</v>
      </c>
      <c r="M302">
        <v>3.75</v>
      </c>
    </row>
    <row r="303" spans="1:13">
      <c r="A303" s="28">
        <v>4255</v>
      </c>
      <c r="B303" t="s">
        <v>514</v>
      </c>
      <c r="C303">
        <v>2800</v>
      </c>
      <c r="D303">
        <v>-50</v>
      </c>
      <c r="E303">
        <v>-1.75</v>
      </c>
      <c r="F303" t="s">
        <v>397</v>
      </c>
      <c r="G303" t="s">
        <v>397</v>
      </c>
      <c r="H303" t="s">
        <v>397</v>
      </c>
      <c r="I303" t="s">
        <v>397</v>
      </c>
      <c r="J303" t="s">
        <v>397</v>
      </c>
      <c r="K303" t="s">
        <v>397</v>
      </c>
      <c r="L303">
        <v>105</v>
      </c>
      <c r="M303">
        <v>3.75</v>
      </c>
    </row>
    <row r="304" spans="1:13">
      <c r="A304" s="28">
        <v>43650</v>
      </c>
      <c r="B304" t="s">
        <v>515</v>
      </c>
      <c r="C304">
        <v>5620</v>
      </c>
      <c r="D304">
        <v>-100</v>
      </c>
      <c r="E304">
        <v>-1.75</v>
      </c>
      <c r="F304" t="s">
        <v>397</v>
      </c>
      <c r="G304" t="s">
        <v>397</v>
      </c>
      <c r="H304" t="s">
        <v>397</v>
      </c>
      <c r="I304" t="s">
        <v>397</v>
      </c>
      <c r="J304">
        <v>14755</v>
      </c>
      <c r="K304">
        <v>0.38</v>
      </c>
      <c r="L304">
        <v>210</v>
      </c>
      <c r="M304">
        <v>3.74</v>
      </c>
    </row>
    <row r="305" spans="1:1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397</v>
      </c>
      <c r="I306" t="s">
        <v>397</v>
      </c>
      <c r="J306">
        <v>24572</v>
      </c>
      <c r="K306">
        <v>0.22</v>
      </c>
      <c r="L306">
        <v>200</v>
      </c>
      <c r="M306">
        <v>3.73</v>
      </c>
    </row>
    <row r="307" spans="1:1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397</v>
      </c>
      <c r="I307" t="s">
        <v>397</v>
      </c>
      <c r="J307">
        <v>5992</v>
      </c>
      <c r="K307">
        <v>0.54</v>
      </c>
      <c r="L307">
        <v>120</v>
      </c>
      <c r="M307">
        <v>3.72</v>
      </c>
    </row>
    <row r="308" spans="1:1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397</v>
      </c>
      <c r="I308" t="s">
        <v>397</v>
      </c>
      <c r="J308">
        <v>2949</v>
      </c>
      <c r="K308">
        <v>0.91</v>
      </c>
      <c r="L308">
        <v>100</v>
      </c>
      <c r="M308">
        <v>3.71</v>
      </c>
    </row>
    <row r="309" spans="1:13">
      <c r="A309" s="28">
        <v>16610</v>
      </c>
      <c r="B309" t="s">
        <v>516</v>
      </c>
      <c r="C309">
        <v>4580</v>
      </c>
      <c r="D309">
        <v>60</v>
      </c>
      <c r="E309">
        <v>1.33</v>
      </c>
      <c r="F309" t="s">
        <v>397</v>
      </c>
      <c r="G309" t="s">
        <v>397</v>
      </c>
      <c r="H309" t="s">
        <v>397</v>
      </c>
      <c r="I309" t="s">
        <v>397</v>
      </c>
      <c r="J309">
        <v>22203</v>
      </c>
      <c r="K309">
        <v>0.21</v>
      </c>
      <c r="L309">
        <v>170</v>
      </c>
      <c r="M309">
        <v>3.71</v>
      </c>
    </row>
    <row r="310" spans="1:1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397</v>
      </c>
      <c r="I310" t="s">
        <v>397</v>
      </c>
      <c r="J310">
        <v>2867</v>
      </c>
      <c r="K310">
        <v>0.47</v>
      </c>
      <c r="L310">
        <v>50</v>
      </c>
      <c r="M310">
        <v>3.71</v>
      </c>
    </row>
    <row r="311" spans="1:1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397</v>
      </c>
      <c r="I311" t="s">
        <v>397</v>
      </c>
      <c r="J311">
        <v>15794</v>
      </c>
      <c r="K311">
        <v>0.77</v>
      </c>
      <c r="L311">
        <v>450</v>
      </c>
      <c r="M311">
        <v>3.69</v>
      </c>
    </row>
    <row r="312" spans="1:1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>
      <c r="A313" s="28">
        <v>178920</v>
      </c>
      <c r="B313" t="s">
        <v>517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397</v>
      </c>
      <c r="I314" t="s">
        <v>397</v>
      </c>
      <c r="J314">
        <v>231914</v>
      </c>
      <c r="K314">
        <v>0.28999999999999998</v>
      </c>
      <c r="L314">
        <v>2500</v>
      </c>
      <c r="M314">
        <v>3.67</v>
      </c>
    </row>
    <row r="315" spans="1:1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>
      <c r="A316" s="28">
        <v>101530</v>
      </c>
      <c r="B316" t="s">
        <v>518</v>
      </c>
      <c r="C316">
        <v>5500</v>
      </c>
      <c r="D316">
        <v>-50</v>
      </c>
      <c r="E316">
        <v>-0.9</v>
      </c>
      <c r="F316" t="s">
        <v>397</v>
      </c>
      <c r="G316" t="s">
        <v>397</v>
      </c>
      <c r="H316" t="s">
        <v>397</v>
      </c>
      <c r="I316" t="s">
        <v>397</v>
      </c>
      <c r="J316">
        <v>9537</v>
      </c>
      <c r="K316">
        <v>0.57999999999999996</v>
      </c>
      <c r="L316">
        <v>200</v>
      </c>
      <c r="M316">
        <v>3.64</v>
      </c>
    </row>
    <row r="317" spans="1:13">
      <c r="A317" s="28">
        <v>111380</v>
      </c>
      <c r="B317" t="s">
        <v>519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397</v>
      </c>
      <c r="I318" t="s">
        <v>397</v>
      </c>
      <c r="J318">
        <v>5807</v>
      </c>
      <c r="K318">
        <v>0.5</v>
      </c>
      <c r="L318">
        <v>105</v>
      </c>
      <c r="M318">
        <v>3.63</v>
      </c>
    </row>
    <row r="319" spans="1:1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>
      <c r="A320" s="28">
        <v>24720</v>
      </c>
      <c r="B320" t="s">
        <v>520</v>
      </c>
      <c r="C320">
        <v>8280</v>
      </c>
      <c r="D320">
        <v>20</v>
      </c>
      <c r="E320">
        <v>0.24</v>
      </c>
      <c r="F320" t="s">
        <v>397</v>
      </c>
      <c r="G320" t="s">
        <v>397</v>
      </c>
      <c r="H320" t="s">
        <v>397</v>
      </c>
      <c r="I320" t="s">
        <v>397</v>
      </c>
      <c r="J320">
        <v>16735</v>
      </c>
      <c r="K320">
        <v>0.49</v>
      </c>
      <c r="L320">
        <v>300</v>
      </c>
      <c r="M320">
        <v>3.62</v>
      </c>
    </row>
    <row r="321" spans="1:1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397</v>
      </c>
      <c r="I321" t="s">
        <v>397</v>
      </c>
      <c r="J321">
        <v>6661</v>
      </c>
      <c r="K321">
        <v>0.83</v>
      </c>
      <c r="L321">
        <v>200</v>
      </c>
      <c r="M321">
        <v>3.62</v>
      </c>
    </row>
    <row r="322" spans="1:1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397</v>
      </c>
      <c r="I322" t="s">
        <v>397</v>
      </c>
      <c r="J322">
        <v>14298</v>
      </c>
      <c r="K322">
        <v>0.39</v>
      </c>
      <c r="L322">
        <v>200</v>
      </c>
      <c r="M322">
        <v>3.62</v>
      </c>
    </row>
    <row r="323" spans="1:13">
      <c r="A323" s="28">
        <v>297890</v>
      </c>
      <c r="B323" t="s">
        <v>521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397</v>
      </c>
      <c r="I323" t="s">
        <v>397</v>
      </c>
      <c r="J323">
        <v>2190</v>
      </c>
      <c r="K323">
        <v>1.9</v>
      </c>
      <c r="L323">
        <v>150</v>
      </c>
      <c r="M323">
        <v>3.61</v>
      </c>
    </row>
    <row r="324" spans="1:1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397</v>
      </c>
      <c r="I324" t="s">
        <v>397</v>
      </c>
      <c r="J324">
        <v>84371</v>
      </c>
      <c r="K324">
        <v>0.16</v>
      </c>
      <c r="L324">
        <v>500</v>
      </c>
      <c r="M324">
        <v>3.61</v>
      </c>
    </row>
    <row r="325" spans="1:13">
      <c r="A325" s="28">
        <v>75180</v>
      </c>
      <c r="B325" t="s">
        <v>522</v>
      </c>
      <c r="C325">
        <v>3890</v>
      </c>
      <c r="D325">
        <v>30</v>
      </c>
      <c r="E325">
        <v>0.78</v>
      </c>
      <c r="F325" t="s">
        <v>397</v>
      </c>
      <c r="G325" t="s">
        <v>397</v>
      </c>
      <c r="H325" t="s">
        <v>397</v>
      </c>
      <c r="I325" t="s">
        <v>397</v>
      </c>
      <c r="J325">
        <v>11978</v>
      </c>
      <c r="K325">
        <v>0.32</v>
      </c>
      <c r="L325">
        <v>140</v>
      </c>
      <c r="M325">
        <v>3.6</v>
      </c>
    </row>
    <row r="326" spans="1:1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397</v>
      </c>
      <c r="I326" t="s">
        <v>397</v>
      </c>
      <c r="J326">
        <v>5077</v>
      </c>
      <c r="K326">
        <v>0.68</v>
      </c>
      <c r="L326">
        <v>125</v>
      </c>
      <c r="M326">
        <v>3.6</v>
      </c>
    </row>
    <row r="327" spans="1:1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397</v>
      </c>
      <c r="I327" t="s">
        <v>397</v>
      </c>
      <c r="J327">
        <v>7221</v>
      </c>
      <c r="K327">
        <v>0.5</v>
      </c>
      <c r="L327">
        <v>130</v>
      </c>
      <c r="M327">
        <v>3.59</v>
      </c>
    </row>
    <row r="328" spans="1:13">
      <c r="A328" s="28">
        <v>2150</v>
      </c>
      <c r="B328" t="s">
        <v>523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397</v>
      </c>
      <c r="I328" t="s">
        <v>397</v>
      </c>
      <c r="J328">
        <v>7986</v>
      </c>
      <c r="K328">
        <v>0.98</v>
      </c>
      <c r="L328">
        <v>280</v>
      </c>
      <c r="M328">
        <v>3.59</v>
      </c>
    </row>
    <row r="329" spans="1:13">
      <c r="A329" s="28" t="s">
        <v>524</v>
      </c>
      <c r="B329" t="s">
        <v>525</v>
      </c>
      <c r="C329">
        <v>18560</v>
      </c>
      <c r="D329">
        <v>-10</v>
      </c>
      <c r="E329">
        <v>-0.05</v>
      </c>
      <c r="F329" t="s">
        <v>397</v>
      </c>
      <c r="G329" t="s">
        <v>397</v>
      </c>
      <c r="H329" t="s">
        <v>397</v>
      </c>
      <c r="I329" t="s">
        <v>397</v>
      </c>
      <c r="J329" t="s">
        <v>397</v>
      </c>
      <c r="K329" t="s">
        <v>397</v>
      </c>
      <c r="L329">
        <v>667</v>
      </c>
      <c r="M329">
        <v>3.59</v>
      </c>
    </row>
    <row r="330" spans="1:1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397</v>
      </c>
      <c r="I330" t="s">
        <v>397</v>
      </c>
      <c r="J330">
        <v>25215</v>
      </c>
      <c r="K330">
        <v>0.48</v>
      </c>
      <c r="L330">
        <v>430</v>
      </c>
      <c r="M330">
        <v>3.58</v>
      </c>
    </row>
    <row r="331" spans="1:13">
      <c r="A331" s="28">
        <v>134380</v>
      </c>
      <c r="B331" t="s">
        <v>526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397</v>
      </c>
      <c r="I331" t="s">
        <v>397</v>
      </c>
      <c r="J331">
        <v>64815</v>
      </c>
      <c r="K331">
        <v>1.08</v>
      </c>
      <c r="L331">
        <v>2500</v>
      </c>
      <c r="M331">
        <v>3.58</v>
      </c>
    </row>
    <row r="332" spans="1:1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397</v>
      </c>
      <c r="I332" t="s">
        <v>397</v>
      </c>
      <c r="J332">
        <v>27595</v>
      </c>
      <c r="K332">
        <v>0.61</v>
      </c>
      <c r="L332">
        <v>600</v>
      </c>
      <c r="M332">
        <v>3.58</v>
      </c>
    </row>
    <row r="333" spans="1:1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397</v>
      </c>
      <c r="I333" t="s">
        <v>397</v>
      </c>
      <c r="J333">
        <v>9161</v>
      </c>
      <c r="K333">
        <v>0.61</v>
      </c>
      <c r="L333">
        <v>200</v>
      </c>
      <c r="M333">
        <v>3.57</v>
      </c>
    </row>
    <row r="334" spans="1:13">
      <c r="A334" s="28">
        <v>5950</v>
      </c>
      <c r="B334" t="s">
        <v>527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397</v>
      </c>
      <c r="I334" t="s">
        <v>397</v>
      </c>
      <c r="J334">
        <v>11236</v>
      </c>
      <c r="K334">
        <v>1.25</v>
      </c>
      <c r="L334">
        <v>500</v>
      </c>
      <c r="M334">
        <v>3.56</v>
      </c>
    </row>
    <row r="335" spans="1:13">
      <c r="A335" s="28">
        <v>215200</v>
      </c>
      <c r="B335" t="s">
        <v>528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397</v>
      </c>
      <c r="I336" t="s">
        <v>397</v>
      </c>
      <c r="J336">
        <v>31365</v>
      </c>
      <c r="K336">
        <v>0.81</v>
      </c>
      <c r="L336">
        <v>900</v>
      </c>
      <c r="M336">
        <v>3.56</v>
      </c>
    </row>
    <row r="337" spans="1:1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397</v>
      </c>
      <c r="I337" t="s">
        <v>397</v>
      </c>
      <c r="J337">
        <v>530930</v>
      </c>
      <c r="K337">
        <v>0.21</v>
      </c>
      <c r="L337">
        <v>4000</v>
      </c>
      <c r="M337">
        <v>3.56</v>
      </c>
    </row>
    <row r="338" spans="1:1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397</v>
      </c>
      <c r="I338" t="s">
        <v>397</v>
      </c>
      <c r="J338">
        <v>2103</v>
      </c>
      <c r="K338">
        <v>0.53</v>
      </c>
      <c r="L338">
        <v>40</v>
      </c>
      <c r="M338">
        <v>3.56</v>
      </c>
    </row>
    <row r="339" spans="1:1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>
      <c r="A340" s="28">
        <v>241790</v>
      </c>
      <c r="B340" t="s">
        <v>529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397</v>
      </c>
      <c r="I340" t="s">
        <v>397</v>
      </c>
      <c r="J340">
        <v>9808</v>
      </c>
      <c r="K340">
        <v>1.21</v>
      </c>
      <c r="L340">
        <v>420</v>
      </c>
      <c r="M340">
        <v>3.53</v>
      </c>
    </row>
    <row r="341" spans="1:13">
      <c r="A341" s="28" t="s">
        <v>530</v>
      </c>
      <c r="B341" t="s">
        <v>531</v>
      </c>
      <c r="C341">
        <v>2860</v>
      </c>
      <c r="D341">
        <v>5</v>
      </c>
      <c r="E341">
        <v>0.18</v>
      </c>
      <c r="F341" t="s">
        <v>397</v>
      </c>
      <c r="G341" t="s">
        <v>397</v>
      </c>
      <c r="H341" t="s">
        <v>397</v>
      </c>
      <c r="I341" t="s">
        <v>397</v>
      </c>
      <c r="J341" t="s">
        <v>397</v>
      </c>
      <c r="K341" t="s">
        <v>397</v>
      </c>
      <c r="L341">
        <v>101</v>
      </c>
      <c r="M341">
        <v>3.53</v>
      </c>
    </row>
    <row r="342" spans="1:13">
      <c r="A342" s="28">
        <v>37560</v>
      </c>
      <c r="B342" t="s">
        <v>532</v>
      </c>
      <c r="C342">
        <v>3395</v>
      </c>
      <c r="D342">
        <v>-80</v>
      </c>
      <c r="E342">
        <v>-2.2999999999999998</v>
      </c>
      <c r="F342" t="s">
        <v>397</v>
      </c>
      <c r="G342" t="s">
        <v>397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397</v>
      </c>
      <c r="I343" t="s">
        <v>397</v>
      </c>
      <c r="J343">
        <v>16586</v>
      </c>
      <c r="K343">
        <v>0.51</v>
      </c>
      <c r="L343">
        <v>300</v>
      </c>
      <c r="M343">
        <v>3.52</v>
      </c>
    </row>
    <row r="344" spans="1:13">
      <c r="A344" s="28" t="s">
        <v>533</v>
      </c>
      <c r="B344" t="s">
        <v>534</v>
      </c>
      <c r="C344">
        <v>9120</v>
      </c>
      <c r="D344">
        <v>0</v>
      </c>
      <c r="E344">
        <v>0</v>
      </c>
      <c r="F344" t="s">
        <v>397</v>
      </c>
      <c r="G344" t="s">
        <v>397</v>
      </c>
      <c r="H344" t="s">
        <v>397</v>
      </c>
      <c r="I344" t="s">
        <v>397</v>
      </c>
      <c r="J344" t="s">
        <v>397</v>
      </c>
      <c r="K344" t="s">
        <v>397</v>
      </c>
      <c r="L344">
        <v>320</v>
      </c>
      <c r="M344">
        <v>3.51</v>
      </c>
    </row>
    <row r="345" spans="1:13">
      <c r="A345" s="28">
        <v>57030</v>
      </c>
      <c r="B345" t="s">
        <v>535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397</v>
      </c>
      <c r="I345" t="s">
        <v>397</v>
      </c>
      <c r="J345">
        <v>3039</v>
      </c>
      <c r="K345">
        <v>1.41</v>
      </c>
      <c r="L345">
        <v>150</v>
      </c>
      <c r="M345">
        <v>3.5</v>
      </c>
    </row>
    <row r="346" spans="1:13">
      <c r="A346" s="28">
        <v>51600</v>
      </c>
      <c r="B346" t="s">
        <v>536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397</v>
      </c>
      <c r="I348" t="s">
        <v>397</v>
      </c>
      <c r="J348">
        <v>14784</v>
      </c>
      <c r="K348">
        <v>0.49</v>
      </c>
      <c r="L348">
        <v>250</v>
      </c>
      <c r="M348">
        <v>3.48</v>
      </c>
    </row>
    <row r="349" spans="1:13">
      <c r="A349" s="28">
        <v>30190</v>
      </c>
      <c r="B349" t="s">
        <v>537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>
      <c r="A350" s="28">
        <v>189690</v>
      </c>
      <c r="B350" t="s">
        <v>538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397</v>
      </c>
      <c r="I350" t="s">
        <v>397</v>
      </c>
      <c r="J350">
        <v>2585</v>
      </c>
      <c r="K350">
        <v>1.1200000000000001</v>
      </c>
      <c r="L350">
        <v>100</v>
      </c>
      <c r="M350">
        <v>3.47</v>
      </c>
    </row>
    <row r="351" spans="1:13">
      <c r="A351" s="28" t="s">
        <v>539</v>
      </c>
      <c r="B351" t="s">
        <v>540</v>
      </c>
      <c r="C351">
        <v>146500</v>
      </c>
      <c r="D351">
        <v>-100</v>
      </c>
      <c r="E351">
        <v>-7.0000000000000007E-2</v>
      </c>
      <c r="F351" t="s">
        <v>397</v>
      </c>
      <c r="G351" t="s">
        <v>397</v>
      </c>
      <c r="H351" t="s">
        <v>397</v>
      </c>
      <c r="I351" t="s">
        <v>397</v>
      </c>
      <c r="J351" t="s">
        <v>397</v>
      </c>
      <c r="K351" t="s">
        <v>397</v>
      </c>
      <c r="L351">
        <v>5050</v>
      </c>
      <c r="M351">
        <v>3.45</v>
      </c>
    </row>
    <row r="352" spans="1:1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397</v>
      </c>
      <c r="I353" t="s">
        <v>397</v>
      </c>
      <c r="J353">
        <v>3361</v>
      </c>
      <c r="K353">
        <v>0.39</v>
      </c>
      <c r="L353">
        <v>45</v>
      </c>
      <c r="M353">
        <v>3.44</v>
      </c>
    </row>
    <row r="354" spans="1:13">
      <c r="A354" s="28">
        <v>294870</v>
      </c>
      <c r="B354" t="s">
        <v>541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>
      <c r="A355" s="28">
        <v>36570</v>
      </c>
      <c r="B355" t="s">
        <v>542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397</v>
      </c>
      <c r="I357" t="s">
        <v>397</v>
      </c>
      <c r="J357">
        <v>28443</v>
      </c>
      <c r="K357">
        <v>0.51</v>
      </c>
      <c r="L357">
        <v>500</v>
      </c>
      <c r="M357">
        <v>3.42</v>
      </c>
    </row>
    <row r="358" spans="1:1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397</v>
      </c>
      <c r="I358" t="s">
        <v>397</v>
      </c>
      <c r="J358">
        <v>9402</v>
      </c>
      <c r="K358">
        <v>0.47</v>
      </c>
      <c r="L358">
        <v>150</v>
      </c>
      <c r="M358">
        <v>3.42</v>
      </c>
    </row>
    <row r="359" spans="1:1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397</v>
      </c>
      <c r="I359" t="s">
        <v>397</v>
      </c>
      <c r="J359">
        <v>22459</v>
      </c>
      <c r="K359">
        <v>0.33</v>
      </c>
      <c r="L359">
        <v>250</v>
      </c>
      <c r="M359">
        <v>3.42</v>
      </c>
    </row>
    <row r="360" spans="1:1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397</v>
      </c>
      <c r="I360" t="s">
        <v>397</v>
      </c>
      <c r="J360">
        <v>5988</v>
      </c>
      <c r="K360">
        <v>0.82</v>
      </c>
      <c r="L360">
        <v>167</v>
      </c>
      <c r="M360">
        <v>3.41</v>
      </c>
    </row>
    <row r="361" spans="1:1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397</v>
      </c>
      <c r="I361" t="s">
        <v>397</v>
      </c>
      <c r="J361">
        <v>3660</v>
      </c>
      <c r="K361">
        <v>0.4</v>
      </c>
      <c r="L361">
        <v>50</v>
      </c>
      <c r="M361">
        <v>3.4</v>
      </c>
    </row>
    <row r="362" spans="1:13">
      <c r="A362" s="28">
        <v>89600</v>
      </c>
      <c r="B362" t="s">
        <v>543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>
      <c r="A363" s="28">
        <v>24120</v>
      </c>
      <c r="B363" t="s">
        <v>544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397</v>
      </c>
      <c r="I363" t="s">
        <v>397</v>
      </c>
      <c r="J363">
        <v>8740</v>
      </c>
      <c r="K363">
        <v>0.51</v>
      </c>
      <c r="L363">
        <v>150</v>
      </c>
      <c r="M363">
        <v>3.39</v>
      </c>
    </row>
    <row r="364" spans="1:13">
      <c r="A364" s="28">
        <v>282330</v>
      </c>
      <c r="B364" t="s">
        <v>545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397</v>
      </c>
      <c r="I365" t="s">
        <v>397</v>
      </c>
      <c r="J365">
        <v>38778</v>
      </c>
      <c r="K365">
        <v>0.61</v>
      </c>
      <c r="L365">
        <v>800</v>
      </c>
      <c r="M365">
        <v>3.39</v>
      </c>
    </row>
    <row r="366" spans="1:1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>
      <c r="A367" s="28">
        <v>51915</v>
      </c>
      <c r="B367" t="s">
        <v>546</v>
      </c>
      <c r="C367">
        <v>297500</v>
      </c>
      <c r="D367">
        <v>-13500</v>
      </c>
      <c r="E367">
        <v>-4.34</v>
      </c>
      <c r="F367" t="s">
        <v>397</v>
      </c>
      <c r="G367" t="s">
        <v>397</v>
      </c>
      <c r="H367" t="s">
        <v>397</v>
      </c>
      <c r="I367" t="s">
        <v>397</v>
      </c>
      <c r="J367" t="s">
        <v>397</v>
      </c>
      <c r="K367" t="s">
        <v>397</v>
      </c>
      <c r="L367">
        <v>10050</v>
      </c>
      <c r="M367">
        <v>3.38</v>
      </c>
    </row>
    <row r="368" spans="1:1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397</v>
      </c>
      <c r="I368" t="s">
        <v>397</v>
      </c>
      <c r="J368">
        <v>4467</v>
      </c>
      <c r="K368">
        <v>0.66</v>
      </c>
      <c r="L368">
        <v>100</v>
      </c>
      <c r="M368">
        <v>3.38</v>
      </c>
    </row>
    <row r="369" spans="1:1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397</v>
      </c>
      <c r="I370" t="s">
        <v>397</v>
      </c>
      <c r="J370">
        <v>21622</v>
      </c>
      <c r="K370">
        <v>0.55000000000000004</v>
      </c>
      <c r="L370">
        <v>400</v>
      </c>
      <c r="M370">
        <v>3.36</v>
      </c>
    </row>
    <row r="371" spans="1:13">
      <c r="A371" s="28">
        <v>256150</v>
      </c>
      <c r="B371" t="s">
        <v>547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397</v>
      </c>
      <c r="I371" t="s">
        <v>397</v>
      </c>
      <c r="J371">
        <v>6678</v>
      </c>
      <c r="K371">
        <v>1.1100000000000001</v>
      </c>
      <c r="L371">
        <v>250</v>
      </c>
      <c r="M371">
        <v>3.36</v>
      </c>
    </row>
    <row r="372" spans="1:1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397</v>
      </c>
      <c r="I373" t="s">
        <v>397</v>
      </c>
      <c r="J373">
        <v>8369</v>
      </c>
      <c r="K373">
        <v>0.25</v>
      </c>
      <c r="L373">
        <v>70</v>
      </c>
      <c r="M373">
        <v>3.36</v>
      </c>
    </row>
    <row r="374" spans="1:13">
      <c r="A374" s="28">
        <v>52600</v>
      </c>
      <c r="B374" t="s">
        <v>548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397</v>
      </c>
      <c r="I374" t="s">
        <v>397</v>
      </c>
      <c r="J374">
        <v>3096</v>
      </c>
      <c r="K374">
        <v>1.46</v>
      </c>
      <c r="L374">
        <v>150</v>
      </c>
      <c r="M374">
        <v>3.33</v>
      </c>
    </row>
    <row r="375" spans="1:13">
      <c r="A375" s="28">
        <v>298020</v>
      </c>
      <c r="B375" t="s">
        <v>549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397</v>
      </c>
      <c r="I376" t="s">
        <v>397</v>
      </c>
      <c r="J376">
        <v>76319</v>
      </c>
      <c r="K376">
        <v>0.22</v>
      </c>
      <c r="L376">
        <v>550</v>
      </c>
      <c r="M376">
        <v>3.32</v>
      </c>
    </row>
    <row r="377" spans="1:1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>
      <c r="A378" s="28">
        <v>96530</v>
      </c>
      <c r="B378" t="s">
        <v>550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>
      <c r="A383" s="28">
        <v>73110</v>
      </c>
      <c r="B383" t="s">
        <v>551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397</v>
      </c>
      <c r="I383" t="s">
        <v>397</v>
      </c>
      <c r="J383">
        <v>16704</v>
      </c>
      <c r="K383">
        <v>0.37</v>
      </c>
      <c r="L383">
        <v>200</v>
      </c>
      <c r="M383">
        <v>3.27</v>
      </c>
    </row>
    <row r="384" spans="1:13">
      <c r="A384" s="28">
        <v>10640</v>
      </c>
      <c r="B384" t="s">
        <v>552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397</v>
      </c>
      <c r="I384" t="s">
        <v>397</v>
      </c>
      <c r="J384">
        <v>3071</v>
      </c>
      <c r="K384">
        <v>2</v>
      </c>
      <c r="L384">
        <v>200</v>
      </c>
      <c r="M384">
        <v>3.26</v>
      </c>
    </row>
    <row r="385" spans="1:1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397</v>
      </c>
      <c r="I385" t="s">
        <v>397</v>
      </c>
      <c r="J385">
        <v>9125</v>
      </c>
      <c r="K385">
        <v>0.84</v>
      </c>
      <c r="L385">
        <v>250</v>
      </c>
      <c r="M385">
        <v>3.26</v>
      </c>
    </row>
    <row r="386" spans="1:13">
      <c r="A386" s="28">
        <v>347890</v>
      </c>
      <c r="B386" t="s">
        <v>553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397</v>
      </c>
      <c r="I386" t="s">
        <v>397</v>
      </c>
      <c r="J386">
        <v>4346</v>
      </c>
      <c r="K386">
        <v>1.76</v>
      </c>
      <c r="L386">
        <v>250</v>
      </c>
      <c r="M386">
        <v>3.26</v>
      </c>
    </row>
    <row r="387" spans="1:1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397</v>
      </c>
      <c r="I387" t="s">
        <v>397</v>
      </c>
      <c r="J387">
        <v>4538</v>
      </c>
      <c r="K387">
        <v>0.81</v>
      </c>
      <c r="L387">
        <v>120</v>
      </c>
      <c r="M387">
        <v>3.25</v>
      </c>
    </row>
    <row r="388" spans="1:1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>
      <c r="A389" s="28">
        <v>12630</v>
      </c>
      <c r="B389" t="s">
        <v>554</v>
      </c>
      <c r="C389">
        <v>7700</v>
      </c>
      <c r="D389">
        <v>-300</v>
      </c>
      <c r="E389">
        <v>-3.75</v>
      </c>
      <c r="F389" t="s">
        <v>397</v>
      </c>
      <c r="G389" t="s">
        <v>397</v>
      </c>
      <c r="H389" t="s">
        <v>397</v>
      </c>
      <c r="I389" t="s">
        <v>397</v>
      </c>
      <c r="J389">
        <v>44094</v>
      </c>
      <c r="K389">
        <v>0.17</v>
      </c>
      <c r="L389">
        <v>250</v>
      </c>
      <c r="M389">
        <v>3.25</v>
      </c>
    </row>
    <row r="390" spans="1:1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>
      <c r="A392" s="28">
        <v>122990</v>
      </c>
      <c r="B392" t="s">
        <v>555</v>
      </c>
      <c r="C392">
        <v>7720</v>
      </c>
      <c r="D392">
        <v>-70</v>
      </c>
      <c r="E392">
        <v>-0.9</v>
      </c>
      <c r="F392" t="s">
        <v>397</v>
      </c>
      <c r="G392" t="s">
        <v>397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397</v>
      </c>
      <c r="I393" t="s">
        <v>397</v>
      </c>
      <c r="J393">
        <v>31261</v>
      </c>
      <c r="K393">
        <v>0.69</v>
      </c>
      <c r="L393">
        <v>700</v>
      </c>
      <c r="M393">
        <v>3.24</v>
      </c>
    </row>
    <row r="394" spans="1:13">
      <c r="A394" s="28">
        <v>2355</v>
      </c>
      <c r="B394" t="s">
        <v>556</v>
      </c>
      <c r="C394">
        <v>3250</v>
      </c>
      <c r="D394">
        <v>-30</v>
      </c>
      <c r="E394">
        <v>-0.91</v>
      </c>
      <c r="F394" t="s">
        <v>397</v>
      </c>
      <c r="G394" t="s">
        <v>397</v>
      </c>
      <c r="H394" t="s">
        <v>397</v>
      </c>
      <c r="I394" t="s">
        <v>397</v>
      </c>
      <c r="J394" t="s">
        <v>397</v>
      </c>
      <c r="K394" t="s">
        <v>397</v>
      </c>
      <c r="L394">
        <v>105</v>
      </c>
      <c r="M394">
        <v>3.23</v>
      </c>
    </row>
    <row r="395" spans="1:13">
      <c r="A395" s="28">
        <v>10470</v>
      </c>
      <c r="B395" t="s">
        <v>381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397</v>
      </c>
      <c r="I395" t="s">
        <v>397</v>
      </c>
      <c r="J395">
        <v>9183</v>
      </c>
      <c r="K395">
        <v>0.92</v>
      </c>
      <c r="L395">
        <v>270</v>
      </c>
      <c r="M395">
        <v>3.21</v>
      </c>
    </row>
    <row r="396" spans="1:1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397</v>
      </c>
      <c r="I396" t="s">
        <v>397</v>
      </c>
      <c r="J396">
        <v>21230</v>
      </c>
      <c r="K396">
        <v>0.6</v>
      </c>
      <c r="L396">
        <v>410</v>
      </c>
      <c r="M396">
        <v>3.21</v>
      </c>
    </row>
    <row r="397" spans="1:1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397</v>
      </c>
      <c r="I397" t="s">
        <v>397</v>
      </c>
      <c r="J397">
        <v>101507</v>
      </c>
      <c r="K397">
        <v>0.77</v>
      </c>
      <c r="L397">
        <v>2500</v>
      </c>
      <c r="M397">
        <v>3.21</v>
      </c>
    </row>
    <row r="398" spans="1:13">
      <c r="A398" s="28">
        <v>3495</v>
      </c>
      <c r="B398" t="s">
        <v>557</v>
      </c>
      <c r="C398">
        <v>24900</v>
      </c>
      <c r="D398">
        <v>150</v>
      </c>
      <c r="E398">
        <v>0.61</v>
      </c>
      <c r="F398" t="s">
        <v>397</v>
      </c>
      <c r="G398" t="s">
        <v>397</v>
      </c>
      <c r="H398" t="s">
        <v>397</v>
      </c>
      <c r="I398" t="s">
        <v>397</v>
      </c>
      <c r="J398" t="s">
        <v>397</v>
      </c>
      <c r="K398" t="s">
        <v>397</v>
      </c>
      <c r="L398">
        <v>800</v>
      </c>
      <c r="M398">
        <v>3.21</v>
      </c>
    </row>
    <row r="399" spans="1:1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397</v>
      </c>
      <c r="I399" t="s">
        <v>397</v>
      </c>
      <c r="J399">
        <v>4834</v>
      </c>
      <c r="K399">
        <v>0.77</v>
      </c>
      <c r="L399">
        <v>120</v>
      </c>
      <c r="M399">
        <v>3.2</v>
      </c>
    </row>
    <row r="400" spans="1:13">
      <c r="A400" s="28">
        <v>16800</v>
      </c>
      <c r="B400" t="s">
        <v>558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397</v>
      </c>
      <c r="I400" t="s">
        <v>397</v>
      </c>
      <c r="J400">
        <v>52783</v>
      </c>
      <c r="K400">
        <v>0.65</v>
      </c>
      <c r="L400">
        <v>1100</v>
      </c>
      <c r="M400">
        <v>3.2</v>
      </c>
    </row>
    <row r="401" spans="1:1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>
      <c r="A402" s="28">
        <v>3075</v>
      </c>
      <c r="B402" t="s">
        <v>559</v>
      </c>
      <c r="C402">
        <v>14090</v>
      </c>
      <c r="D402">
        <v>0</v>
      </c>
      <c r="E402">
        <v>0</v>
      </c>
      <c r="F402" t="s">
        <v>397</v>
      </c>
      <c r="G402" t="s">
        <v>397</v>
      </c>
      <c r="H402" t="s">
        <v>397</v>
      </c>
      <c r="I402" t="s">
        <v>397</v>
      </c>
      <c r="J402" t="s">
        <v>397</v>
      </c>
      <c r="K402" t="s">
        <v>397</v>
      </c>
      <c r="L402">
        <v>450</v>
      </c>
      <c r="M402">
        <v>3.19</v>
      </c>
    </row>
    <row r="403" spans="1:13">
      <c r="A403" s="28">
        <v>21320</v>
      </c>
      <c r="B403" t="s">
        <v>560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397</v>
      </c>
      <c r="I403" t="s">
        <v>397</v>
      </c>
      <c r="J403">
        <v>22594</v>
      </c>
      <c r="K403">
        <v>0.21</v>
      </c>
      <c r="L403">
        <v>150</v>
      </c>
      <c r="M403">
        <v>3.19</v>
      </c>
    </row>
    <row r="404" spans="1:13">
      <c r="A404" s="28">
        <v>263690</v>
      </c>
      <c r="B404" t="s">
        <v>561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397</v>
      </c>
      <c r="I404" t="s">
        <v>397</v>
      </c>
      <c r="J404">
        <v>6684</v>
      </c>
      <c r="K404">
        <v>1.49</v>
      </c>
      <c r="L404">
        <v>317</v>
      </c>
      <c r="M404">
        <v>3.19</v>
      </c>
    </row>
    <row r="405" spans="1:13">
      <c r="A405" s="28">
        <v>155</v>
      </c>
      <c r="B405" t="s">
        <v>562</v>
      </c>
      <c r="C405">
        <v>64900</v>
      </c>
      <c r="D405">
        <v>3300</v>
      </c>
      <c r="E405">
        <v>5.36</v>
      </c>
      <c r="F405" t="s">
        <v>397</v>
      </c>
      <c r="G405" t="s">
        <v>397</v>
      </c>
      <c r="H405" t="s">
        <v>397</v>
      </c>
      <c r="I405" t="s">
        <v>397</v>
      </c>
      <c r="J405" t="s">
        <v>397</v>
      </c>
      <c r="K405" t="s">
        <v>397</v>
      </c>
      <c r="L405">
        <v>2050</v>
      </c>
      <c r="M405">
        <v>3.16</v>
      </c>
    </row>
    <row r="406" spans="1:1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>
      <c r="A408" s="28">
        <v>3780</v>
      </c>
      <c r="B408" t="s">
        <v>563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397</v>
      </c>
      <c r="I408" t="s">
        <v>397</v>
      </c>
      <c r="J408">
        <v>3941</v>
      </c>
      <c r="K408">
        <v>1.61</v>
      </c>
      <c r="L408">
        <v>200</v>
      </c>
      <c r="M408">
        <v>3.15</v>
      </c>
    </row>
    <row r="409" spans="1:1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397</v>
      </c>
      <c r="I409" t="s">
        <v>397</v>
      </c>
      <c r="J409">
        <v>10493</v>
      </c>
      <c r="K409">
        <v>0.91</v>
      </c>
      <c r="L409">
        <v>300</v>
      </c>
      <c r="M409">
        <v>3.14</v>
      </c>
    </row>
    <row r="410" spans="1:13">
      <c r="A410" s="28">
        <v>96760</v>
      </c>
      <c r="B410" t="s">
        <v>564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397</v>
      </c>
      <c r="I410" t="s">
        <v>397</v>
      </c>
      <c r="J410">
        <v>1484</v>
      </c>
      <c r="K410">
        <v>2.14</v>
      </c>
      <c r="L410">
        <v>100</v>
      </c>
      <c r="M410">
        <v>3.14</v>
      </c>
    </row>
    <row r="411" spans="1:13">
      <c r="A411" s="28">
        <v>214180</v>
      </c>
      <c r="B411" t="s">
        <v>565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>
      <c r="A412" s="28">
        <v>83420</v>
      </c>
      <c r="B412" t="s">
        <v>566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397</v>
      </c>
      <c r="I412" t="s">
        <v>397</v>
      </c>
      <c r="J412">
        <v>5251</v>
      </c>
      <c r="K412">
        <v>1.4</v>
      </c>
      <c r="L412">
        <v>230</v>
      </c>
      <c r="M412">
        <v>3.13</v>
      </c>
    </row>
    <row r="413" spans="1:13">
      <c r="A413" s="28">
        <v>67170</v>
      </c>
      <c r="B413" t="s">
        <v>567</v>
      </c>
      <c r="C413">
        <v>4155</v>
      </c>
      <c r="D413">
        <v>-20</v>
      </c>
      <c r="E413">
        <v>-0.48</v>
      </c>
      <c r="F413" t="s">
        <v>397</v>
      </c>
      <c r="G413" t="s">
        <v>397</v>
      </c>
      <c r="H413" t="s">
        <v>397</v>
      </c>
      <c r="I413" t="s">
        <v>397</v>
      </c>
      <c r="J413">
        <v>7464</v>
      </c>
      <c r="K413">
        <v>0.56000000000000005</v>
      </c>
      <c r="L413">
        <v>130</v>
      </c>
      <c r="M413">
        <v>3.13</v>
      </c>
    </row>
    <row r="414" spans="1:1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397</v>
      </c>
      <c r="I414" t="s">
        <v>397</v>
      </c>
      <c r="J414">
        <v>12792</v>
      </c>
      <c r="K414">
        <v>0.67</v>
      </c>
      <c r="L414">
        <v>270</v>
      </c>
      <c r="M414">
        <v>3.13</v>
      </c>
    </row>
    <row r="415" spans="1:1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397</v>
      </c>
      <c r="I415" t="s">
        <v>397</v>
      </c>
      <c r="J415">
        <v>212260</v>
      </c>
      <c r="K415">
        <v>0.38</v>
      </c>
      <c r="L415">
        <v>2500</v>
      </c>
      <c r="M415">
        <v>3.13</v>
      </c>
    </row>
    <row r="416" spans="1:13">
      <c r="A416" s="28">
        <v>64850</v>
      </c>
      <c r="B416" t="s">
        <v>568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397</v>
      </c>
      <c r="I416" t="s">
        <v>397</v>
      </c>
      <c r="J416">
        <v>4803</v>
      </c>
      <c r="K416">
        <v>1.2</v>
      </c>
      <c r="L416">
        <v>180</v>
      </c>
      <c r="M416">
        <v>3.12</v>
      </c>
    </row>
    <row r="417" spans="1:13">
      <c r="A417" s="28" t="s">
        <v>569</v>
      </c>
      <c r="B417" t="s">
        <v>570</v>
      </c>
      <c r="C417">
        <v>82100</v>
      </c>
      <c r="D417">
        <v>6900</v>
      </c>
      <c r="E417">
        <v>9.18</v>
      </c>
      <c r="F417" t="s">
        <v>397</v>
      </c>
      <c r="G417" t="s">
        <v>397</v>
      </c>
      <c r="H417" t="s">
        <v>397</v>
      </c>
      <c r="I417" t="s">
        <v>397</v>
      </c>
      <c r="J417" t="s">
        <v>397</v>
      </c>
      <c r="K417" t="s">
        <v>397</v>
      </c>
      <c r="L417">
        <v>2550</v>
      </c>
      <c r="M417">
        <v>3.11</v>
      </c>
    </row>
    <row r="418" spans="1:13">
      <c r="A418" s="28">
        <v>68930</v>
      </c>
      <c r="B418" t="s">
        <v>571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397</v>
      </c>
      <c r="I418" t="s">
        <v>397</v>
      </c>
      <c r="J418">
        <v>5758</v>
      </c>
      <c r="K418">
        <v>1.1200000000000001</v>
      </c>
      <c r="L418">
        <v>200</v>
      </c>
      <c r="M418">
        <v>3.11</v>
      </c>
    </row>
    <row r="419" spans="1:13">
      <c r="A419" s="28">
        <v>366030</v>
      </c>
      <c r="B419" t="s">
        <v>572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397</v>
      </c>
      <c r="I419" t="s">
        <v>397</v>
      </c>
      <c r="J419">
        <v>2663</v>
      </c>
      <c r="K419">
        <v>2.1800000000000002</v>
      </c>
      <c r="L419">
        <v>180</v>
      </c>
      <c r="M419">
        <v>3.1</v>
      </c>
    </row>
    <row r="420" spans="1:13">
      <c r="A420" s="28">
        <v>71840</v>
      </c>
      <c r="B420" t="s">
        <v>573</v>
      </c>
      <c r="C420">
        <v>9710</v>
      </c>
      <c r="D420">
        <v>-210</v>
      </c>
      <c r="E420">
        <v>-2.12</v>
      </c>
      <c r="F420" t="s">
        <v>397</v>
      </c>
      <c r="G420" t="s">
        <v>397</v>
      </c>
      <c r="H420" t="s">
        <v>397</v>
      </c>
      <c r="I420" t="s">
        <v>397</v>
      </c>
      <c r="J420">
        <v>55987</v>
      </c>
      <c r="K420">
        <v>0.17</v>
      </c>
      <c r="L420">
        <v>300</v>
      </c>
      <c r="M420">
        <v>3.09</v>
      </c>
    </row>
    <row r="421" spans="1:1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>
      <c r="A422" s="28">
        <v>19685</v>
      </c>
      <c r="B422" t="s">
        <v>574</v>
      </c>
      <c r="C422">
        <v>1464</v>
      </c>
      <c r="D422">
        <v>-5</v>
      </c>
      <c r="E422">
        <v>-0.34</v>
      </c>
      <c r="F422" t="s">
        <v>397</v>
      </c>
      <c r="G422" t="s">
        <v>397</v>
      </c>
      <c r="H422" t="s">
        <v>397</v>
      </c>
      <c r="I422" t="s">
        <v>397</v>
      </c>
      <c r="J422" t="s">
        <v>397</v>
      </c>
      <c r="K422" t="s">
        <v>397</v>
      </c>
      <c r="L422">
        <v>45</v>
      </c>
      <c r="M422">
        <v>3.07</v>
      </c>
    </row>
    <row r="423" spans="1:1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397</v>
      </c>
      <c r="I423" t="s">
        <v>397</v>
      </c>
      <c r="J423">
        <v>13021</v>
      </c>
      <c r="K423">
        <v>0.25</v>
      </c>
      <c r="L423">
        <v>100</v>
      </c>
      <c r="M423">
        <v>3.06</v>
      </c>
    </row>
    <row r="424" spans="1:13">
      <c r="A424" s="28">
        <v>4690</v>
      </c>
      <c r="B424" t="s">
        <v>382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397</v>
      </c>
      <c r="I424" t="s">
        <v>397</v>
      </c>
      <c r="J424">
        <v>410695</v>
      </c>
      <c r="K424">
        <v>0.24</v>
      </c>
      <c r="L424">
        <v>3000</v>
      </c>
      <c r="M424">
        <v>3.05</v>
      </c>
    </row>
    <row r="425" spans="1:13">
      <c r="A425" s="28">
        <v>17390</v>
      </c>
      <c r="B425" t="s">
        <v>383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397</v>
      </c>
      <c r="I425" t="s">
        <v>397</v>
      </c>
      <c r="J425">
        <v>270188</v>
      </c>
      <c r="K425">
        <v>0.21</v>
      </c>
      <c r="L425">
        <v>1750</v>
      </c>
      <c r="M425">
        <v>3.04</v>
      </c>
    </row>
    <row r="426" spans="1:13">
      <c r="A426" s="28">
        <v>9155</v>
      </c>
      <c r="B426" t="s">
        <v>575</v>
      </c>
      <c r="C426">
        <v>70800</v>
      </c>
      <c r="D426">
        <v>500</v>
      </c>
      <c r="E426">
        <v>0.71</v>
      </c>
      <c r="F426" t="s">
        <v>397</v>
      </c>
      <c r="G426" t="s">
        <v>397</v>
      </c>
      <c r="H426" t="s">
        <v>397</v>
      </c>
      <c r="I426" t="s">
        <v>397</v>
      </c>
      <c r="J426" t="s">
        <v>397</v>
      </c>
      <c r="K426" t="s">
        <v>397</v>
      </c>
      <c r="L426">
        <v>2150</v>
      </c>
      <c r="M426">
        <v>3.04</v>
      </c>
    </row>
    <row r="427" spans="1:13">
      <c r="A427" s="28">
        <v>49720</v>
      </c>
      <c r="B427" t="s">
        <v>576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>
      <c r="A428" s="28">
        <v>39420</v>
      </c>
      <c r="B428" t="s">
        <v>577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397</v>
      </c>
      <c r="I428" t="s">
        <v>397</v>
      </c>
      <c r="J428">
        <v>2251</v>
      </c>
      <c r="K428">
        <v>1.17</v>
      </c>
      <c r="L428">
        <v>80</v>
      </c>
      <c r="M428">
        <v>3.03</v>
      </c>
    </row>
    <row r="429" spans="1:1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>
      <c r="A430" s="28">
        <v>130580</v>
      </c>
      <c r="B430" t="s">
        <v>578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397</v>
      </c>
      <c r="I430" t="s">
        <v>397</v>
      </c>
      <c r="J430">
        <v>5448</v>
      </c>
      <c r="K430">
        <v>1.1000000000000001</v>
      </c>
      <c r="L430">
        <v>182</v>
      </c>
      <c r="M430">
        <v>3.03</v>
      </c>
    </row>
    <row r="431" spans="1:13">
      <c r="A431" s="28" t="s">
        <v>579</v>
      </c>
      <c r="B431" t="s">
        <v>580</v>
      </c>
      <c r="C431">
        <v>5790</v>
      </c>
      <c r="D431">
        <v>-100</v>
      </c>
      <c r="E431">
        <v>-1.7</v>
      </c>
      <c r="F431" t="s">
        <v>397</v>
      </c>
      <c r="G431" t="s">
        <v>397</v>
      </c>
      <c r="H431" t="s">
        <v>397</v>
      </c>
      <c r="I431" t="s">
        <v>397</v>
      </c>
      <c r="J431" t="s">
        <v>397</v>
      </c>
      <c r="K431" t="s">
        <v>397</v>
      </c>
      <c r="L431">
        <v>175</v>
      </c>
      <c r="M431">
        <v>3.02</v>
      </c>
    </row>
    <row r="432" spans="1:13">
      <c r="A432" s="28">
        <v>53690</v>
      </c>
      <c r="B432" t="s">
        <v>581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397</v>
      </c>
      <c r="I432" t="s">
        <v>397</v>
      </c>
      <c r="J432">
        <v>17414</v>
      </c>
      <c r="K432">
        <v>1.05</v>
      </c>
      <c r="L432">
        <v>550</v>
      </c>
      <c r="M432">
        <v>3.02</v>
      </c>
    </row>
    <row r="433" spans="1:13">
      <c r="A433" s="28">
        <v>4020</v>
      </c>
      <c r="B433" t="s">
        <v>582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>
      <c r="A434" s="28">
        <v>36800</v>
      </c>
      <c r="B434" t="s">
        <v>583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>
      <c r="A435" s="28">
        <v>5610</v>
      </c>
      <c r="B435" t="s">
        <v>584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397</v>
      </c>
      <c r="I436" t="s">
        <v>397</v>
      </c>
      <c r="J436">
        <v>16001</v>
      </c>
      <c r="K436">
        <v>0.52</v>
      </c>
      <c r="L436">
        <v>250</v>
      </c>
      <c r="M436">
        <v>3.02</v>
      </c>
    </row>
    <row r="437" spans="1:13">
      <c r="A437" s="28">
        <v>86280</v>
      </c>
      <c r="B437" t="s">
        <v>585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>
      <c r="A438" s="28">
        <v>23450</v>
      </c>
      <c r="B438" t="s">
        <v>586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397</v>
      </c>
      <c r="I438" t="s">
        <v>397</v>
      </c>
      <c r="J438">
        <v>14281</v>
      </c>
      <c r="K438">
        <v>2.04</v>
      </c>
      <c r="L438">
        <v>875</v>
      </c>
      <c r="M438">
        <v>3.01</v>
      </c>
    </row>
    <row r="439" spans="1:13">
      <c r="A439" s="28">
        <v>117580</v>
      </c>
      <c r="B439" t="s">
        <v>587</v>
      </c>
      <c r="C439">
        <v>8340</v>
      </c>
      <c r="D439">
        <v>110</v>
      </c>
      <c r="E439">
        <v>1.34</v>
      </c>
      <c r="F439" t="s">
        <v>397</v>
      </c>
      <c r="G439" t="s">
        <v>397</v>
      </c>
      <c r="H439" t="s">
        <v>397</v>
      </c>
      <c r="I439" t="s">
        <v>397</v>
      </c>
      <c r="J439">
        <v>11539</v>
      </c>
      <c r="K439">
        <v>0.72</v>
      </c>
      <c r="L439">
        <v>250</v>
      </c>
      <c r="M439">
        <v>3</v>
      </c>
    </row>
    <row r="440" spans="1:13">
      <c r="A440" s="28">
        <v>2170</v>
      </c>
      <c r="B440" t="s">
        <v>588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397</v>
      </c>
      <c r="I440" t="s">
        <v>397</v>
      </c>
      <c r="J440">
        <v>147462</v>
      </c>
      <c r="K440">
        <v>0.34</v>
      </c>
      <c r="L440">
        <v>1500</v>
      </c>
      <c r="M440">
        <v>2.99</v>
      </c>
    </row>
    <row r="441" spans="1:13">
      <c r="A441" s="28">
        <v>3570</v>
      </c>
      <c r="B441" t="s">
        <v>589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397</v>
      </c>
      <c r="I441" t="s">
        <v>397</v>
      </c>
      <c r="J441">
        <v>29430</v>
      </c>
      <c r="K441">
        <v>0.56999999999999995</v>
      </c>
      <c r="L441">
        <v>500</v>
      </c>
      <c r="M441">
        <v>2.99</v>
      </c>
    </row>
    <row r="442" spans="1:13">
      <c r="A442" s="28">
        <v>267980</v>
      </c>
      <c r="B442" t="s">
        <v>590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>
      <c r="A443" s="28">
        <v>24880</v>
      </c>
      <c r="B443" t="s">
        <v>591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397</v>
      </c>
      <c r="I443" t="s">
        <v>397</v>
      </c>
      <c r="J443">
        <v>10147</v>
      </c>
      <c r="K443">
        <v>0.46</v>
      </c>
      <c r="L443">
        <v>140</v>
      </c>
      <c r="M443">
        <v>2.99</v>
      </c>
    </row>
    <row r="444" spans="1:13">
      <c r="A444" s="28">
        <v>990</v>
      </c>
      <c r="B444" t="s">
        <v>592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>
      <c r="A445" s="28">
        <v>38500</v>
      </c>
      <c r="B445" t="s">
        <v>593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397</v>
      </c>
      <c r="I445" t="s">
        <v>397</v>
      </c>
      <c r="J445">
        <v>6403</v>
      </c>
      <c r="K445">
        <v>0.47</v>
      </c>
      <c r="L445">
        <v>90</v>
      </c>
      <c r="M445">
        <v>2.98</v>
      </c>
    </row>
    <row r="446" spans="1:13">
      <c r="A446" s="28">
        <v>130660</v>
      </c>
      <c r="B446" t="s">
        <v>594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397</v>
      </c>
      <c r="I446" t="s">
        <v>397</v>
      </c>
      <c r="J446">
        <v>2947</v>
      </c>
      <c r="K446">
        <v>2.61</v>
      </c>
      <c r="L446">
        <v>228</v>
      </c>
      <c r="M446">
        <v>2.96</v>
      </c>
    </row>
    <row r="447" spans="1:13">
      <c r="A447" s="28">
        <v>33500</v>
      </c>
      <c r="B447" t="s">
        <v>595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>
      <c r="A448" s="28">
        <v>5750</v>
      </c>
      <c r="B448" t="s">
        <v>596</v>
      </c>
      <c r="C448">
        <v>3765</v>
      </c>
      <c r="D448">
        <v>5</v>
      </c>
      <c r="E448">
        <v>0.13</v>
      </c>
      <c r="F448" t="s">
        <v>397</v>
      </c>
      <c r="G448" t="s">
        <v>397</v>
      </c>
      <c r="H448" t="s">
        <v>397</v>
      </c>
      <c r="I448" t="s">
        <v>397</v>
      </c>
      <c r="J448">
        <v>9514</v>
      </c>
      <c r="K448">
        <v>0.4</v>
      </c>
      <c r="L448">
        <v>110</v>
      </c>
      <c r="M448">
        <v>2.92</v>
      </c>
    </row>
    <row r="449" spans="1:13">
      <c r="A449" s="28">
        <v>267850</v>
      </c>
      <c r="B449" t="s">
        <v>597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397</v>
      </c>
      <c r="I449" t="s">
        <v>397</v>
      </c>
      <c r="J449">
        <v>14410</v>
      </c>
      <c r="K449">
        <v>1.19</v>
      </c>
      <c r="L449">
        <v>500</v>
      </c>
      <c r="M449">
        <v>2.92</v>
      </c>
    </row>
    <row r="450" spans="1:13">
      <c r="A450" s="28">
        <v>34810</v>
      </c>
      <c r="B450" t="s">
        <v>598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397</v>
      </c>
      <c r="I450" t="s">
        <v>397</v>
      </c>
      <c r="J450">
        <v>30189</v>
      </c>
      <c r="K450">
        <v>0.26</v>
      </c>
      <c r="L450">
        <v>225</v>
      </c>
      <c r="M450">
        <v>2.91</v>
      </c>
    </row>
    <row r="451" spans="1:13">
      <c r="A451" s="28">
        <v>18120</v>
      </c>
      <c r="B451" t="s">
        <v>599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397</v>
      </c>
      <c r="I451" t="s">
        <v>397</v>
      </c>
      <c r="J451">
        <v>11200</v>
      </c>
      <c r="K451">
        <v>1.38</v>
      </c>
      <c r="L451">
        <v>450</v>
      </c>
      <c r="M451">
        <v>2.9</v>
      </c>
    </row>
    <row r="452" spans="1:13">
      <c r="A452" s="28">
        <v>72950</v>
      </c>
      <c r="B452" t="s">
        <v>600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397</v>
      </c>
      <c r="I452" t="s">
        <v>397</v>
      </c>
      <c r="J452">
        <v>8591</v>
      </c>
      <c r="K452">
        <v>0.67</v>
      </c>
      <c r="L452">
        <v>168</v>
      </c>
      <c r="M452">
        <v>2.9</v>
      </c>
    </row>
    <row r="453" spans="1:1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397</v>
      </c>
      <c r="I453" t="s">
        <v>397</v>
      </c>
      <c r="J453">
        <v>10818</v>
      </c>
      <c r="K453">
        <v>0.8</v>
      </c>
      <c r="L453">
        <v>250</v>
      </c>
      <c r="M453">
        <v>2.9</v>
      </c>
    </row>
    <row r="454" spans="1:13">
      <c r="A454" s="28">
        <v>2380</v>
      </c>
      <c r="B454" t="s">
        <v>601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>
      <c r="A455" s="28">
        <v>11170</v>
      </c>
      <c r="B455" t="s">
        <v>602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>
      <c r="A456" s="28">
        <v>375500</v>
      </c>
      <c r="B456" t="s">
        <v>603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397</v>
      </c>
      <c r="I457" t="s">
        <v>397</v>
      </c>
      <c r="J457">
        <v>19636</v>
      </c>
      <c r="K457">
        <v>0.35</v>
      </c>
      <c r="L457">
        <v>200</v>
      </c>
      <c r="M457">
        <v>2.87</v>
      </c>
    </row>
    <row r="458" spans="1:13">
      <c r="A458" s="28">
        <v>5380</v>
      </c>
      <c r="B458" t="s">
        <v>604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>
      <c r="A459" s="28">
        <v>2390</v>
      </c>
      <c r="B459" t="s">
        <v>605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397</v>
      </c>
      <c r="I459" t="s">
        <v>397</v>
      </c>
      <c r="J459">
        <v>27596</v>
      </c>
      <c r="K459">
        <v>0.51</v>
      </c>
      <c r="L459">
        <v>400</v>
      </c>
      <c r="M459">
        <v>2.87</v>
      </c>
    </row>
    <row r="460" spans="1:13">
      <c r="A460" s="28">
        <v>42670</v>
      </c>
      <c r="B460" t="s">
        <v>606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>
      <c r="A461" s="28">
        <v>273640</v>
      </c>
      <c r="B461" t="s">
        <v>607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397</v>
      </c>
      <c r="I461" t="s">
        <v>397</v>
      </c>
      <c r="J461">
        <v>5419</v>
      </c>
      <c r="K461">
        <v>2.4500000000000002</v>
      </c>
      <c r="L461">
        <v>380</v>
      </c>
      <c r="M461">
        <v>2.86</v>
      </c>
    </row>
    <row r="462" spans="1:13">
      <c r="A462" s="28">
        <v>25550</v>
      </c>
      <c r="B462" t="s">
        <v>608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397</v>
      </c>
      <c r="I462" t="s">
        <v>397</v>
      </c>
      <c r="J462">
        <v>5086</v>
      </c>
      <c r="K462">
        <v>0.69</v>
      </c>
      <c r="L462">
        <v>100</v>
      </c>
      <c r="M462">
        <v>2.86</v>
      </c>
    </row>
    <row r="463" spans="1:13">
      <c r="A463" s="28">
        <v>27410</v>
      </c>
      <c r="B463" t="s">
        <v>609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>
      <c r="A464" s="28">
        <v>9180</v>
      </c>
      <c r="B464" t="s">
        <v>610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397</v>
      </c>
      <c r="I464" t="s">
        <v>397</v>
      </c>
      <c r="J464">
        <v>3726</v>
      </c>
      <c r="K464">
        <v>0.66</v>
      </c>
      <c r="L464">
        <v>70</v>
      </c>
      <c r="M464">
        <v>2.85</v>
      </c>
    </row>
    <row r="465" spans="1:13">
      <c r="A465" s="28">
        <v>139480</v>
      </c>
      <c r="B465" t="s">
        <v>611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>
      <c r="A466" s="28">
        <v>6040</v>
      </c>
      <c r="B466" t="s">
        <v>612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>
      <c r="A467" s="28">
        <v>5180</v>
      </c>
      <c r="B467" t="s">
        <v>613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>
      <c r="A468" s="28">
        <v>67920</v>
      </c>
      <c r="B468" t="s">
        <v>614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397</v>
      </c>
      <c r="I468" t="s">
        <v>397</v>
      </c>
      <c r="J468">
        <v>6660</v>
      </c>
      <c r="K468">
        <v>0.96</v>
      </c>
      <c r="L468">
        <v>180</v>
      </c>
      <c r="M468">
        <v>2.81</v>
      </c>
    </row>
    <row r="469" spans="1:13">
      <c r="A469" s="28">
        <v>92730</v>
      </c>
      <c r="B469" t="s">
        <v>615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>
      <c r="A470" s="28">
        <v>39340</v>
      </c>
      <c r="B470" t="s">
        <v>616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397</v>
      </c>
      <c r="I470" t="s">
        <v>397</v>
      </c>
      <c r="J470">
        <v>7903</v>
      </c>
      <c r="K470">
        <v>0.72</v>
      </c>
      <c r="L470">
        <v>160</v>
      </c>
      <c r="M470">
        <v>2.81</v>
      </c>
    </row>
    <row r="471" spans="1:13">
      <c r="A471" s="28">
        <v>177830</v>
      </c>
      <c r="B471" t="s">
        <v>617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397</v>
      </c>
      <c r="I471" t="s">
        <v>397</v>
      </c>
      <c r="J471">
        <v>6099</v>
      </c>
      <c r="K471">
        <v>0.57999999999999996</v>
      </c>
      <c r="L471">
        <v>100</v>
      </c>
      <c r="M471">
        <v>2.81</v>
      </c>
    </row>
    <row r="472" spans="1:13">
      <c r="A472" s="28">
        <v>221800</v>
      </c>
      <c r="B472" t="s">
        <v>618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397</v>
      </c>
      <c r="I472" t="s">
        <v>397</v>
      </c>
      <c r="J472">
        <v>3350</v>
      </c>
      <c r="K472">
        <v>1.33</v>
      </c>
      <c r="L472">
        <v>125</v>
      </c>
      <c r="M472">
        <v>2.81</v>
      </c>
    </row>
    <row r="473" spans="1:13">
      <c r="A473" s="28">
        <v>66620</v>
      </c>
      <c r="B473" t="s">
        <v>619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397</v>
      </c>
      <c r="I473" t="s">
        <v>397</v>
      </c>
      <c r="J473">
        <v>21204</v>
      </c>
      <c r="K473">
        <v>0.67</v>
      </c>
      <c r="L473">
        <v>400</v>
      </c>
      <c r="M473">
        <v>2.8</v>
      </c>
    </row>
    <row r="474" spans="1:13">
      <c r="A474" s="28">
        <v>270</v>
      </c>
      <c r="B474" t="s">
        <v>620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>
      <c r="A475" s="28">
        <v>1540</v>
      </c>
      <c r="B475" t="s">
        <v>621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397</v>
      </c>
      <c r="I475" t="s">
        <v>397</v>
      </c>
      <c r="J475">
        <v>13620</v>
      </c>
      <c r="K475">
        <v>0.57999999999999996</v>
      </c>
      <c r="L475">
        <v>220</v>
      </c>
      <c r="M475">
        <v>2.79</v>
      </c>
    </row>
    <row r="476" spans="1:13">
      <c r="A476" s="28">
        <v>49430</v>
      </c>
      <c r="B476" t="s">
        <v>622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397</v>
      </c>
      <c r="I476" t="s">
        <v>397</v>
      </c>
      <c r="J476">
        <v>21650</v>
      </c>
      <c r="K476">
        <v>0.42</v>
      </c>
      <c r="L476">
        <v>250</v>
      </c>
      <c r="M476">
        <v>2.77</v>
      </c>
    </row>
    <row r="477" spans="1:13">
      <c r="A477" s="28">
        <v>5710</v>
      </c>
      <c r="B477" t="s">
        <v>623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397</v>
      </c>
      <c r="I477" t="s">
        <v>397</v>
      </c>
      <c r="J477">
        <v>20844</v>
      </c>
      <c r="K477">
        <v>0.3</v>
      </c>
      <c r="L477">
        <v>175</v>
      </c>
      <c r="M477">
        <v>2.77</v>
      </c>
    </row>
    <row r="478" spans="1:13">
      <c r="A478" s="28">
        <v>90350</v>
      </c>
      <c r="B478" t="s">
        <v>624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397</v>
      </c>
      <c r="I478" t="s">
        <v>397</v>
      </c>
      <c r="J478">
        <v>17634</v>
      </c>
      <c r="K478">
        <v>0.56000000000000005</v>
      </c>
      <c r="L478">
        <v>275</v>
      </c>
      <c r="M478">
        <v>2.77</v>
      </c>
    </row>
    <row r="479" spans="1:13">
      <c r="A479" s="28">
        <v>282720</v>
      </c>
      <c r="B479" t="s">
        <v>625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397</v>
      </c>
      <c r="I479" t="s">
        <v>397</v>
      </c>
      <c r="J479">
        <v>6763</v>
      </c>
      <c r="K479">
        <v>1.81</v>
      </c>
      <c r="L479">
        <v>339</v>
      </c>
      <c r="M479">
        <v>2.77</v>
      </c>
    </row>
    <row r="480" spans="1:13">
      <c r="A480" s="28">
        <v>49070</v>
      </c>
      <c r="B480" t="s">
        <v>626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>
      <c r="A482" s="28">
        <v>26890</v>
      </c>
      <c r="B482" t="s">
        <v>627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397</v>
      </c>
      <c r="I482" t="s">
        <v>397</v>
      </c>
      <c r="J482">
        <v>6347</v>
      </c>
      <c r="K482">
        <v>1.1499999999999999</v>
      </c>
      <c r="L482">
        <v>200</v>
      </c>
      <c r="M482">
        <v>2.74</v>
      </c>
    </row>
    <row r="483" spans="1:13">
      <c r="A483" s="28">
        <v>123700</v>
      </c>
      <c r="B483" t="s">
        <v>628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397</v>
      </c>
      <c r="I483" t="s">
        <v>397</v>
      </c>
      <c r="J483">
        <v>11352</v>
      </c>
      <c r="K483">
        <v>0.32</v>
      </c>
      <c r="L483">
        <v>100</v>
      </c>
      <c r="M483">
        <v>2.74</v>
      </c>
    </row>
    <row r="484" spans="1:13">
      <c r="A484" s="28">
        <v>230360</v>
      </c>
      <c r="B484" t="s">
        <v>629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>
      <c r="A485" s="28">
        <v>14130</v>
      </c>
      <c r="B485" t="s">
        <v>630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397</v>
      </c>
      <c r="I485" t="s">
        <v>397</v>
      </c>
      <c r="J485">
        <v>8649</v>
      </c>
      <c r="K485">
        <v>0.55000000000000004</v>
      </c>
      <c r="L485">
        <v>130</v>
      </c>
      <c r="M485">
        <v>2.73</v>
      </c>
    </row>
    <row r="486" spans="1:13">
      <c r="A486" s="28">
        <v>14570</v>
      </c>
      <c r="B486" t="s">
        <v>631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397</v>
      </c>
      <c r="I486" t="s">
        <v>397</v>
      </c>
      <c r="J486">
        <v>7855</v>
      </c>
      <c r="K486">
        <v>0.84</v>
      </c>
      <c r="L486">
        <v>180</v>
      </c>
      <c r="M486">
        <v>2.72</v>
      </c>
    </row>
    <row r="487" spans="1:13">
      <c r="A487" s="28">
        <v>2200</v>
      </c>
      <c r="B487" t="s">
        <v>632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397</v>
      </c>
      <c r="I487" t="s">
        <v>397</v>
      </c>
      <c r="J487">
        <v>7340</v>
      </c>
      <c r="K487">
        <v>0.4</v>
      </c>
      <c r="L487">
        <v>80</v>
      </c>
      <c r="M487">
        <v>2.71</v>
      </c>
    </row>
    <row r="488" spans="1:13">
      <c r="A488" s="28">
        <v>14825</v>
      </c>
      <c r="B488" t="s">
        <v>633</v>
      </c>
      <c r="C488">
        <v>23950</v>
      </c>
      <c r="D488">
        <v>-150</v>
      </c>
      <c r="E488">
        <v>-0.62</v>
      </c>
      <c r="F488" t="s">
        <v>397</v>
      </c>
      <c r="G488" t="s">
        <v>397</v>
      </c>
      <c r="H488" t="s">
        <v>397</v>
      </c>
      <c r="I488" t="s">
        <v>397</v>
      </c>
      <c r="J488" t="s">
        <v>397</v>
      </c>
      <c r="K488" t="s">
        <v>397</v>
      </c>
      <c r="L488">
        <v>650</v>
      </c>
      <c r="M488">
        <v>2.71</v>
      </c>
    </row>
    <row r="489" spans="1:13">
      <c r="A489" s="28">
        <v>41650</v>
      </c>
      <c r="B489" t="s">
        <v>634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397</v>
      </c>
      <c r="I489" t="s">
        <v>397</v>
      </c>
      <c r="J489">
        <v>9851</v>
      </c>
      <c r="K489">
        <v>0.38</v>
      </c>
      <c r="L489">
        <v>100</v>
      </c>
      <c r="M489">
        <v>2.7</v>
      </c>
    </row>
    <row r="490" spans="1:13">
      <c r="A490" s="28">
        <v>298540</v>
      </c>
      <c r="B490" t="s">
        <v>635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>
      <c r="A491" s="28">
        <v>225530</v>
      </c>
      <c r="B491" t="s">
        <v>636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397</v>
      </c>
      <c r="I491" t="s">
        <v>397</v>
      </c>
      <c r="J491">
        <v>2447</v>
      </c>
      <c r="K491">
        <v>2.27</v>
      </c>
      <c r="L491">
        <v>150</v>
      </c>
      <c r="M491">
        <v>2.7</v>
      </c>
    </row>
    <row r="492" spans="1:13">
      <c r="A492" s="28">
        <v>250000</v>
      </c>
      <c r="B492" t="s">
        <v>637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397</v>
      </c>
      <c r="I492" t="s">
        <v>397</v>
      </c>
      <c r="J492">
        <v>11667</v>
      </c>
      <c r="K492">
        <v>0.96</v>
      </c>
      <c r="L492">
        <v>300</v>
      </c>
      <c r="M492">
        <v>2.69</v>
      </c>
    </row>
    <row r="493" spans="1:13">
      <c r="A493" s="28">
        <v>5390</v>
      </c>
      <c r="B493" t="s">
        <v>638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397</v>
      </c>
      <c r="I493" t="s">
        <v>397</v>
      </c>
      <c r="J493">
        <v>2950</v>
      </c>
      <c r="K493">
        <v>0.63</v>
      </c>
      <c r="L493">
        <v>50</v>
      </c>
      <c r="M493">
        <v>2.69</v>
      </c>
    </row>
    <row r="494" spans="1:13">
      <c r="A494" s="28" t="s">
        <v>639</v>
      </c>
      <c r="B494" t="s">
        <v>640</v>
      </c>
      <c r="C494">
        <v>8540</v>
      </c>
      <c r="D494">
        <v>-110</v>
      </c>
      <c r="E494">
        <v>-1.27</v>
      </c>
      <c r="F494" t="s">
        <v>397</v>
      </c>
      <c r="G494" t="s">
        <v>397</v>
      </c>
      <c r="H494" t="s">
        <v>397</v>
      </c>
      <c r="I494" t="s">
        <v>397</v>
      </c>
      <c r="J494" t="s">
        <v>397</v>
      </c>
      <c r="K494" t="s">
        <v>397</v>
      </c>
      <c r="L494">
        <v>230</v>
      </c>
      <c r="M494">
        <v>2.69</v>
      </c>
    </row>
    <row r="495" spans="1:13">
      <c r="A495" s="28">
        <v>65530</v>
      </c>
      <c r="B495" t="s">
        <v>641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397</v>
      </c>
      <c r="I495" t="s">
        <v>397</v>
      </c>
      <c r="J495">
        <v>1581</v>
      </c>
      <c r="K495">
        <v>1.18</v>
      </c>
      <c r="L495">
        <v>50</v>
      </c>
      <c r="M495">
        <v>2.68</v>
      </c>
    </row>
    <row r="496" spans="1:13">
      <c r="A496" s="28">
        <v>126720</v>
      </c>
      <c r="B496" t="s">
        <v>642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397</v>
      </c>
      <c r="I496" t="s">
        <v>397</v>
      </c>
      <c r="J496">
        <v>32090</v>
      </c>
      <c r="K496">
        <v>0.7</v>
      </c>
      <c r="L496">
        <v>600</v>
      </c>
      <c r="M496">
        <v>2.68</v>
      </c>
    </row>
    <row r="497" spans="1:13">
      <c r="A497" s="28">
        <v>880</v>
      </c>
      <c r="B497" t="s">
        <v>643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>
      <c r="A498" s="28">
        <v>94820</v>
      </c>
      <c r="B498" t="s">
        <v>644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397</v>
      </c>
      <c r="I498" t="s">
        <v>397</v>
      </c>
      <c r="J498">
        <v>8318</v>
      </c>
      <c r="K498">
        <v>1.48</v>
      </c>
      <c r="L498">
        <v>330</v>
      </c>
      <c r="M498">
        <v>2.68</v>
      </c>
    </row>
    <row r="499" spans="1:13">
      <c r="A499" s="28">
        <v>131090</v>
      </c>
      <c r="B499" t="s">
        <v>645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397</v>
      </c>
      <c r="I499" t="s">
        <v>397</v>
      </c>
      <c r="J499">
        <v>1018</v>
      </c>
      <c r="K499">
        <v>0.92</v>
      </c>
      <c r="L499">
        <v>25</v>
      </c>
      <c r="M499">
        <v>2.67</v>
      </c>
    </row>
    <row r="500" spans="1:13">
      <c r="A500" s="28">
        <v>34730</v>
      </c>
      <c r="B500" t="s">
        <v>646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>
      <c r="A501" s="28">
        <v>16710</v>
      </c>
      <c r="B501" t="s">
        <v>647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397</v>
      </c>
      <c r="I501" t="s">
        <v>397</v>
      </c>
      <c r="J501">
        <v>29781</v>
      </c>
      <c r="K501">
        <v>0.31</v>
      </c>
      <c r="L501">
        <v>250</v>
      </c>
      <c r="M501">
        <v>2.67</v>
      </c>
    </row>
    <row r="502" spans="1:13">
      <c r="A502" s="28">
        <v>60380</v>
      </c>
      <c r="B502" t="s">
        <v>648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397</v>
      </c>
      <c r="I502" t="s">
        <v>397</v>
      </c>
      <c r="J502">
        <v>3966</v>
      </c>
      <c r="K502">
        <v>0.47</v>
      </c>
      <c r="L502">
        <v>50</v>
      </c>
      <c r="M502">
        <v>2.67</v>
      </c>
    </row>
    <row r="503" spans="1:13">
      <c r="A503" s="28">
        <v>23590</v>
      </c>
      <c r="B503" t="s">
        <v>649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397</v>
      </c>
      <c r="I503" t="s">
        <v>397</v>
      </c>
      <c r="J503">
        <v>53655</v>
      </c>
      <c r="K503">
        <v>0.42</v>
      </c>
      <c r="L503">
        <v>600</v>
      </c>
      <c r="M503">
        <v>2.67</v>
      </c>
    </row>
    <row r="504" spans="1:13">
      <c r="A504" s="28">
        <v>241560</v>
      </c>
      <c r="B504" t="s">
        <v>650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>
      <c r="A505" s="28">
        <v>90150</v>
      </c>
      <c r="B505" t="s">
        <v>651</v>
      </c>
      <c r="C505">
        <v>1318</v>
      </c>
      <c r="D505">
        <v>-27</v>
      </c>
      <c r="E505">
        <v>-2.0099999999999998</v>
      </c>
      <c r="F505" t="s">
        <v>397</v>
      </c>
      <c r="G505" t="s">
        <v>397</v>
      </c>
      <c r="H505" t="s">
        <v>397</v>
      </c>
      <c r="I505" t="s">
        <v>397</v>
      </c>
      <c r="J505">
        <v>1907</v>
      </c>
      <c r="K505">
        <v>0.69</v>
      </c>
      <c r="L505">
        <v>35</v>
      </c>
      <c r="M505">
        <v>2.66</v>
      </c>
    </row>
    <row r="506" spans="1:13">
      <c r="A506" s="28">
        <v>51905</v>
      </c>
      <c r="B506" t="s">
        <v>652</v>
      </c>
      <c r="C506">
        <v>152000</v>
      </c>
      <c r="D506">
        <v>-7100</v>
      </c>
      <c r="E506">
        <v>-4.46</v>
      </c>
      <c r="F506" t="s">
        <v>397</v>
      </c>
      <c r="G506" t="s">
        <v>397</v>
      </c>
      <c r="H506" t="s">
        <v>397</v>
      </c>
      <c r="I506" t="s">
        <v>397</v>
      </c>
      <c r="J506" t="s">
        <v>397</v>
      </c>
      <c r="K506" t="s">
        <v>397</v>
      </c>
      <c r="L506">
        <v>4050</v>
      </c>
      <c r="M506">
        <v>2.66</v>
      </c>
    </row>
    <row r="507" spans="1:13">
      <c r="A507" s="28">
        <v>14830</v>
      </c>
      <c r="B507" t="s">
        <v>653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>
      <c r="A508" s="28">
        <v>145990</v>
      </c>
      <c r="B508" t="s">
        <v>654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397</v>
      </c>
      <c r="I508" t="s">
        <v>397</v>
      </c>
      <c r="J508">
        <v>136968</v>
      </c>
      <c r="K508">
        <v>0.35</v>
      </c>
      <c r="L508">
        <v>1250</v>
      </c>
      <c r="M508">
        <v>2.64</v>
      </c>
    </row>
    <row r="509" spans="1:13">
      <c r="A509" s="28">
        <v>38540</v>
      </c>
      <c r="B509" t="s">
        <v>655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397</v>
      </c>
      <c r="I509" t="s">
        <v>397</v>
      </c>
      <c r="J509">
        <v>13665</v>
      </c>
      <c r="K509">
        <v>0.28000000000000003</v>
      </c>
      <c r="L509">
        <v>100</v>
      </c>
      <c r="M509">
        <v>2.63</v>
      </c>
    </row>
    <row r="510" spans="1:13">
      <c r="A510" s="28">
        <v>322000</v>
      </c>
      <c r="B510" t="s">
        <v>656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397</v>
      </c>
      <c r="I510" t="s">
        <v>397</v>
      </c>
      <c r="J510">
        <v>34065</v>
      </c>
      <c r="K510">
        <v>0.67</v>
      </c>
      <c r="L510">
        <v>600</v>
      </c>
      <c r="M510">
        <v>2.63</v>
      </c>
    </row>
    <row r="511" spans="1:13">
      <c r="A511" s="28">
        <v>5720</v>
      </c>
      <c r="B511" t="s">
        <v>657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397</v>
      </c>
      <c r="I511" t="s">
        <v>397</v>
      </c>
      <c r="J511">
        <v>22295</v>
      </c>
      <c r="K511">
        <v>0.19</v>
      </c>
      <c r="L511">
        <v>110</v>
      </c>
      <c r="M511">
        <v>2.63</v>
      </c>
    </row>
    <row r="512" spans="1:13">
      <c r="A512" s="28">
        <v>126560</v>
      </c>
      <c r="B512" t="s">
        <v>658</v>
      </c>
      <c r="C512">
        <v>3430</v>
      </c>
      <c r="D512">
        <v>0</v>
      </c>
      <c r="E512">
        <v>0</v>
      </c>
      <c r="F512" t="s">
        <v>397</v>
      </c>
      <c r="G512" t="s">
        <v>397</v>
      </c>
      <c r="H512" t="s">
        <v>397</v>
      </c>
      <c r="I512" t="s">
        <v>397</v>
      </c>
      <c r="J512">
        <v>6836</v>
      </c>
      <c r="K512">
        <v>0.5</v>
      </c>
      <c r="L512">
        <v>90</v>
      </c>
      <c r="M512">
        <v>2.62</v>
      </c>
    </row>
    <row r="513" spans="1:1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>
      <c r="A514" s="28">
        <v>5300</v>
      </c>
      <c r="B514" t="s">
        <v>659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>
      <c r="A515" s="28">
        <v>95610</v>
      </c>
      <c r="B515" t="s">
        <v>660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>
      <c r="A516" s="28">
        <v>126640</v>
      </c>
      <c r="B516" t="s">
        <v>661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397</v>
      </c>
      <c r="I516" t="s">
        <v>397</v>
      </c>
      <c r="J516">
        <v>2900</v>
      </c>
      <c r="K516">
        <v>0.53</v>
      </c>
      <c r="L516">
        <v>40</v>
      </c>
      <c r="M516">
        <v>2.59</v>
      </c>
    </row>
    <row r="517" spans="1:13">
      <c r="A517" s="28">
        <v>12620</v>
      </c>
      <c r="B517" t="s">
        <v>662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397</v>
      </c>
      <c r="I517" t="s">
        <v>397</v>
      </c>
      <c r="J517">
        <v>33693</v>
      </c>
      <c r="K517">
        <v>0.25</v>
      </c>
      <c r="L517">
        <v>220</v>
      </c>
      <c r="M517">
        <v>2.59</v>
      </c>
    </row>
    <row r="518" spans="1:13">
      <c r="A518" s="28">
        <v>2320</v>
      </c>
      <c r="B518" t="s">
        <v>663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>
      <c r="A519" s="28">
        <v>105630</v>
      </c>
      <c r="B519" t="s">
        <v>664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>
      <c r="A520" s="28">
        <v>84690</v>
      </c>
      <c r="B520" t="s">
        <v>665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397</v>
      </c>
      <c r="I520" t="s">
        <v>397</v>
      </c>
      <c r="J520">
        <v>20315</v>
      </c>
      <c r="K520">
        <v>0.52</v>
      </c>
      <c r="L520">
        <v>270</v>
      </c>
      <c r="M520">
        <v>2.57</v>
      </c>
    </row>
    <row r="521" spans="1:13">
      <c r="A521" s="28">
        <v>79170</v>
      </c>
      <c r="B521" t="s">
        <v>666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397</v>
      </c>
      <c r="I521" t="s">
        <v>397</v>
      </c>
      <c r="J521">
        <v>11955</v>
      </c>
      <c r="K521">
        <v>0.65</v>
      </c>
      <c r="L521">
        <v>200</v>
      </c>
      <c r="M521">
        <v>2.57</v>
      </c>
    </row>
    <row r="522" spans="1:13">
      <c r="A522" s="28">
        <v>885</v>
      </c>
      <c r="B522" t="s">
        <v>667</v>
      </c>
      <c r="C522">
        <v>31250</v>
      </c>
      <c r="D522">
        <v>200</v>
      </c>
      <c r="E522">
        <v>0.64</v>
      </c>
      <c r="F522" t="s">
        <v>397</v>
      </c>
      <c r="G522" t="s">
        <v>397</v>
      </c>
      <c r="H522" t="s">
        <v>397</v>
      </c>
      <c r="I522" t="s">
        <v>397</v>
      </c>
      <c r="J522" t="s">
        <v>397</v>
      </c>
      <c r="K522" t="s">
        <v>397</v>
      </c>
      <c r="L522">
        <v>800</v>
      </c>
      <c r="M522">
        <v>2.56</v>
      </c>
    </row>
    <row r="523" spans="1:13">
      <c r="A523" s="28">
        <v>69960</v>
      </c>
      <c r="B523" t="s">
        <v>668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>
      <c r="A524" s="28">
        <v>234340</v>
      </c>
      <c r="B524" t="s">
        <v>669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>
      <c r="A525" s="28">
        <v>92300</v>
      </c>
      <c r="B525" t="s">
        <v>670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397</v>
      </c>
      <c r="I525" t="s">
        <v>397</v>
      </c>
      <c r="J525">
        <v>5041</v>
      </c>
      <c r="K525">
        <v>0.78</v>
      </c>
      <c r="L525">
        <v>100</v>
      </c>
      <c r="M525">
        <v>2.5499999999999998</v>
      </c>
    </row>
    <row r="526" spans="1:13">
      <c r="A526" s="28">
        <v>157</v>
      </c>
      <c r="B526" t="s">
        <v>671</v>
      </c>
      <c r="C526">
        <v>78600</v>
      </c>
      <c r="D526">
        <v>3500</v>
      </c>
      <c r="E526">
        <v>4.66</v>
      </c>
      <c r="F526" t="s">
        <v>397</v>
      </c>
      <c r="G526" t="s">
        <v>397</v>
      </c>
      <c r="H526" t="s">
        <v>397</v>
      </c>
      <c r="I526" t="s">
        <v>397</v>
      </c>
      <c r="J526" t="s">
        <v>397</v>
      </c>
      <c r="K526" t="s">
        <v>397</v>
      </c>
      <c r="L526">
        <v>2000</v>
      </c>
      <c r="M526">
        <v>2.54</v>
      </c>
    </row>
    <row r="527" spans="1:13">
      <c r="A527" s="28">
        <v>7370</v>
      </c>
      <c r="B527" t="s">
        <v>672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397</v>
      </c>
      <c r="I527" t="s">
        <v>397</v>
      </c>
      <c r="J527">
        <v>7199</v>
      </c>
      <c r="K527">
        <v>0.82</v>
      </c>
      <c r="L527">
        <v>150</v>
      </c>
      <c r="M527">
        <v>2.54</v>
      </c>
    </row>
    <row r="528" spans="1:13">
      <c r="A528" s="28">
        <v>35810</v>
      </c>
      <c r="B528" t="s">
        <v>673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397</v>
      </c>
      <c r="I528" t="s">
        <v>397</v>
      </c>
      <c r="J528">
        <v>8691</v>
      </c>
      <c r="K528">
        <v>0.34</v>
      </c>
      <c r="L528">
        <v>75</v>
      </c>
      <c r="M528">
        <v>2.5299999999999998</v>
      </c>
    </row>
    <row r="529" spans="1:13">
      <c r="A529" s="28">
        <v>100120</v>
      </c>
      <c r="B529" t="s">
        <v>674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>
      <c r="A530" s="28">
        <v>23800</v>
      </c>
      <c r="B530" t="s">
        <v>675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397</v>
      </c>
      <c r="I530" t="s">
        <v>397</v>
      </c>
      <c r="J530">
        <v>13364</v>
      </c>
      <c r="K530">
        <v>0.59</v>
      </c>
      <c r="L530">
        <v>200</v>
      </c>
      <c r="M530">
        <v>2.5299999999999998</v>
      </c>
    </row>
    <row r="531" spans="1:13">
      <c r="A531" s="28">
        <v>13520</v>
      </c>
      <c r="B531" t="s">
        <v>676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397</v>
      </c>
      <c r="I531" t="s">
        <v>397</v>
      </c>
      <c r="J531">
        <v>3752</v>
      </c>
      <c r="K531">
        <v>0.53</v>
      </c>
      <c r="L531">
        <v>50</v>
      </c>
      <c r="M531">
        <v>2.52</v>
      </c>
    </row>
    <row r="532" spans="1:13">
      <c r="A532" s="28">
        <v>373200</v>
      </c>
      <c r="B532" t="s">
        <v>677</v>
      </c>
      <c r="C532">
        <v>1987</v>
      </c>
      <c r="D532">
        <v>66</v>
      </c>
      <c r="E532">
        <v>3.44</v>
      </c>
      <c r="F532" t="s">
        <v>397</v>
      </c>
      <c r="G532" t="s">
        <v>397</v>
      </c>
      <c r="H532" t="s">
        <v>397</v>
      </c>
      <c r="I532" t="s">
        <v>397</v>
      </c>
      <c r="J532">
        <v>192</v>
      </c>
      <c r="K532">
        <v>10.35</v>
      </c>
      <c r="L532">
        <v>50</v>
      </c>
      <c r="M532">
        <v>2.52</v>
      </c>
    </row>
    <row r="533" spans="1:13">
      <c r="A533" s="28">
        <v>89470</v>
      </c>
      <c r="B533" t="s">
        <v>678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397</v>
      </c>
      <c r="I533" t="s">
        <v>397</v>
      </c>
      <c r="J533">
        <v>10618</v>
      </c>
      <c r="K533">
        <v>0.45</v>
      </c>
      <c r="L533">
        <v>120</v>
      </c>
      <c r="M533">
        <v>2.52</v>
      </c>
    </row>
    <row r="534" spans="1:13">
      <c r="A534" s="28">
        <v>260660</v>
      </c>
      <c r="B534" t="s">
        <v>679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397</v>
      </c>
      <c r="I534" t="s">
        <v>397</v>
      </c>
      <c r="J534">
        <v>5898</v>
      </c>
      <c r="K534">
        <v>0.88</v>
      </c>
      <c r="L534">
        <v>130</v>
      </c>
      <c r="M534">
        <v>2.5</v>
      </c>
    </row>
    <row r="535" spans="1:13">
      <c r="A535" s="28">
        <v>17510</v>
      </c>
      <c r="B535" t="s">
        <v>680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397</v>
      </c>
      <c r="I535" t="s">
        <v>397</v>
      </c>
      <c r="J535">
        <v>4901</v>
      </c>
      <c r="K535">
        <v>0.56999999999999995</v>
      </c>
      <c r="L535">
        <v>70</v>
      </c>
      <c r="M535">
        <v>2.5</v>
      </c>
    </row>
    <row r="536" spans="1:13">
      <c r="A536" s="28">
        <v>37350</v>
      </c>
      <c r="B536" t="s">
        <v>681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397</v>
      </c>
      <c r="I536" t="s">
        <v>397</v>
      </c>
      <c r="J536">
        <v>18176</v>
      </c>
      <c r="K536">
        <v>0.22</v>
      </c>
      <c r="L536">
        <v>100</v>
      </c>
      <c r="M536">
        <v>2.5</v>
      </c>
    </row>
    <row r="537" spans="1:13">
      <c r="A537" s="28">
        <v>6800</v>
      </c>
      <c r="B537" t="s">
        <v>682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>
      <c r="A538" s="28">
        <v>37330</v>
      </c>
      <c r="B538" t="s">
        <v>683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397</v>
      </c>
      <c r="I538" t="s">
        <v>397</v>
      </c>
      <c r="J538">
        <v>4306</v>
      </c>
      <c r="K538">
        <v>0.47</v>
      </c>
      <c r="L538">
        <v>50</v>
      </c>
      <c r="M538">
        <v>2.4900000000000002</v>
      </c>
    </row>
    <row r="539" spans="1:13">
      <c r="A539" s="28">
        <v>54930</v>
      </c>
      <c r="B539" t="s">
        <v>684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397</v>
      </c>
      <c r="I539" t="s">
        <v>397</v>
      </c>
      <c r="J539">
        <v>36579</v>
      </c>
      <c r="K539">
        <v>0.83</v>
      </c>
      <c r="L539">
        <v>750</v>
      </c>
      <c r="M539">
        <v>2.48</v>
      </c>
    </row>
    <row r="540" spans="1:13">
      <c r="A540" s="28">
        <v>4360</v>
      </c>
      <c r="B540" t="s">
        <v>685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397</v>
      </c>
      <c r="I540" t="s">
        <v>397</v>
      </c>
      <c r="J540">
        <v>54430</v>
      </c>
      <c r="K540">
        <v>0.22</v>
      </c>
      <c r="L540">
        <v>300</v>
      </c>
      <c r="M540">
        <v>2.48</v>
      </c>
    </row>
    <row r="541" spans="1:13">
      <c r="A541" s="28">
        <v>75580</v>
      </c>
      <c r="B541" t="s">
        <v>686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>
      <c r="A542" s="28">
        <v>253840</v>
      </c>
      <c r="B542" t="s">
        <v>687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397</v>
      </c>
      <c r="I542" t="s">
        <v>397</v>
      </c>
      <c r="J542">
        <v>8641</v>
      </c>
      <c r="K542">
        <v>0.7</v>
      </c>
      <c r="L542">
        <v>150</v>
      </c>
      <c r="M542">
        <v>2.4700000000000002</v>
      </c>
    </row>
    <row r="543" spans="1:13">
      <c r="A543" s="28">
        <v>4780</v>
      </c>
      <c r="B543" t="s">
        <v>688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397</v>
      </c>
      <c r="I543" t="s">
        <v>397</v>
      </c>
      <c r="J543">
        <v>8206</v>
      </c>
      <c r="K543">
        <v>0.5</v>
      </c>
      <c r="L543">
        <v>100</v>
      </c>
      <c r="M543">
        <v>2.46</v>
      </c>
    </row>
    <row r="544" spans="1:13">
      <c r="A544" s="28">
        <v>9300</v>
      </c>
      <c r="B544" t="s">
        <v>689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397</v>
      </c>
      <c r="I544" t="s">
        <v>397</v>
      </c>
      <c r="J544">
        <v>29593</v>
      </c>
      <c r="K544">
        <v>0.55000000000000004</v>
      </c>
      <c r="L544">
        <v>400</v>
      </c>
      <c r="M544">
        <v>2.46</v>
      </c>
    </row>
    <row r="545" spans="1:13">
      <c r="A545" s="28">
        <v>54050</v>
      </c>
      <c r="B545" t="s">
        <v>690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397</v>
      </c>
      <c r="I545" t="s">
        <v>397</v>
      </c>
      <c r="J545">
        <v>15560</v>
      </c>
      <c r="K545">
        <v>0.53</v>
      </c>
      <c r="L545">
        <v>200</v>
      </c>
      <c r="M545">
        <v>2.4500000000000002</v>
      </c>
    </row>
    <row r="546" spans="1:13">
      <c r="A546" s="28">
        <v>264450</v>
      </c>
      <c r="B546" t="s">
        <v>691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397</v>
      </c>
      <c r="I546" t="s">
        <v>397</v>
      </c>
      <c r="J546">
        <v>13948</v>
      </c>
      <c r="K546">
        <v>1.24</v>
      </c>
      <c r="L546">
        <v>420</v>
      </c>
      <c r="M546">
        <v>2.44</v>
      </c>
    </row>
    <row r="547" spans="1:13">
      <c r="A547" s="28">
        <v>138490</v>
      </c>
      <c r="B547" t="s">
        <v>692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>
      <c r="A548" s="28">
        <v>104830</v>
      </c>
      <c r="B548" t="s">
        <v>693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>
      <c r="A549" s="28">
        <v>339770</v>
      </c>
      <c r="B549" t="s">
        <v>694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>
      <c r="A550" s="28">
        <v>122310</v>
      </c>
      <c r="B550" t="s">
        <v>695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397</v>
      </c>
      <c r="I550" t="s">
        <v>397</v>
      </c>
      <c r="J550">
        <v>6294</v>
      </c>
      <c r="K550">
        <v>1.05</v>
      </c>
      <c r="L550">
        <v>160</v>
      </c>
      <c r="M550">
        <v>2.41</v>
      </c>
    </row>
    <row r="551" spans="1:13">
      <c r="A551" s="28">
        <v>192250</v>
      </c>
      <c r="B551" t="s">
        <v>696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397</v>
      </c>
      <c r="I551" t="s">
        <v>397</v>
      </c>
      <c r="J551">
        <v>987</v>
      </c>
      <c r="K551">
        <v>1.26</v>
      </c>
      <c r="L551">
        <v>30</v>
      </c>
      <c r="M551">
        <v>2.41</v>
      </c>
    </row>
    <row r="552" spans="1:13">
      <c r="A552" s="28">
        <v>105740</v>
      </c>
      <c r="B552" t="s">
        <v>697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397</v>
      </c>
      <c r="I552" t="s">
        <v>397</v>
      </c>
      <c r="J552">
        <v>12310</v>
      </c>
      <c r="K552">
        <v>0.68</v>
      </c>
      <c r="L552">
        <v>200</v>
      </c>
      <c r="M552">
        <v>2.4</v>
      </c>
    </row>
    <row r="553" spans="1:13">
      <c r="A553" s="28">
        <v>42110</v>
      </c>
      <c r="B553" t="s">
        <v>698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397</v>
      </c>
      <c r="I553" t="s">
        <v>397</v>
      </c>
      <c r="J553">
        <v>2468</v>
      </c>
      <c r="K553">
        <v>0.59</v>
      </c>
      <c r="L553">
        <v>35</v>
      </c>
      <c r="M553">
        <v>2.4</v>
      </c>
    </row>
    <row r="554" spans="1:13">
      <c r="A554" s="28">
        <v>910</v>
      </c>
      <c r="B554" t="s">
        <v>699</v>
      </c>
      <c r="C554">
        <v>5240</v>
      </c>
      <c r="D554">
        <v>-70</v>
      </c>
      <c r="E554">
        <v>-1.32</v>
      </c>
      <c r="F554" t="s">
        <v>397</v>
      </c>
      <c r="G554" t="s">
        <v>397</v>
      </c>
      <c r="H554" t="s">
        <v>397</v>
      </c>
      <c r="I554" t="s">
        <v>397</v>
      </c>
      <c r="J554">
        <v>7741</v>
      </c>
      <c r="K554">
        <v>0.68</v>
      </c>
      <c r="L554">
        <v>125</v>
      </c>
      <c r="M554">
        <v>2.39</v>
      </c>
    </row>
    <row r="555" spans="1:13">
      <c r="A555" s="28" t="s">
        <v>700</v>
      </c>
      <c r="B555" t="s">
        <v>701</v>
      </c>
      <c r="C555">
        <v>10540</v>
      </c>
      <c r="D555">
        <v>50</v>
      </c>
      <c r="E555">
        <v>0.48</v>
      </c>
      <c r="F555" t="s">
        <v>397</v>
      </c>
      <c r="G555" t="s">
        <v>397</v>
      </c>
      <c r="H555" t="s">
        <v>397</v>
      </c>
      <c r="I555" t="s">
        <v>397</v>
      </c>
      <c r="J555" t="s">
        <v>397</v>
      </c>
      <c r="K555" t="s">
        <v>397</v>
      </c>
      <c r="L555">
        <v>252</v>
      </c>
      <c r="M555">
        <v>2.39</v>
      </c>
    </row>
    <row r="556" spans="1:13">
      <c r="A556" s="28">
        <v>137950</v>
      </c>
      <c r="B556" t="s">
        <v>702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397</v>
      </c>
      <c r="I556" t="s">
        <v>397</v>
      </c>
      <c r="J556">
        <v>6715</v>
      </c>
      <c r="K556">
        <v>1</v>
      </c>
      <c r="L556">
        <v>160</v>
      </c>
      <c r="M556">
        <v>2.38</v>
      </c>
    </row>
    <row r="557" spans="1:13">
      <c r="A557" s="28">
        <v>5360</v>
      </c>
      <c r="B557" t="s">
        <v>703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397</v>
      </c>
      <c r="I557" t="s">
        <v>397</v>
      </c>
      <c r="J557">
        <v>5502</v>
      </c>
      <c r="K557">
        <v>0.53</v>
      </c>
      <c r="L557">
        <v>70</v>
      </c>
      <c r="M557">
        <v>2.38</v>
      </c>
    </row>
    <row r="558" spans="1:13">
      <c r="A558" s="28">
        <v>77500</v>
      </c>
      <c r="B558" t="s">
        <v>704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397</v>
      </c>
      <c r="I558" t="s">
        <v>397</v>
      </c>
      <c r="J558">
        <v>13196</v>
      </c>
      <c r="K558">
        <v>0.64</v>
      </c>
      <c r="L558">
        <v>200</v>
      </c>
      <c r="M558">
        <v>2.38</v>
      </c>
    </row>
    <row r="559" spans="1:13">
      <c r="A559" s="28">
        <v>337930</v>
      </c>
      <c r="B559" t="s">
        <v>705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>
      <c r="A560" s="28">
        <v>53300</v>
      </c>
      <c r="B560" t="s">
        <v>706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397</v>
      </c>
      <c r="I560" t="s">
        <v>397</v>
      </c>
      <c r="J560">
        <v>4250</v>
      </c>
      <c r="K560">
        <v>1.2</v>
      </c>
      <c r="L560">
        <v>120</v>
      </c>
      <c r="M560">
        <v>2.36</v>
      </c>
    </row>
    <row r="561" spans="1:13">
      <c r="A561" s="28">
        <v>5965</v>
      </c>
      <c r="B561" t="s">
        <v>707</v>
      </c>
      <c r="C561">
        <v>23300</v>
      </c>
      <c r="D561">
        <v>0</v>
      </c>
      <c r="E561">
        <v>0</v>
      </c>
      <c r="F561" t="s">
        <v>397</v>
      </c>
      <c r="G561" t="s">
        <v>397</v>
      </c>
      <c r="H561" t="s">
        <v>397</v>
      </c>
      <c r="I561" t="s">
        <v>397</v>
      </c>
      <c r="J561" t="s">
        <v>397</v>
      </c>
      <c r="K561" t="s">
        <v>397</v>
      </c>
      <c r="L561">
        <v>550</v>
      </c>
      <c r="M561">
        <v>2.36</v>
      </c>
    </row>
    <row r="562" spans="1:13">
      <c r="A562" s="28">
        <v>9200</v>
      </c>
      <c r="B562" t="s">
        <v>708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397</v>
      </c>
      <c r="I562" t="s">
        <v>397</v>
      </c>
      <c r="J562">
        <v>10014</v>
      </c>
      <c r="K562">
        <v>0.21</v>
      </c>
      <c r="L562">
        <v>50</v>
      </c>
      <c r="M562">
        <v>2.36</v>
      </c>
    </row>
    <row r="563" spans="1:13">
      <c r="A563" s="28">
        <v>75970</v>
      </c>
      <c r="B563" t="s">
        <v>709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397</v>
      </c>
      <c r="I563" t="s">
        <v>397</v>
      </c>
      <c r="J563">
        <v>4331</v>
      </c>
      <c r="K563">
        <v>0.79</v>
      </c>
      <c r="L563">
        <v>80</v>
      </c>
      <c r="M563">
        <v>2.35</v>
      </c>
    </row>
    <row r="564" spans="1:13">
      <c r="A564" s="28">
        <v>383220</v>
      </c>
      <c r="B564" t="s">
        <v>710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>
      <c r="A565" s="28">
        <v>9460</v>
      </c>
      <c r="B565" t="s">
        <v>711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397</v>
      </c>
      <c r="I565" t="s">
        <v>397</v>
      </c>
      <c r="J565">
        <v>1851</v>
      </c>
      <c r="K565">
        <v>0.46</v>
      </c>
      <c r="L565">
        <v>20</v>
      </c>
      <c r="M565">
        <v>2.34</v>
      </c>
    </row>
    <row r="566" spans="1:13">
      <c r="A566" s="28">
        <v>21240</v>
      </c>
      <c r="B566" t="s">
        <v>712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>
      <c r="A567" s="28">
        <v>5935</v>
      </c>
      <c r="B567" t="s">
        <v>713</v>
      </c>
      <c r="C567">
        <v>62000</v>
      </c>
      <c r="D567">
        <v>-1700</v>
      </c>
      <c r="E567">
        <v>-2.67</v>
      </c>
      <c r="F567" t="s">
        <v>397</v>
      </c>
      <c r="G567" t="s">
        <v>397</v>
      </c>
      <c r="H567" t="s">
        <v>397</v>
      </c>
      <c r="I567" t="s">
        <v>397</v>
      </c>
      <c r="J567" t="s">
        <v>397</v>
      </c>
      <c r="K567" t="s">
        <v>397</v>
      </c>
      <c r="L567">
        <v>1445</v>
      </c>
      <c r="M567">
        <v>2.33</v>
      </c>
    </row>
    <row r="568" spans="1:13">
      <c r="A568" s="28">
        <v>53260</v>
      </c>
      <c r="B568" t="s">
        <v>714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397</v>
      </c>
      <c r="I568" t="s">
        <v>397</v>
      </c>
      <c r="J568">
        <v>7727</v>
      </c>
      <c r="K568">
        <v>0.67</v>
      </c>
      <c r="L568">
        <v>120</v>
      </c>
      <c r="M568">
        <v>2.33</v>
      </c>
    </row>
    <row r="569" spans="1:13">
      <c r="A569" s="28">
        <v>4980</v>
      </c>
      <c r="B569" t="s">
        <v>715</v>
      </c>
      <c r="C569">
        <v>8600</v>
      </c>
      <c r="D569">
        <v>-10</v>
      </c>
      <c r="E569">
        <v>-0.12</v>
      </c>
      <c r="F569" t="s">
        <v>397</v>
      </c>
      <c r="G569" t="s">
        <v>397</v>
      </c>
      <c r="H569" t="s">
        <v>397</v>
      </c>
      <c r="I569" t="s">
        <v>397</v>
      </c>
      <c r="J569">
        <v>16402</v>
      </c>
      <c r="K569">
        <v>0.52</v>
      </c>
      <c r="L569">
        <v>200</v>
      </c>
      <c r="M569">
        <v>2.33</v>
      </c>
    </row>
    <row r="570" spans="1:13">
      <c r="A570" s="28">
        <v>13030</v>
      </c>
      <c r="B570" t="s">
        <v>716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>
      <c r="A571" s="28">
        <v>123570</v>
      </c>
      <c r="B571" t="s">
        <v>717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397</v>
      </c>
      <c r="I571" t="s">
        <v>397</v>
      </c>
      <c r="J571">
        <v>4160</v>
      </c>
      <c r="K571">
        <v>0.93</v>
      </c>
      <c r="L571">
        <v>90</v>
      </c>
      <c r="M571">
        <v>2.3199999999999998</v>
      </c>
    </row>
    <row r="572" spans="1:13">
      <c r="A572" s="28">
        <v>51910</v>
      </c>
      <c r="B572" t="s">
        <v>718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>
      <c r="A573" s="28">
        <v>3220</v>
      </c>
      <c r="B573" t="s">
        <v>719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>
      <c r="A574" s="28">
        <v>277410</v>
      </c>
      <c r="B574" t="s">
        <v>720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397</v>
      </c>
      <c r="I574" t="s">
        <v>397</v>
      </c>
      <c r="J574">
        <v>1609</v>
      </c>
      <c r="K574">
        <v>1.08</v>
      </c>
      <c r="L574">
        <v>40</v>
      </c>
      <c r="M574">
        <v>2.31</v>
      </c>
    </row>
    <row r="575" spans="1:13">
      <c r="A575" s="28">
        <v>26940</v>
      </c>
      <c r="B575" t="s">
        <v>721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397</v>
      </c>
      <c r="I575" t="s">
        <v>397</v>
      </c>
      <c r="J575">
        <v>6300</v>
      </c>
      <c r="K575">
        <v>0.52</v>
      </c>
      <c r="L575">
        <v>75</v>
      </c>
      <c r="M575">
        <v>2.31</v>
      </c>
    </row>
    <row r="576" spans="1:13">
      <c r="A576" s="28">
        <v>1630</v>
      </c>
      <c r="B576" t="s">
        <v>722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397</v>
      </c>
      <c r="I576" t="s">
        <v>397</v>
      </c>
      <c r="J576">
        <v>108745</v>
      </c>
      <c r="K576">
        <v>0.56000000000000005</v>
      </c>
      <c r="L576">
        <v>1400</v>
      </c>
      <c r="M576">
        <v>2.31</v>
      </c>
    </row>
    <row r="577" spans="1:13">
      <c r="A577" s="28">
        <v>23910</v>
      </c>
      <c r="B577" t="s">
        <v>723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>
      <c r="A578" s="28">
        <v>285130</v>
      </c>
      <c r="B578" t="s">
        <v>724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>
      <c r="A579" s="28">
        <v>120240</v>
      </c>
      <c r="B579" t="s">
        <v>725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397</v>
      </c>
      <c r="I579" t="s">
        <v>397</v>
      </c>
      <c r="J579">
        <v>20442</v>
      </c>
      <c r="K579">
        <v>0.85</v>
      </c>
      <c r="L579">
        <v>400</v>
      </c>
      <c r="M579">
        <v>2.2999999999999998</v>
      </c>
    </row>
    <row r="580" spans="1:13">
      <c r="A580" s="28">
        <v>81580</v>
      </c>
      <c r="B580" t="s">
        <v>726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397</v>
      </c>
      <c r="I580" t="s">
        <v>397</v>
      </c>
      <c r="J580">
        <v>7276</v>
      </c>
      <c r="K580">
        <v>0.3</v>
      </c>
      <c r="L580">
        <v>50</v>
      </c>
      <c r="M580">
        <v>2.2999999999999998</v>
      </c>
    </row>
    <row r="581" spans="1:13">
      <c r="A581" s="28">
        <v>860</v>
      </c>
      <c r="B581" t="s">
        <v>727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397</v>
      </c>
      <c r="I581" t="s">
        <v>397</v>
      </c>
      <c r="J581">
        <v>92542</v>
      </c>
      <c r="K581">
        <v>0.24</v>
      </c>
      <c r="L581">
        <v>500</v>
      </c>
      <c r="M581">
        <v>2.29</v>
      </c>
    </row>
    <row r="582" spans="1:13">
      <c r="A582" s="28">
        <v>7310</v>
      </c>
      <c r="B582" t="s">
        <v>728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>
      <c r="A583" s="28">
        <v>1040</v>
      </c>
      <c r="B583" t="s">
        <v>729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>
      <c r="A584" s="28">
        <v>170790</v>
      </c>
      <c r="B584" t="s">
        <v>730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>
      <c r="A585" s="28">
        <v>39490</v>
      </c>
      <c r="B585" t="s">
        <v>731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>
      <c r="A586" s="28">
        <v>94970</v>
      </c>
      <c r="B586" t="s">
        <v>732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397</v>
      </c>
      <c r="I586" t="s">
        <v>397</v>
      </c>
      <c r="J586">
        <v>6195</v>
      </c>
      <c r="K586">
        <v>1.07</v>
      </c>
      <c r="L586">
        <v>150</v>
      </c>
      <c r="M586">
        <v>2.27</v>
      </c>
    </row>
    <row r="587" spans="1:13">
      <c r="A587" s="28">
        <v>54800</v>
      </c>
      <c r="B587" t="s">
        <v>733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397</v>
      </c>
      <c r="I587" t="s">
        <v>397</v>
      </c>
      <c r="J587">
        <v>27120</v>
      </c>
      <c r="K587">
        <v>0.41</v>
      </c>
      <c r="L587">
        <v>250</v>
      </c>
      <c r="M587">
        <v>2.27</v>
      </c>
    </row>
    <row r="588" spans="1:13">
      <c r="A588" s="28">
        <v>84110</v>
      </c>
      <c r="B588" t="s">
        <v>734</v>
      </c>
      <c r="C588">
        <v>22100</v>
      </c>
      <c r="D588">
        <v>-500</v>
      </c>
      <c r="E588">
        <v>-2.21</v>
      </c>
      <c r="F588" t="s">
        <v>397</v>
      </c>
      <c r="G588" t="s">
        <v>397</v>
      </c>
      <c r="H588" t="s">
        <v>397</v>
      </c>
      <c r="I588" t="s">
        <v>397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>
      <c r="A589" s="28">
        <v>126600</v>
      </c>
      <c r="B589" t="s">
        <v>735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397</v>
      </c>
      <c r="I589" t="s">
        <v>397</v>
      </c>
      <c r="J589">
        <v>6585</v>
      </c>
      <c r="K589">
        <v>0.67</v>
      </c>
      <c r="L589">
        <v>100</v>
      </c>
      <c r="M589">
        <v>2.2599999999999998</v>
      </c>
    </row>
    <row r="590" spans="1:13">
      <c r="A590" s="28">
        <v>214370</v>
      </c>
      <c r="B590" t="s">
        <v>736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397</v>
      </c>
      <c r="I590" t="s">
        <v>397</v>
      </c>
      <c r="J590">
        <v>4396</v>
      </c>
      <c r="K590">
        <v>5.45</v>
      </c>
      <c r="L590">
        <v>540</v>
      </c>
      <c r="M590">
        <v>2.25</v>
      </c>
    </row>
    <row r="591" spans="1:13">
      <c r="A591" s="28">
        <v>126880</v>
      </c>
      <c r="B591" t="s">
        <v>737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397</v>
      </c>
      <c r="I591" t="s">
        <v>397</v>
      </c>
      <c r="J591">
        <v>4884</v>
      </c>
      <c r="K591">
        <v>0.91</v>
      </c>
      <c r="L591">
        <v>100</v>
      </c>
      <c r="M591">
        <v>2.25</v>
      </c>
    </row>
    <row r="592" spans="1:13">
      <c r="A592" s="28">
        <v>88130</v>
      </c>
      <c r="B592" t="s">
        <v>738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397</v>
      </c>
      <c r="I592" t="s">
        <v>397</v>
      </c>
      <c r="J592">
        <v>17660</v>
      </c>
      <c r="K592">
        <v>0.51</v>
      </c>
      <c r="L592">
        <v>200</v>
      </c>
      <c r="M592">
        <v>2.2400000000000002</v>
      </c>
    </row>
    <row r="593" spans="1:13">
      <c r="A593" s="28">
        <v>67280</v>
      </c>
      <c r="B593" t="s">
        <v>739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397</v>
      </c>
      <c r="I593" t="s">
        <v>397</v>
      </c>
      <c r="J593">
        <v>28530</v>
      </c>
      <c r="K593">
        <v>1.25</v>
      </c>
      <c r="L593">
        <v>800</v>
      </c>
      <c r="M593">
        <v>2.2400000000000002</v>
      </c>
    </row>
    <row r="594" spans="1:13">
      <c r="A594" s="28">
        <v>7700</v>
      </c>
      <c r="B594" t="s">
        <v>740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397</v>
      </c>
      <c r="I594" t="s">
        <v>397</v>
      </c>
      <c r="J594">
        <v>52493</v>
      </c>
      <c r="K594">
        <v>0.3</v>
      </c>
      <c r="L594">
        <v>350</v>
      </c>
      <c r="M594">
        <v>2.2400000000000002</v>
      </c>
    </row>
    <row r="595" spans="1:13">
      <c r="A595" s="28">
        <v>49770</v>
      </c>
      <c r="B595" t="s">
        <v>741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>
      <c r="A596" s="28">
        <v>14580</v>
      </c>
      <c r="B596" t="s">
        <v>742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397</v>
      </c>
      <c r="I596" t="s">
        <v>397</v>
      </c>
      <c r="J596">
        <v>6444</v>
      </c>
      <c r="K596">
        <v>0.9</v>
      </c>
      <c r="L596">
        <v>130</v>
      </c>
      <c r="M596">
        <v>2.2400000000000002</v>
      </c>
    </row>
    <row r="597" spans="1:13">
      <c r="A597" s="28">
        <v>4170</v>
      </c>
      <c r="B597" t="s">
        <v>743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>
      <c r="A598" s="28">
        <v>210</v>
      </c>
      <c r="B598" t="s">
        <v>744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>
      <c r="A599" s="28">
        <v>32190</v>
      </c>
      <c r="B599" t="s">
        <v>745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397</v>
      </c>
      <c r="I599" t="s">
        <v>397</v>
      </c>
      <c r="J599">
        <v>29654</v>
      </c>
      <c r="K599">
        <v>0.45</v>
      </c>
      <c r="L599">
        <v>300</v>
      </c>
      <c r="M599">
        <v>2.23</v>
      </c>
    </row>
    <row r="600" spans="1:13">
      <c r="A600" s="28">
        <v>103140</v>
      </c>
      <c r="B600" t="s">
        <v>746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>
      <c r="A601" s="28">
        <v>21650</v>
      </c>
      <c r="B601" t="s">
        <v>747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397</v>
      </c>
      <c r="I601" t="s">
        <v>397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>
      <c r="A602" s="28">
        <v>170030</v>
      </c>
      <c r="B602" t="s">
        <v>748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397</v>
      </c>
      <c r="I602" t="s">
        <v>397</v>
      </c>
      <c r="J602">
        <v>9031</v>
      </c>
      <c r="K602">
        <v>0.84</v>
      </c>
      <c r="L602">
        <v>166</v>
      </c>
      <c r="M602">
        <v>2.2000000000000002</v>
      </c>
    </row>
    <row r="603" spans="1:13">
      <c r="A603" s="28">
        <v>11070</v>
      </c>
      <c r="B603" t="s">
        <v>749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>
      <c r="A604" s="28">
        <v>58400</v>
      </c>
      <c r="B604" t="s">
        <v>750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397</v>
      </c>
      <c r="I604" t="s">
        <v>397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>
      <c r="A605" s="28">
        <v>1940</v>
      </c>
      <c r="B605" t="s">
        <v>751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397</v>
      </c>
      <c r="I605" t="s">
        <v>397</v>
      </c>
      <c r="J605">
        <v>75645</v>
      </c>
      <c r="K605">
        <v>0.36</v>
      </c>
      <c r="L605">
        <v>600</v>
      </c>
      <c r="M605">
        <v>2.2000000000000002</v>
      </c>
    </row>
    <row r="606" spans="1:13">
      <c r="A606" s="28">
        <v>46890</v>
      </c>
      <c r="B606" t="s">
        <v>752</v>
      </c>
      <c r="C606">
        <v>10040</v>
      </c>
      <c r="D606">
        <v>30</v>
      </c>
      <c r="E606">
        <v>0.3</v>
      </c>
      <c r="F606" t="s">
        <v>397</v>
      </c>
      <c r="G606" t="s">
        <v>397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>
      <c r="A607" s="28">
        <v>69080</v>
      </c>
      <c r="B607" t="s">
        <v>753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>
      <c r="A608" s="28">
        <v>81000</v>
      </c>
      <c r="B608" t="s">
        <v>754</v>
      </c>
      <c r="C608">
        <v>13680</v>
      </c>
      <c r="D608">
        <v>30</v>
      </c>
      <c r="E608">
        <v>0.22</v>
      </c>
      <c r="F608" t="s">
        <v>397</v>
      </c>
      <c r="G608" t="s">
        <v>397</v>
      </c>
      <c r="H608" t="s">
        <v>397</v>
      </c>
      <c r="I608" t="s">
        <v>397</v>
      </c>
      <c r="J608">
        <v>28217</v>
      </c>
      <c r="K608">
        <v>0.48</v>
      </c>
      <c r="L608">
        <v>300</v>
      </c>
      <c r="M608">
        <v>2.19</v>
      </c>
    </row>
    <row r="609" spans="1:1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397</v>
      </c>
      <c r="I609" t="s">
        <v>397</v>
      </c>
      <c r="J609">
        <v>5532</v>
      </c>
      <c r="K609">
        <v>0.37</v>
      </c>
      <c r="L609">
        <v>45</v>
      </c>
      <c r="M609">
        <v>2.17</v>
      </c>
    </row>
    <row r="610" spans="1:13">
      <c r="A610" s="28">
        <v>3310</v>
      </c>
      <c r="B610" t="s">
        <v>755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397</v>
      </c>
      <c r="I610" t="s">
        <v>397</v>
      </c>
      <c r="J610">
        <v>1949</v>
      </c>
      <c r="K610">
        <v>0.83</v>
      </c>
      <c r="L610">
        <v>35</v>
      </c>
      <c r="M610">
        <v>2.16</v>
      </c>
    </row>
    <row r="611" spans="1:13">
      <c r="A611" s="28">
        <v>100700</v>
      </c>
      <c r="B611" t="s">
        <v>756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397</v>
      </c>
      <c r="I611" t="s">
        <v>397</v>
      </c>
      <c r="J611">
        <v>2841</v>
      </c>
      <c r="K611">
        <v>0.98</v>
      </c>
      <c r="L611">
        <v>60</v>
      </c>
      <c r="M611">
        <v>2.16</v>
      </c>
    </row>
    <row r="612" spans="1:13">
      <c r="A612" s="28">
        <v>80520</v>
      </c>
      <c r="B612" t="s">
        <v>757</v>
      </c>
      <c r="C612">
        <v>4660</v>
      </c>
      <c r="D612">
        <v>-15</v>
      </c>
      <c r="E612">
        <v>-0.32</v>
      </c>
      <c r="F612" t="s">
        <v>397</v>
      </c>
      <c r="G612" t="s">
        <v>397</v>
      </c>
      <c r="H612" t="s">
        <v>397</v>
      </c>
      <c r="I612" t="s">
        <v>397</v>
      </c>
      <c r="J612">
        <v>11484</v>
      </c>
      <c r="K612">
        <v>0.41</v>
      </c>
      <c r="L612">
        <v>100</v>
      </c>
      <c r="M612">
        <v>2.15</v>
      </c>
    </row>
    <row r="613" spans="1:13">
      <c r="A613" s="28">
        <v>2795</v>
      </c>
      <c r="B613" t="s">
        <v>758</v>
      </c>
      <c r="C613">
        <v>9810</v>
      </c>
      <c r="D613">
        <v>-40</v>
      </c>
      <c r="E613">
        <v>-0.41</v>
      </c>
      <c r="F613" t="s">
        <v>397</v>
      </c>
      <c r="G613" t="s">
        <v>397</v>
      </c>
      <c r="H613" t="s">
        <v>397</v>
      </c>
      <c r="I613" t="s">
        <v>397</v>
      </c>
      <c r="J613" t="s">
        <v>397</v>
      </c>
      <c r="K613" t="s">
        <v>397</v>
      </c>
      <c r="L613">
        <v>210</v>
      </c>
      <c r="M613">
        <v>2.14</v>
      </c>
    </row>
    <row r="614" spans="1:13">
      <c r="A614" s="28">
        <v>220</v>
      </c>
      <c r="B614" t="s">
        <v>759</v>
      </c>
      <c r="C614">
        <v>4900</v>
      </c>
      <c r="D614">
        <v>-55</v>
      </c>
      <c r="E614">
        <v>-1.1100000000000001</v>
      </c>
      <c r="F614" t="s">
        <v>397</v>
      </c>
      <c r="G614" t="s">
        <v>397</v>
      </c>
      <c r="H614" t="s">
        <v>397</v>
      </c>
      <c r="I614" t="s">
        <v>397</v>
      </c>
      <c r="J614">
        <v>7144</v>
      </c>
      <c r="K614">
        <v>0.69</v>
      </c>
      <c r="L614">
        <v>105</v>
      </c>
      <c r="M614">
        <v>2.14</v>
      </c>
    </row>
    <row r="615" spans="1:13">
      <c r="A615" s="28">
        <v>64820</v>
      </c>
      <c r="B615" t="s">
        <v>760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397</v>
      </c>
      <c r="I615" t="s">
        <v>397</v>
      </c>
      <c r="J615">
        <v>6516</v>
      </c>
      <c r="K615">
        <v>0.72</v>
      </c>
      <c r="L615">
        <v>100</v>
      </c>
      <c r="M615">
        <v>2.14</v>
      </c>
    </row>
    <row r="616" spans="1:13">
      <c r="A616" s="28">
        <v>2310</v>
      </c>
      <c r="B616" t="s">
        <v>761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397</v>
      </c>
      <c r="I616" t="s">
        <v>397</v>
      </c>
      <c r="J616">
        <v>89799</v>
      </c>
      <c r="K616">
        <v>0.52</v>
      </c>
      <c r="L616">
        <v>1000</v>
      </c>
      <c r="M616">
        <v>2.13</v>
      </c>
    </row>
    <row r="617" spans="1:13">
      <c r="A617" s="28">
        <v>37440</v>
      </c>
      <c r="B617" t="s">
        <v>762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>
      <c r="A618" s="28">
        <v>17900</v>
      </c>
      <c r="B618" t="s">
        <v>763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397</v>
      </c>
      <c r="I618" t="s">
        <v>397</v>
      </c>
      <c r="J618">
        <v>4514</v>
      </c>
      <c r="K618">
        <v>0.52</v>
      </c>
      <c r="L618">
        <v>50</v>
      </c>
      <c r="M618">
        <v>2.13</v>
      </c>
    </row>
    <row r="619" spans="1:13">
      <c r="A619" s="28">
        <v>50860</v>
      </c>
      <c r="B619" t="s">
        <v>764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397</v>
      </c>
      <c r="I619" t="s">
        <v>397</v>
      </c>
      <c r="J619">
        <v>6134</v>
      </c>
      <c r="K619">
        <v>0.38</v>
      </c>
      <c r="L619">
        <v>50</v>
      </c>
      <c r="M619">
        <v>2.12</v>
      </c>
    </row>
    <row r="620" spans="1:13">
      <c r="A620" s="28">
        <v>78020</v>
      </c>
      <c r="B620" t="s">
        <v>765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397</v>
      </c>
      <c r="I620" t="s">
        <v>397</v>
      </c>
      <c r="J620">
        <v>18243</v>
      </c>
      <c r="K620">
        <v>0.26</v>
      </c>
      <c r="L620">
        <v>100</v>
      </c>
      <c r="M620">
        <v>2.12</v>
      </c>
    </row>
    <row r="621" spans="1:1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>
      <c r="A622" s="28">
        <v>200130</v>
      </c>
      <c r="B622" t="s">
        <v>766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397</v>
      </c>
      <c r="I622" t="s">
        <v>397</v>
      </c>
      <c r="J622">
        <v>13595</v>
      </c>
      <c r="K622">
        <v>1.07</v>
      </c>
      <c r="L622">
        <v>308</v>
      </c>
      <c r="M622">
        <v>2.11</v>
      </c>
    </row>
    <row r="623" spans="1:13">
      <c r="A623" s="28">
        <v>670</v>
      </c>
      <c r="B623" t="s">
        <v>767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397</v>
      </c>
      <c r="I623" t="s">
        <v>397</v>
      </c>
      <c r="J623">
        <v>2272640</v>
      </c>
      <c r="K623">
        <v>0.21</v>
      </c>
      <c r="L623">
        <v>10000</v>
      </c>
      <c r="M623">
        <v>2.09</v>
      </c>
    </row>
    <row r="624" spans="1:13">
      <c r="A624" s="28" t="s">
        <v>768</v>
      </c>
      <c r="B624" t="s">
        <v>769</v>
      </c>
      <c r="C624">
        <v>4785</v>
      </c>
      <c r="D624">
        <v>45</v>
      </c>
      <c r="E624">
        <v>0.95</v>
      </c>
      <c r="F624" t="s">
        <v>397</v>
      </c>
      <c r="G624" t="s">
        <v>397</v>
      </c>
      <c r="H624" t="s">
        <v>397</v>
      </c>
      <c r="I624" t="s">
        <v>397</v>
      </c>
      <c r="J624" t="s">
        <v>397</v>
      </c>
      <c r="K624" t="s">
        <v>397</v>
      </c>
      <c r="L624">
        <v>100</v>
      </c>
      <c r="M624">
        <v>2.09</v>
      </c>
    </row>
    <row r="625" spans="1:13">
      <c r="A625" s="28">
        <v>109080</v>
      </c>
      <c r="B625" t="s">
        <v>770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397</v>
      </c>
      <c r="I625" t="s">
        <v>397</v>
      </c>
      <c r="J625">
        <v>10555</v>
      </c>
      <c r="K625">
        <v>0.91</v>
      </c>
      <c r="L625">
        <v>200</v>
      </c>
      <c r="M625">
        <v>2.08</v>
      </c>
    </row>
    <row r="626" spans="1:13">
      <c r="A626" s="28">
        <v>10420</v>
      </c>
      <c r="B626" t="s">
        <v>771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397</v>
      </c>
      <c r="I626" t="s">
        <v>397</v>
      </c>
      <c r="J626">
        <v>2311</v>
      </c>
      <c r="K626">
        <v>0.52</v>
      </c>
      <c r="L626">
        <v>25</v>
      </c>
      <c r="M626">
        <v>2.0699999999999998</v>
      </c>
    </row>
    <row r="627" spans="1:13">
      <c r="A627" s="28">
        <v>16380</v>
      </c>
      <c r="B627" t="s">
        <v>772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397</v>
      </c>
      <c r="I627" t="s">
        <v>397</v>
      </c>
      <c r="J627">
        <v>16907</v>
      </c>
      <c r="K627">
        <v>0.43</v>
      </c>
      <c r="L627">
        <v>150</v>
      </c>
      <c r="M627">
        <v>2.0699999999999998</v>
      </c>
    </row>
    <row r="628" spans="1:13">
      <c r="A628" s="28">
        <v>60720</v>
      </c>
      <c r="B628" t="s">
        <v>773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>
      <c r="A629" s="28">
        <v>16580</v>
      </c>
      <c r="B629" t="s">
        <v>774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397</v>
      </c>
      <c r="I629" t="s">
        <v>397</v>
      </c>
      <c r="J629">
        <v>21845</v>
      </c>
      <c r="K629">
        <v>0.67</v>
      </c>
      <c r="L629">
        <v>300</v>
      </c>
      <c r="M629">
        <v>2.06</v>
      </c>
    </row>
    <row r="630" spans="1:13">
      <c r="A630" s="28">
        <v>60540</v>
      </c>
      <c r="B630" t="s">
        <v>775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397</v>
      </c>
      <c r="I630" t="s">
        <v>397</v>
      </c>
      <c r="J630">
        <v>3834</v>
      </c>
      <c r="K630">
        <v>0.64</v>
      </c>
      <c r="L630">
        <v>50</v>
      </c>
      <c r="M630">
        <v>2.0499999999999998</v>
      </c>
    </row>
    <row r="631" spans="1:13">
      <c r="A631" s="28" t="s">
        <v>776</v>
      </c>
      <c r="B631" t="s">
        <v>777</v>
      </c>
      <c r="C631">
        <v>114500</v>
      </c>
      <c r="D631">
        <v>-12500</v>
      </c>
      <c r="E631">
        <v>-9.84</v>
      </c>
      <c r="F631" t="s">
        <v>397</v>
      </c>
      <c r="G631" t="s">
        <v>397</v>
      </c>
      <c r="H631" t="s">
        <v>397</v>
      </c>
      <c r="I631" t="s">
        <v>397</v>
      </c>
      <c r="J631" t="s">
        <v>397</v>
      </c>
      <c r="K631" t="s">
        <v>397</v>
      </c>
      <c r="L631">
        <v>2350</v>
      </c>
      <c r="M631">
        <v>2.0499999999999998</v>
      </c>
    </row>
    <row r="632" spans="1:13">
      <c r="A632" s="28">
        <v>225</v>
      </c>
      <c r="B632" t="s">
        <v>778</v>
      </c>
      <c r="C632">
        <v>5360</v>
      </c>
      <c r="D632">
        <v>-60</v>
      </c>
      <c r="E632">
        <v>-1.1100000000000001</v>
      </c>
      <c r="F632" t="s">
        <v>397</v>
      </c>
      <c r="G632" t="s">
        <v>397</v>
      </c>
      <c r="H632" t="s">
        <v>397</v>
      </c>
      <c r="I632" t="s">
        <v>397</v>
      </c>
      <c r="J632" t="s">
        <v>397</v>
      </c>
      <c r="K632" t="s">
        <v>397</v>
      </c>
      <c r="L632">
        <v>110</v>
      </c>
      <c r="M632">
        <v>2.0499999999999998</v>
      </c>
    </row>
    <row r="633" spans="1:13">
      <c r="A633" s="28">
        <v>8870</v>
      </c>
      <c r="B633" t="s">
        <v>779</v>
      </c>
      <c r="C633">
        <v>63500</v>
      </c>
      <c r="D633">
        <v>400</v>
      </c>
      <c r="E633">
        <v>0.63</v>
      </c>
      <c r="F633" t="s">
        <v>397</v>
      </c>
      <c r="G633" t="s">
        <v>397</v>
      </c>
      <c r="H633" t="s">
        <v>397</v>
      </c>
      <c r="I633" t="s">
        <v>397</v>
      </c>
      <c r="J633">
        <v>106871</v>
      </c>
      <c r="K633">
        <v>0.59</v>
      </c>
      <c r="L633">
        <v>1300</v>
      </c>
      <c r="M633">
        <v>2.0499999999999998</v>
      </c>
    </row>
    <row r="634" spans="1:13">
      <c r="A634" s="28">
        <v>8260</v>
      </c>
      <c r="B634" t="s">
        <v>780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397</v>
      </c>
      <c r="I634" t="s">
        <v>397</v>
      </c>
      <c r="J634">
        <v>6580</v>
      </c>
      <c r="K634">
        <v>0.75</v>
      </c>
      <c r="L634">
        <v>100</v>
      </c>
      <c r="M634">
        <v>2.04</v>
      </c>
    </row>
    <row r="635" spans="1:13">
      <c r="A635" s="28">
        <v>13570</v>
      </c>
      <c r="B635" t="s">
        <v>781</v>
      </c>
      <c r="C635">
        <v>5870</v>
      </c>
      <c r="D635">
        <v>-30</v>
      </c>
      <c r="E635">
        <v>-0.51</v>
      </c>
      <c r="F635" t="s">
        <v>397</v>
      </c>
      <c r="G635" t="s">
        <v>397</v>
      </c>
      <c r="H635" t="s">
        <v>397</v>
      </c>
      <c r="I635" t="s">
        <v>397</v>
      </c>
      <c r="J635">
        <v>13814</v>
      </c>
      <c r="K635">
        <v>0.42</v>
      </c>
      <c r="L635">
        <v>120</v>
      </c>
      <c r="M635">
        <v>2.04</v>
      </c>
    </row>
    <row r="636" spans="1:13">
      <c r="A636" s="28">
        <v>183190</v>
      </c>
      <c r="B636" t="s">
        <v>782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>
      <c r="A637" s="28">
        <v>25880</v>
      </c>
      <c r="B637" t="s">
        <v>783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397</v>
      </c>
      <c r="I637" t="s">
        <v>397</v>
      </c>
      <c r="J637">
        <v>3833</v>
      </c>
      <c r="K637">
        <v>0.64</v>
      </c>
      <c r="L637">
        <v>50</v>
      </c>
      <c r="M637">
        <v>2.04</v>
      </c>
    </row>
    <row r="638" spans="1:13">
      <c r="A638" s="28">
        <v>18260</v>
      </c>
      <c r="B638" t="s">
        <v>784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>
      <c r="A639" s="28">
        <v>37070</v>
      </c>
      <c r="B639" t="s">
        <v>785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397</v>
      </c>
      <c r="I639" t="s">
        <v>397</v>
      </c>
      <c r="J639">
        <v>5338</v>
      </c>
      <c r="K639">
        <v>1.85</v>
      </c>
      <c r="L639">
        <v>200</v>
      </c>
      <c r="M639">
        <v>2.0299999999999998</v>
      </c>
    </row>
    <row r="640" spans="1:13">
      <c r="A640" s="28">
        <v>4250</v>
      </c>
      <c r="B640" t="s">
        <v>786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397</v>
      </c>
      <c r="I640" t="s">
        <v>397</v>
      </c>
      <c r="J640">
        <v>9416</v>
      </c>
      <c r="K640">
        <v>0.52</v>
      </c>
      <c r="L640">
        <v>100</v>
      </c>
      <c r="M640">
        <v>2.0299999999999998</v>
      </c>
    </row>
    <row r="641" spans="1:13">
      <c r="A641" s="28">
        <v>39010</v>
      </c>
      <c r="B641" t="s">
        <v>787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397</v>
      </c>
      <c r="I641" t="s">
        <v>397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>
      <c r="A642" s="28">
        <v>16740</v>
      </c>
      <c r="B642" t="s">
        <v>788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397</v>
      </c>
      <c r="I642" t="s">
        <v>397</v>
      </c>
      <c r="J642">
        <v>5889</v>
      </c>
      <c r="K642">
        <v>0.67</v>
      </c>
      <c r="L642">
        <v>80</v>
      </c>
      <c r="M642">
        <v>2.02</v>
      </c>
    </row>
    <row r="643" spans="1:13">
      <c r="A643" s="28">
        <v>89150</v>
      </c>
      <c r="B643" t="s">
        <v>789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397</v>
      </c>
      <c r="I643" t="s">
        <v>397</v>
      </c>
      <c r="J643">
        <v>2027</v>
      </c>
      <c r="K643">
        <v>1.46</v>
      </c>
      <c r="L643">
        <v>60</v>
      </c>
      <c r="M643">
        <v>2.02</v>
      </c>
    </row>
    <row r="644" spans="1:13">
      <c r="A644" s="28">
        <v>290690</v>
      </c>
      <c r="B644" t="s">
        <v>790</v>
      </c>
      <c r="C644">
        <v>2470</v>
      </c>
      <c r="D644">
        <v>35</v>
      </c>
      <c r="E644">
        <v>1.44</v>
      </c>
      <c r="F644" t="s">
        <v>397</v>
      </c>
      <c r="G644" t="s">
        <v>397</v>
      </c>
      <c r="H644" t="s">
        <v>397</v>
      </c>
      <c r="I644" t="s">
        <v>397</v>
      </c>
      <c r="J644">
        <v>350</v>
      </c>
      <c r="K644">
        <v>7.06</v>
      </c>
      <c r="L644">
        <v>50</v>
      </c>
      <c r="M644">
        <v>2.02</v>
      </c>
    </row>
    <row r="645" spans="1:13">
      <c r="A645" s="28">
        <v>18250</v>
      </c>
      <c r="B645" t="s">
        <v>791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>
      <c r="A646" s="28">
        <v>90470</v>
      </c>
      <c r="B646" t="s">
        <v>792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397</v>
      </c>
      <c r="I646" t="s">
        <v>397</v>
      </c>
      <c r="J646">
        <v>10355</v>
      </c>
      <c r="K646">
        <v>0.96</v>
      </c>
      <c r="L646">
        <v>200</v>
      </c>
      <c r="M646">
        <v>2.0099999999999998</v>
      </c>
    </row>
    <row r="647" spans="1:13">
      <c r="A647" s="28">
        <v>90435</v>
      </c>
      <c r="B647" t="s">
        <v>793</v>
      </c>
      <c r="C647">
        <v>34000</v>
      </c>
      <c r="D647">
        <v>-1050</v>
      </c>
      <c r="E647">
        <v>-3</v>
      </c>
      <c r="F647" t="s">
        <v>397</v>
      </c>
      <c r="G647" t="s">
        <v>397</v>
      </c>
      <c r="H647" t="s">
        <v>397</v>
      </c>
      <c r="I647" t="s">
        <v>397</v>
      </c>
      <c r="J647" t="s">
        <v>397</v>
      </c>
      <c r="K647" t="s">
        <v>397</v>
      </c>
      <c r="L647">
        <v>685</v>
      </c>
      <c r="M647">
        <v>2.0099999999999998</v>
      </c>
    </row>
    <row r="648" spans="1:13">
      <c r="A648" s="28">
        <v>60480</v>
      </c>
      <c r="B648" t="s">
        <v>794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397</v>
      </c>
      <c r="I648" t="s">
        <v>397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>
      <c r="A649" s="28">
        <v>353810</v>
      </c>
      <c r="B649" t="s">
        <v>795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397</v>
      </c>
      <c r="I649" t="s">
        <v>397</v>
      </c>
      <c r="J649">
        <v>1464</v>
      </c>
      <c r="K649">
        <v>2.56</v>
      </c>
      <c r="L649">
        <v>75</v>
      </c>
      <c r="M649">
        <v>2</v>
      </c>
    </row>
    <row r="650" spans="1:13">
      <c r="A650" s="28">
        <v>5930</v>
      </c>
      <c r="B650" t="s">
        <v>796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>
      <c r="A651" s="28">
        <v>4985</v>
      </c>
      <c r="B651" t="s">
        <v>797</v>
      </c>
      <c r="C651">
        <v>12500</v>
      </c>
      <c r="D651">
        <v>-10</v>
      </c>
      <c r="E651">
        <v>-0.08</v>
      </c>
      <c r="F651" t="s">
        <v>397</v>
      </c>
      <c r="G651" t="s">
        <v>397</v>
      </c>
      <c r="H651" t="s">
        <v>397</v>
      </c>
      <c r="I651" t="s">
        <v>397</v>
      </c>
      <c r="J651" t="s">
        <v>397</v>
      </c>
      <c r="K651" t="s">
        <v>397</v>
      </c>
      <c r="L651">
        <v>250</v>
      </c>
      <c r="M651">
        <v>2</v>
      </c>
    </row>
    <row r="652" spans="1:13">
      <c r="A652" s="28">
        <v>97520</v>
      </c>
      <c r="B652" t="s">
        <v>798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>
      <c r="A653" s="28">
        <v>14280</v>
      </c>
      <c r="B653" t="s">
        <v>799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397</v>
      </c>
      <c r="I653" t="s">
        <v>397</v>
      </c>
      <c r="J653">
        <v>13661</v>
      </c>
      <c r="K653">
        <v>0.44</v>
      </c>
      <c r="L653">
        <v>120</v>
      </c>
      <c r="M653">
        <v>1.99</v>
      </c>
    </row>
    <row r="654" spans="1:13">
      <c r="A654" s="28">
        <v>101330</v>
      </c>
      <c r="B654" t="s">
        <v>800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397</v>
      </c>
      <c r="I654" t="s">
        <v>397</v>
      </c>
      <c r="J654">
        <v>12937</v>
      </c>
      <c r="K654">
        <v>0.27</v>
      </c>
      <c r="L654">
        <v>70</v>
      </c>
      <c r="M654">
        <v>1.99</v>
      </c>
    </row>
    <row r="655" spans="1:13">
      <c r="A655" s="28">
        <v>199820</v>
      </c>
      <c r="B655" t="s">
        <v>801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397</v>
      </c>
      <c r="I655" t="s">
        <v>397</v>
      </c>
      <c r="J655">
        <v>10811</v>
      </c>
      <c r="K655">
        <v>0.93</v>
      </c>
      <c r="L655">
        <v>200</v>
      </c>
      <c r="M655">
        <v>1.99</v>
      </c>
    </row>
    <row r="656" spans="1:13">
      <c r="A656" s="28">
        <v>6620</v>
      </c>
      <c r="B656" t="s">
        <v>802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397</v>
      </c>
      <c r="I656" t="s">
        <v>397</v>
      </c>
      <c r="J656">
        <v>3696</v>
      </c>
      <c r="K656">
        <v>1.5</v>
      </c>
      <c r="L656">
        <v>110</v>
      </c>
      <c r="M656">
        <v>1.98</v>
      </c>
    </row>
    <row r="657" spans="1:13">
      <c r="A657" s="28">
        <v>24070</v>
      </c>
      <c r="B657" t="s">
        <v>803</v>
      </c>
      <c r="C657">
        <v>2520</v>
      </c>
      <c r="D657">
        <v>-20</v>
      </c>
      <c r="E657">
        <v>-0.79</v>
      </c>
      <c r="F657" t="s">
        <v>397</v>
      </c>
      <c r="G657" t="s">
        <v>397</v>
      </c>
      <c r="H657" t="s">
        <v>397</v>
      </c>
      <c r="I657" t="s">
        <v>397</v>
      </c>
      <c r="J657">
        <v>7345</v>
      </c>
      <c r="K657">
        <v>0.34</v>
      </c>
      <c r="L657">
        <v>50</v>
      </c>
      <c r="M657">
        <v>1.98</v>
      </c>
    </row>
    <row r="658" spans="1:13">
      <c r="A658" s="28">
        <v>7070</v>
      </c>
      <c r="B658" t="s">
        <v>804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>
      <c r="A659" s="28">
        <v>39020</v>
      </c>
      <c r="B659" t="s">
        <v>805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397</v>
      </c>
      <c r="I659" t="s">
        <v>397</v>
      </c>
      <c r="J659">
        <v>7375</v>
      </c>
      <c r="K659">
        <v>0.34</v>
      </c>
      <c r="L659">
        <v>50</v>
      </c>
      <c r="M659">
        <v>1.98</v>
      </c>
    </row>
    <row r="660" spans="1:13">
      <c r="A660" s="28">
        <v>4380</v>
      </c>
      <c r="B660" t="s">
        <v>806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397</v>
      </c>
      <c r="I660" t="s">
        <v>397</v>
      </c>
      <c r="J660">
        <v>10179</v>
      </c>
      <c r="K660">
        <v>1.49</v>
      </c>
      <c r="L660">
        <v>300</v>
      </c>
      <c r="M660">
        <v>1.97</v>
      </c>
    </row>
    <row r="661" spans="1:13">
      <c r="A661" s="28">
        <v>31440</v>
      </c>
      <c r="B661" t="s">
        <v>807</v>
      </c>
      <c r="C661">
        <v>38050</v>
      </c>
      <c r="D661">
        <v>-300</v>
      </c>
      <c r="E661">
        <v>-0.78</v>
      </c>
      <c r="F661" t="s">
        <v>397</v>
      </c>
      <c r="G661" t="s">
        <v>397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>
      <c r="A662" s="28">
        <v>376290</v>
      </c>
      <c r="B662" t="s">
        <v>808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397</v>
      </c>
      <c r="I662" t="s">
        <v>397</v>
      </c>
      <c r="J662">
        <v>5729</v>
      </c>
      <c r="K662">
        <v>0.56999999999999995</v>
      </c>
      <c r="L662">
        <v>64</v>
      </c>
      <c r="M662">
        <v>1.97</v>
      </c>
    </row>
    <row r="663" spans="1:13">
      <c r="A663" s="28">
        <v>14970</v>
      </c>
      <c r="B663" t="s">
        <v>809</v>
      </c>
      <c r="C663">
        <v>3810</v>
      </c>
      <c r="D663">
        <v>-60</v>
      </c>
      <c r="E663">
        <v>-1.55</v>
      </c>
      <c r="F663" t="s">
        <v>397</v>
      </c>
      <c r="G663" t="s">
        <v>397</v>
      </c>
      <c r="H663" t="s">
        <v>397</v>
      </c>
      <c r="I663" t="s">
        <v>397</v>
      </c>
      <c r="J663">
        <v>3969</v>
      </c>
      <c r="K663">
        <v>0.96</v>
      </c>
      <c r="L663">
        <v>75</v>
      </c>
      <c r="M663">
        <v>1.97</v>
      </c>
    </row>
    <row r="664" spans="1:1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>
      <c r="A665" s="28">
        <v>16590</v>
      </c>
      <c r="B665" t="s">
        <v>810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397</v>
      </c>
      <c r="I665" t="s">
        <v>397</v>
      </c>
      <c r="J665">
        <v>15417</v>
      </c>
      <c r="K665">
        <v>0.42</v>
      </c>
      <c r="L665">
        <v>125</v>
      </c>
      <c r="M665">
        <v>1.94</v>
      </c>
    </row>
    <row r="666" spans="1:13">
      <c r="A666" s="28">
        <v>78070</v>
      </c>
      <c r="B666" t="s">
        <v>811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397</v>
      </c>
      <c r="I666" t="s">
        <v>397</v>
      </c>
      <c r="J666">
        <v>14020</v>
      </c>
      <c r="K666">
        <v>0.92</v>
      </c>
      <c r="L666">
        <v>250</v>
      </c>
      <c r="M666">
        <v>1.94</v>
      </c>
    </row>
    <row r="667" spans="1:13">
      <c r="A667" s="28">
        <v>280360</v>
      </c>
      <c r="B667" t="s">
        <v>812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>
      <c r="A668" s="28">
        <v>20</v>
      </c>
      <c r="B668" t="s">
        <v>813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397</v>
      </c>
      <c r="I668" t="s">
        <v>397</v>
      </c>
      <c r="J668">
        <v>13165</v>
      </c>
      <c r="K668">
        <v>0.71</v>
      </c>
      <c r="L668">
        <v>180</v>
      </c>
      <c r="M668">
        <v>1.93</v>
      </c>
    </row>
    <row r="669" spans="1:13">
      <c r="A669" s="28">
        <v>36710</v>
      </c>
      <c r="B669" t="s">
        <v>814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397</v>
      </c>
      <c r="I669" t="s">
        <v>397</v>
      </c>
      <c r="J669">
        <v>4971</v>
      </c>
      <c r="K669">
        <v>0.52</v>
      </c>
      <c r="L669">
        <v>50</v>
      </c>
      <c r="M669">
        <v>1.93</v>
      </c>
    </row>
    <row r="670" spans="1:13">
      <c r="A670" s="28">
        <v>3100</v>
      </c>
      <c r="B670" t="s">
        <v>815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397</v>
      </c>
      <c r="I670" t="s">
        <v>397</v>
      </c>
      <c r="J670">
        <v>58858</v>
      </c>
      <c r="K670">
        <v>0.31</v>
      </c>
      <c r="L670">
        <v>350</v>
      </c>
      <c r="M670">
        <v>1.93</v>
      </c>
    </row>
    <row r="671" spans="1:13">
      <c r="A671" s="28">
        <v>5670</v>
      </c>
      <c r="B671" t="s">
        <v>816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397</v>
      </c>
      <c r="I671" t="s">
        <v>397</v>
      </c>
      <c r="J671">
        <v>9493</v>
      </c>
      <c r="K671">
        <v>0.49</v>
      </c>
      <c r="L671">
        <v>90</v>
      </c>
      <c r="M671">
        <v>1.92</v>
      </c>
    </row>
    <row r="672" spans="1:13">
      <c r="A672" s="28">
        <v>195870</v>
      </c>
      <c r="B672" t="s">
        <v>817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>
      <c r="A673" s="28">
        <v>97950</v>
      </c>
      <c r="B673" t="s">
        <v>818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>
      <c r="A674" s="28">
        <v>417970</v>
      </c>
      <c r="B674" t="s">
        <v>819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397</v>
      </c>
      <c r="I674" t="s">
        <v>397</v>
      </c>
      <c r="J674">
        <v>9776</v>
      </c>
      <c r="K674">
        <v>1.62</v>
      </c>
      <c r="L674">
        <v>300</v>
      </c>
      <c r="M674">
        <v>1.9</v>
      </c>
    </row>
    <row r="675" spans="1:13">
      <c r="A675" s="28">
        <v>65680</v>
      </c>
      <c r="B675" t="s">
        <v>820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397</v>
      </c>
      <c r="I675" t="s">
        <v>397</v>
      </c>
      <c r="J675">
        <v>27094</v>
      </c>
      <c r="K675">
        <v>0.57999999999999996</v>
      </c>
      <c r="L675">
        <v>300</v>
      </c>
      <c r="M675">
        <v>1.9</v>
      </c>
    </row>
    <row r="676" spans="1:13">
      <c r="A676" s="28">
        <v>44780</v>
      </c>
      <c r="B676" t="s">
        <v>821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397</v>
      </c>
      <c r="I676" t="s">
        <v>397</v>
      </c>
      <c r="J676">
        <v>3220</v>
      </c>
      <c r="K676">
        <v>0.49</v>
      </c>
      <c r="L676">
        <v>30</v>
      </c>
      <c r="M676">
        <v>1.89</v>
      </c>
    </row>
    <row r="677" spans="1:13">
      <c r="A677" s="28">
        <v>210540</v>
      </c>
      <c r="B677" t="s">
        <v>822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397</v>
      </c>
      <c r="I677" t="s">
        <v>397</v>
      </c>
      <c r="J677">
        <v>21781</v>
      </c>
      <c r="K677">
        <v>0.61</v>
      </c>
      <c r="L677">
        <v>250</v>
      </c>
      <c r="M677">
        <v>1.89</v>
      </c>
    </row>
    <row r="678" spans="1:13">
      <c r="A678" s="28">
        <v>90355</v>
      </c>
      <c r="B678" t="s">
        <v>823</v>
      </c>
      <c r="C678">
        <v>14870</v>
      </c>
      <c r="D678">
        <v>200</v>
      </c>
      <c r="E678">
        <v>1.36</v>
      </c>
      <c r="F678" t="s">
        <v>397</v>
      </c>
      <c r="G678" t="s">
        <v>397</v>
      </c>
      <c r="H678" t="s">
        <v>397</v>
      </c>
      <c r="I678" t="s">
        <v>397</v>
      </c>
      <c r="J678" t="s">
        <v>397</v>
      </c>
      <c r="K678" t="s">
        <v>397</v>
      </c>
      <c r="L678">
        <v>280</v>
      </c>
      <c r="M678">
        <v>1.88</v>
      </c>
    </row>
    <row r="679" spans="1:13">
      <c r="A679" s="28">
        <v>68790</v>
      </c>
      <c r="B679" t="s">
        <v>824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>
      <c r="A680" s="28">
        <v>23810</v>
      </c>
      <c r="B680" t="s">
        <v>825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397</v>
      </c>
      <c r="I680" t="s">
        <v>397</v>
      </c>
      <c r="J680">
        <v>11399</v>
      </c>
      <c r="K680">
        <v>0.85</v>
      </c>
      <c r="L680">
        <v>180</v>
      </c>
      <c r="M680">
        <v>1.87</v>
      </c>
    </row>
    <row r="681" spans="1:13">
      <c r="A681" s="28">
        <v>1130</v>
      </c>
      <c r="B681" t="s">
        <v>826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397</v>
      </c>
      <c r="I681" t="s">
        <v>397</v>
      </c>
      <c r="J681">
        <v>558185</v>
      </c>
      <c r="K681">
        <v>0.24</v>
      </c>
      <c r="L681">
        <v>2500</v>
      </c>
      <c r="M681">
        <v>1.87</v>
      </c>
    </row>
    <row r="682" spans="1:13">
      <c r="A682" s="28">
        <v>65370</v>
      </c>
      <c r="B682" t="s">
        <v>827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397</v>
      </c>
      <c r="I682" t="s">
        <v>397</v>
      </c>
      <c r="J682">
        <v>4549</v>
      </c>
      <c r="K682">
        <v>1.78</v>
      </c>
      <c r="L682">
        <v>150</v>
      </c>
      <c r="M682">
        <v>1.86</v>
      </c>
    </row>
    <row r="683" spans="1:1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397</v>
      </c>
      <c r="I683" t="s">
        <v>397</v>
      </c>
      <c r="J683">
        <v>55263</v>
      </c>
      <c r="K683">
        <v>0.34</v>
      </c>
      <c r="L683">
        <v>350</v>
      </c>
      <c r="M683">
        <v>1.86</v>
      </c>
    </row>
    <row r="684" spans="1:13">
      <c r="A684" s="28">
        <v>119610</v>
      </c>
      <c r="B684" t="s">
        <v>828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>
      <c r="A685" s="28">
        <v>64480</v>
      </c>
      <c r="B685" t="s">
        <v>829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397</v>
      </c>
      <c r="I685" t="s">
        <v>397</v>
      </c>
      <c r="J685">
        <v>4465</v>
      </c>
      <c r="K685">
        <v>1.81</v>
      </c>
      <c r="L685">
        <v>150</v>
      </c>
      <c r="M685">
        <v>1.86</v>
      </c>
    </row>
    <row r="686" spans="1:13">
      <c r="A686" s="28">
        <v>13870</v>
      </c>
      <c r="B686" t="s">
        <v>830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397</v>
      </c>
      <c r="I686" t="s">
        <v>397</v>
      </c>
      <c r="J686">
        <v>13567</v>
      </c>
      <c r="K686">
        <v>0.32</v>
      </c>
      <c r="L686">
        <v>80</v>
      </c>
      <c r="M686">
        <v>1.85</v>
      </c>
    </row>
    <row r="687" spans="1:13">
      <c r="A687" s="28">
        <v>5990</v>
      </c>
      <c r="B687" t="s">
        <v>831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397</v>
      </c>
      <c r="I687" t="s">
        <v>397</v>
      </c>
      <c r="J687">
        <v>26999</v>
      </c>
      <c r="K687">
        <v>0.3</v>
      </c>
      <c r="L687">
        <v>150</v>
      </c>
      <c r="M687">
        <v>1.85</v>
      </c>
    </row>
    <row r="688" spans="1:13">
      <c r="A688" s="28">
        <v>67730</v>
      </c>
      <c r="B688" t="s">
        <v>832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397</v>
      </c>
      <c r="I688" t="s">
        <v>397</v>
      </c>
      <c r="J688">
        <v>1764</v>
      </c>
      <c r="K688">
        <v>1.84</v>
      </c>
      <c r="L688">
        <v>60</v>
      </c>
      <c r="M688">
        <v>1.85</v>
      </c>
    </row>
    <row r="689" spans="1:13">
      <c r="A689" s="28">
        <v>192650</v>
      </c>
      <c r="B689" t="s">
        <v>833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>
      <c r="A690" s="28">
        <v>115500</v>
      </c>
      <c r="B690" t="s">
        <v>834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397</v>
      </c>
      <c r="I690" t="s">
        <v>397</v>
      </c>
      <c r="J690">
        <v>1523</v>
      </c>
      <c r="K690">
        <v>4.99</v>
      </c>
      <c r="L690">
        <v>140</v>
      </c>
      <c r="M690">
        <v>1.84</v>
      </c>
    </row>
    <row r="691" spans="1:13">
      <c r="A691" s="28">
        <v>286940</v>
      </c>
      <c r="B691" t="s">
        <v>835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>
      <c r="A692" s="28">
        <v>141000</v>
      </c>
      <c r="B692" t="s">
        <v>836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397</v>
      </c>
      <c r="I692" t="s">
        <v>397</v>
      </c>
      <c r="J692">
        <v>14931</v>
      </c>
      <c r="K692">
        <v>0.55000000000000004</v>
      </c>
      <c r="L692">
        <v>150</v>
      </c>
      <c r="M692">
        <v>1.83</v>
      </c>
    </row>
    <row r="693" spans="1:13">
      <c r="A693" s="28">
        <v>179290</v>
      </c>
      <c r="B693" t="s">
        <v>837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397</v>
      </c>
      <c r="I693" t="s">
        <v>397</v>
      </c>
      <c r="J693">
        <v>2604</v>
      </c>
      <c r="K693">
        <v>2.52</v>
      </c>
      <c r="L693">
        <v>120</v>
      </c>
      <c r="M693">
        <v>1.83</v>
      </c>
    </row>
    <row r="694" spans="1:13">
      <c r="A694" s="28">
        <v>452400</v>
      </c>
      <c r="B694" t="s">
        <v>838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397</v>
      </c>
      <c r="I694" t="s">
        <v>397</v>
      </c>
      <c r="J694">
        <v>12134</v>
      </c>
      <c r="K694">
        <v>1.88</v>
      </c>
      <c r="L694">
        <v>417</v>
      </c>
      <c r="M694">
        <v>1.83</v>
      </c>
    </row>
    <row r="695" spans="1:13">
      <c r="A695" s="28">
        <v>5850</v>
      </c>
      <c r="B695" t="s">
        <v>839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>
      <c r="A696" s="28">
        <v>192440</v>
      </c>
      <c r="B696" t="s">
        <v>840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397</v>
      </c>
      <c r="I696" t="s">
        <v>397</v>
      </c>
      <c r="J696">
        <v>70159</v>
      </c>
      <c r="K696">
        <v>0.44</v>
      </c>
      <c r="L696">
        <v>560</v>
      </c>
      <c r="M696">
        <v>1.83</v>
      </c>
    </row>
    <row r="697" spans="1:13">
      <c r="A697" s="28">
        <v>440</v>
      </c>
      <c r="B697" t="s">
        <v>841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397</v>
      </c>
      <c r="I697" t="s">
        <v>397</v>
      </c>
      <c r="J697">
        <v>13266</v>
      </c>
      <c r="K697">
        <v>1.32</v>
      </c>
      <c r="L697">
        <v>320</v>
      </c>
      <c r="M697">
        <v>1.82</v>
      </c>
    </row>
    <row r="698" spans="1:13">
      <c r="A698" s="28">
        <v>430</v>
      </c>
      <c r="B698" t="s">
        <v>842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>
      <c r="A699" s="28">
        <v>80010</v>
      </c>
      <c r="B699" t="s">
        <v>843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397</v>
      </c>
      <c r="I699" t="s">
        <v>397</v>
      </c>
      <c r="J699">
        <v>11386</v>
      </c>
      <c r="K699">
        <v>0.48</v>
      </c>
      <c r="L699">
        <v>100</v>
      </c>
      <c r="M699">
        <v>1.82</v>
      </c>
    </row>
    <row r="700" spans="1:13">
      <c r="A700" s="28">
        <v>63760</v>
      </c>
      <c r="B700" t="s">
        <v>844</v>
      </c>
      <c r="C700">
        <v>3300</v>
      </c>
      <c r="D700">
        <v>-5</v>
      </c>
      <c r="E700">
        <v>-0.15</v>
      </c>
      <c r="F700" t="s">
        <v>397</v>
      </c>
      <c r="G700" t="s">
        <v>397</v>
      </c>
      <c r="H700" t="s">
        <v>397</v>
      </c>
      <c r="I700" t="s">
        <v>397</v>
      </c>
      <c r="J700">
        <v>7281</v>
      </c>
      <c r="K700">
        <v>0.45</v>
      </c>
      <c r="L700">
        <v>60</v>
      </c>
      <c r="M700">
        <v>1.82</v>
      </c>
    </row>
    <row r="701" spans="1:13">
      <c r="A701" s="28">
        <v>63570</v>
      </c>
      <c r="B701" t="s">
        <v>845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>
      <c r="A702" s="28">
        <v>79370</v>
      </c>
      <c r="B702" t="s">
        <v>846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>
      <c r="A703" s="28">
        <v>189980</v>
      </c>
      <c r="B703" t="s">
        <v>847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397</v>
      </c>
      <c r="I703" t="s">
        <v>397</v>
      </c>
      <c r="J703">
        <v>2295</v>
      </c>
      <c r="K703">
        <v>0.96</v>
      </c>
      <c r="L703">
        <v>40</v>
      </c>
      <c r="M703">
        <v>1.81</v>
      </c>
    </row>
    <row r="704" spans="1:13">
      <c r="A704" s="28">
        <v>49800</v>
      </c>
      <c r="B704" t="s">
        <v>848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397</v>
      </c>
      <c r="I704" t="s">
        <v>397</v>
      </c>
      <c r="J704">
        <v>5139</v>
      </c>
      <c r="K704">
        <v>0.54</v>
      </c>
      <c r="L704">
        <v>50</v>
      </c>
      <c r="M704">
        <v>1.8</v>
      </c>
    </row>
    <row r="705" spans="1:13">
      <c r="A705" s="28">
        <v>20180</v>
      </c>
      <c r="B705" t="s">
        <v>849</v>
      </c>
      <c r="C705">
        <v>1112</v>
      </c>
      <c r="D705">
        <v>15</v>
      </c>
      <c r="E705">
        <v>1.37</v>
      </c>
      <c r="F705" t="s">
        <v>397</v>
      </c>
      <c r="G705" t="s">
        <v>397</v>
      </c>
      <c r="H705" t="s">
        <v>397</v>
      </c>
      <c r="I705" t="s">
        <v>397</v>
      </c>
      <c r="J705">
        <v>744</v>
      </c>
      <c r="K705">
        <v>1.49</v>
      </c>
      <c r="L705">
        <v>20</v>
      </c>
      <c r="M705">
        <v>1.8</v>
      </c>
    </row>
    <row r="706" spans="1:13">
      <c r="A706" s="28">
        <v>9440</v>
      </c>
      <c r="B706" t="s">
        <v>850</v>
      </c>
      <c r="C706">
        <v>2785</v>
      </c>
      <c r="D706">
        <v>-30</v>
      </c>
      <c r="E706">
        <v>-1.07</v>
      </c>
      <c r="F706" t="s">
        <v>397</v>
      </c>
      <c r="G706" t="s">
        <v>397</v>
      </c>
      <c r="H706" t="s">
        <v>397</v>
      </c>
      <c r="I706" t="s">
        <v>397</v>
      </c>
      <c r="J706">
        <v>7463</v>
      </c>
      <c r="K706">
        <v>0.37</v>
      </c>
      <c r="L706">
        <v>50</v>
      </c>
      <c r="M706">
        <v>1.8</v>
      </c>
    </row>
    <row r="707" spans="1:13">
      <c r="A707" s="28">
        <v>5250</v>
      </c>
      <c r="B707" t="s">
        <v>851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397</v>
      </c>
      <c r="I707" t="s">
        <v>397</v>
      </c>
      <c r="J707">
        <v>23095</v>
      </c>
      <c r="K707">
        <v>0.72</v>
      </c>
      <c r="L707">
        <v>300</v>
      </c>
      <c r="M707">
        <v>1.8</v>
      </c>
    </row>
    <row r="708" spans="1:13">
      <c r="A708" s="28">
        <v>12690</v>
      </c>
      <c r="B708" t="s">
        <v>852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397</v>
      </c>
      <c r="I708" t="s">
        <v>397</v>
      </c>
      <c r="J708">
        <v>2123</v>
      </c>
      <c r="K708">
        <v>1.32</v>
      </c>
      <c r="L708">
        <v>50</v>
      </c>
      <c r="M708">
        <v>1.79</v>
      </c>
    </row>
    <row r="709" spans="1:13">
      <c r="A709" s="28">
        <v>39830</v>
      </c>
      <c r="B709" t="s">
        <v>853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>
      <c r="A710" s="28">
        <v>143160</v>
      </c>
      <c r="B710" t="s">
        <v>854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397</v>
      </c>
      <c r="I710" t="s">
        <v>397</v>
      </c>
      <c r="J710">
        <v>18950</v>
      </c>
      <c r="K710">
        <v>1.04</v>
      </c>
      <c r="L710">
        <v>350</v>
      </c>
      <c r="M710">
        <v>1.78</v>
      </c>
    </row>
    <row r="711" spans="1:13">
      <c r="A711" s="28">
        <v>263020</v>
      </c>
      <c r="B711" t="s">
        <v>855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397</v>
      </c>
      <c r="I711" t="s">
        <v>397</v>
      </c>
      <c r="J711">
        <v>4112</v>
      </c>
      <c r="K711">
        <v>0.68</v>
      </c>
      <c r="L711">
        <v>50</v>
      </c>
      <c r="M711">
        <v>1.78</v>
      </c>
    </row>
    <row r="712" spans="1:13">
      <c r="A712" s="28">
        <v>58430</v>
      </c>
      <c r="B712" t="s">
        <v>856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397</v>
      </c>
      <c r="I712" t="s">
        <v>397</v>
      </c>
      <c r="J712">
        <v>57026</v>
      </c>
      <c r="K712">
        <v>0.86</v>
      </c>
      <c r="L712">
        <v>875</v>
      </c>
      <c r="M712">
        <v>1.78</v>
      </c>
    </row>
    <row r="713" spans="1:13">
      <c r="A713" s="28">
        <v>83930</v>
      </c>
      <c r="B713" t="s">
        <v>857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397</v>
      </c>
      <c r="I713" t="s">
        <v>397</v>
      </c>
      <c r="J713">
        <v>12644</v>
      </c>
      <c r="K713">
        <v>1.34</v>
      </c>
      <c r="L713">
        <v>300</v>
      </c>
      <c r="M713">
        <v>1.78</v>
      </c>
    </row>
    <row r="714" spans="1:13">
      <c r="A714" s="28">
        <v>200670</v>
      </c>
      <c r="B714" t="s">
        <v>858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>
      <c r="A715" s="28">
        <v>43370</v>
      </c>
      <c r="B715" t="s">
        <v>859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397</v>
      </c>
      <c r="I715" t="s">
        <v>397</v>
      </c>
      <c r="J715">
        <v>32776</v>
      </c>
      <c r="K715">
        <v>0.35</v>
      </c>
      <c r="L715">
        <v>200</v>
      </c>
      <c r="M715">
        <v>1.76</v>
      </c>
    </row>
    <row r="716" spans="1:13">
      <c r="A716" s="28">
        <v>100220</v>
      </c>
      <c r="B716" t="s">
        <v>860</v>
      </c>
      <c r="C716">
        <v>5690</v>
      </c>
      <c r="D716">
        <v>-50</v>
      </c>
      <c r="E716">
        <v>-0.87</v>
      </c>
      <c r="F716" t="s">
        <v>397</v>
      </c>
      <c r="G716" t="s">
        <v>397</v>
      </c>
      <c r="H716" t="s">
        <v>397</v>
      </c>
      <c r="I716" t="s">
        <v>397</v>
      </c>
      <c r="J716">
        <v>16097</v>
      </c>
      <c r="K716">
        <v>0.35</v>
      </c>
      <c r="L716">
        <v>100</v>
      </c>
      <c r="M716">
        <v>1.76</v>
      </c>
    </row>
    <row r="717" spans="1:13">
      <c r="A717" s="28">
        <v>4910</v>
      </c>
      <c r="B717" t="s">
        <v>861</v>
      </c>
      <c r="C717">
        <v>5680</v>
      </c>
      <c r="D717">
        <v>0</v>
      </c>
      <c r="E717">
        <v>0</v>
      </c>
      <c r="F717" t="s">
        <v>397</v>
      </c>
      <c r="G717" t="s">
        <v>397</v>
      </c>
      <c r="H717" t="s">
        <v>397</v>
      </c>
      <c r="I717" t="s">
        <v>397</v>
      </c>
      <c r="J717">
        <v>16695</v>
      </c>
      <c r="K717">
        <v>0.34</v>
      </c>
      <c r="L717">
        <v>100</v>
      </c>
      <c r="M717">
        <v>1.76</v>
      </c>
    </row>
    <row r="718" spans="1:13">
      <c r="A718" s="28">
        <v>222800</v>
      </c>
      <c r="B718" t="s">
        <v>862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>
      <c r="A719" s="28">
        <v>47050</v>
      </c>
      <c r="B719" t="s">
        <v>863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>
      <c r="A720" s="28">
        <v>353200</v>
      </c>
      <c r="B720" t="s">
        <v>864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>
      <c r="A721" s="28">
        <v>419120</v>
      </c>
      <c r="B721" t="s">
        <v>865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397</v>
      </c>
      <c r="I721" t="s">
        <v>397</v>
      </c>
      <c r="J721">
        <v>7296</v>
      </c>
      <c r="K721">
        <v>1.41</v>
      </c>
      <c r="L721">
        <v>180</v>
      </c>
      <c r="M721">
        <v>1.75</v>
      </c>
    </row>
    <row r="722" spans="1:13">
      <c r="A722" s="28">
        <v>268280</v>
      </c>
      <c r="B722" t="s">
        <v>866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397</v>
      </c>
      <c r="I722" t="s">
        <v>397</v>
      </c>
      <c r="J722">
        <v>75680</v>
      </c>
      <c r="K722">
        <v>1.74</v>
      </c>
      <c r="L722">
        <v>2300</v>
      </c>
      <c r="M722">
        <v>1.75</v>
      </c>
    </row>
    <row r="723" spans="1:13">
      <c r="A723" s="28">
        <v>4080</v>
      </c>
      <c r="B723" t="s">
        <v>867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397</v>
      </c>
      <c r="I723" t="s">
        <v>397</v>
      </c>
      <c r="J723">
        <v>11398</v>
      </c>
      <c r="K723">
        <v>1.26</v>
      </c>
      <c r="L723">
        <v>250</v>
      </c>
      <c r="M723">
        <v>1.74</v>
      </c>
    </row>
    <row r="724" spans="1:13">
      <c r="A724" s="28">
        <v>131030</v>
      </c>
      <c r="B724" t="s">
        <v>868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397</v>
      </c>
      <c r="I724" t="s">
        <v>397</v>
      </c>
      <c r="J724">
        <v>8207</v>
      </c>
      <c r="K724">
        <v>0.7</v>
      </c>
      <c r="L724">
        <v>100</v>
      </c>
      <c r="M724">
        <v>1.74</v>
      </c>
    </row>
    <row r="725" spans="1:1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>
      <c r="A726" s="28">
        <v>318410</v>
      </c>
      <c r="B726" t="s">
        <v>869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397</v>
      </c>
      <c r="I726" t="s">
        <v>397</v>
      </c>
      <c r="J726">
        <v>13154</v>
      </c>
      <c r="K726">
        <v>0.87</v>
      </c>
      <c r="L726">
        <v>200</v>
      </c>
      <c r="M726">
        <v>1.74</v>
      </c>
    </row>
    <row r="727" spans="1:13">
      <c r="A727" s="28">
        <v>36690</v>
      </c>
      <c r="B727" t="s">
        <v>870</v>
      </c>
      <c r="C727">
        <v>2885</v>
      </c>
      <c r="D727">
        <v>15</v>
      </c>
      <c r="E727">
        <v>0.52</v>
      </c>
      <c r="F727" t="s">
        <v>397</v>
      </c>
      <c r="G727" t="s">
        <v>397</v>
      </c>
      <c r="H727" t="s">
        <v>397</v>
      </c>
      <c r="I727" t="s">
        <v>397</v>
      </c>
      <c r="J727">
        <v>3029</v>
      </c>
      <c r="K727">
        <v>0.95</v>
      </c>
      <c r="L727">
        <v>50</v>
      </c>
      <c r="M727">
        <v>1.73</v>
      </c>
    </row>
    <row r="728" spans="1:13">
      <c r="A728" s="28">
        <v>243070</v>
      </c>
      <c r="B728" t="s">
        <v>871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>
      <c r="A729" s="28">
        <v>377330</v>
      </c>
      <c r="B729" t="s">
        <v>872</v>
      </c>
      <c r="C729">
        <v>6930</v>
      </c>
      <c r="D729">
        <v>30</v>
      </c>
      <c r="E729">
        <v>0.43</v>
      </c>
      <c r="F729" t="s">
        <v>397</v>
      </c>
      <c r="G729" t="s">
        <v>397</v>
      </c>
      <c r="H729" t="s">
        <v>397</v>
      </c>
      <c r="I729" t="s">
        <v>397</v>
      </c>
      <c r="J729">
        <v>7503</v>
      </c>
      <c r="K729">
        <v>0.92</v>
      </c>
      <c r="L729">
        <v>120</v>
      </c>
      <c r="M729">
        <v>1.73</v>
      </c>
    </row>
    <row r="730" spans="1:13">
      <c r="A730" s="28">
        <v>29460</v>
      </c>
      <c r="B730" t="s">
        <v>873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397</v>
      </c>
      <c r="I730" t="s">
        <v>397</v>
      </c>
      <c r="J730">
        <v>58058</v>
      </c>
      <c r="K730">
        <v>0.35</v>
      </c>
      <c r="L730">
        <v>350</v>
      </c>
      <c r="M730">
        <v>1.72</v>
      </c>
    </row>
    <row r="731" spans="1:13">
      <c r="A731" s="28">
        <v>105840</v>
      </c>
      <c r="B731" t="s">
        <v>874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397</v>
      </c>
      <c r="I731" t="s">
        <v>397</v>
      </c>
      <c r="J731">
        <v>7877</v>
      </c>
      <c r="K731">
        <v>1.1100000000000001</v>
      </c>
      <c r="L731">
        <v>150</v>
      </c>
      <c r="M731">
        <v>1.72</v>
      </c>
    </row>
    <row r="732" spans="1:13">
      <c r="A732" s="28">
        <v>357230</v>
      </c>
      <c r="B732" t="s">
        <v>875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397</v>
      </c>
      <c r="I732" t="s">
        <v>397</v>
      </c>
      <c r="J732">
        <v>3477</v>
      </c>
      <c r="K732">
        <v>1.35</v>
      </c>
      <c r="L732">
        <v>80</v>
      </c>
      <c r="M732">
        <v>1.71</v>
      </c>
    </row>
    <row r="733" spans="1:13">
      <c r="A733" s="28">
        <v>64760</v>
      </c>
      <c r="B733" t="s">
        <v>876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>
      <c r="A734" s="28">
        <v>23350</v>
      </c>
      <c r="B734" t="s">
        <v>877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397</v>
      </c>
      <c r="I734" t="s">
        <v>397</v>
      </c>
      <c r="J734">
        <v>14302</v>
      </c>
      <c r="K734">
        <v>0.41</v>
      </c>
      <c r="L734">
        <v>100</v>
      </c>
      <c r="M734">
        <v>1.71</v>
      </c>
    </row>
    <row r="735" spans="1:13">
      <c r="A735" s="28">
        <v>48830</v>
      </c>
      <c r="B735" t="s">
        <v>878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397</v>
      </c>
      <c r="I735" t="s">
        <v>397</v>
      </c>
      <c r="J735">
        <v>2343</v>
      </c>
      <c r="K735">
        <v>0.75</v>
      </c>
      <c r="L735">
        <v>30</v>
      </c>
      <c r="M735">
        <v>1.71</v>
      </c>
    </row>
    <row r="736" spans="1:13">
      <c r="A736" s="28">
        <v>66575</v>
      </c>
      <c r="B736" t="s">
        <v>879</v>
      </c>
      <c r="C736">
        <v>43900</v>
      </c>
      <c r="D736">
        <v>-650</v>
      </c>
      <c r="E736">
        <v>-1.46</v>
      </c>
      <c r="F736" t="s">
        <v>397</v>
      </c>
      <c r="G736" t="s">
        <v>397</v>
      </c>
      <c r="H736" t="s">
        <v>397</v>
      </c>
      <c r="I736" t="s">
        <v>397</v>
      </c>
      <c r="J736" t="s">
        <v>397</v>
      </c>
      <c r="K736" t="s">
        <v>397</v>
      </c>
      <c r="L736">
        <v>750</v>
      </c>
      <c r="M736">
        <v>1.71</v>
      </c>
    </row>
    <row r="737" spans="1:13">
      <c r="A737" s="28">
        <v>9240</v>
      </c>
      <c r="B737" t="s">
        <v>880</v>
      </c>
      <c r="C737">
        <v>47000</v>
      </c>
      <c r="D737">
        <v>-550</v>
      </c>
      <c r="E737">
        <v>-1.1599999999999999</v>
      </c>
      <c r="F737" t="s">
        <v>397</v>
      </c>
      <c r="G737" t="s">
        <v>397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>
      <c r="A738" s="28">
        <v>1465</v>
      </c>
      <c r="B738" t="s">
        <v>881</v>
      </c>
      <c r="C738">
        <v>179800</v>
      </c>
      <c r="D738">
        <v>100</v>
      </c>
      <c r="E738">
        <v>0.06</v>
      </c>
      <c r="F738" t="s">
        <v>397</v>
      </c>
      <c r="G738" t="s">
        <v>397</v>
      </c>
      <c r="H738" t="s">
        <v>397</v>
      </c>
      <c r="I738" t="s">
        <v>397</v>
      </c>
      <c r="J738" t="s">
        <v>397</v>
      </c>
      <c r="K738" t="s">
        <v>397</v>
      </c>
      <c r="L738">
        <v>3050</v>
      </c>
      <c r="M738">
        <v>1.7</v>
      </c>
    </row>
    <row r="739" spans="1:13">
      <c r="A739" s="28">
        <v>37230</v>
      </c>
      <c r="B739" t="s">
        <v>882</v>
      </c>
      <c r="C739">
        <v>2055</v>
      </c>
      <c r="D739">
        <v>-45</v>
      </c>
      <c r="E739">
        <v>-2.14</v>
      </c>
      <c r="F739" t="s">
        <v>397</v>
      </c>
      <c r="G739" t="s">
        <v>397</v>
      </c>
      <c r="H739" t="s">
        <v>397</v>
      </c>
      <c r="I739" t="s">
        <v>397</v>
      </c>
      <c r="J739">
        <v>2250</v>
      </c>
      <c r="K739">
        <v>0.91</v>
      </c>
      <c r="L739">
        <v>35</v>
      </c>
      <c r="M739">
        <v>1.7</v>
      </c>
    </row>
    <row r="740" spans="1:13">
      <c r="A740" s="28">
        <v>2030</v>
      </c>
      <c r="B740" t="s">
        <v>883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397</v>
      </c>
      <c r="I740" t="s">
        <v>397</v>
      </c>
      <c r="J740">
        <v>548397</v>
      </c>
      <c r="K740">
        <v>0.4</v>
      </c>
      <c r="L740">
        <v>3750</v>
      </c>
      <c r="M740">
        <v>1.69</v>
      </c>
    </row>
    <row r="741" spans="1:13">
      <c r="A741" s="28">
        <v>5740</v>
      </c>
      <c r="B741" t="s">
        <v>884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397</v>
      </c>
      <c r="I741" t="s">
        <v>397</v>
      </c>
      <c r="J741">
        <v>20510</v>
      </c>
      <c r="K741">
        <v>0.28999999999999998</v>
      </c>
      <c r="L741">
        <v>100</v>
      </c>
      <c r="M741">
        <v>1.69</v>
      </c>
    </row>
    <row r="742" spans="1:13">
      <c r="A742" s="28">
        <v>86670</v>
      </c>
      <c r="B742" t="s">
        <v>885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>
      <c r="A743" s="28">
        <v>33270</v>
      </c>
      <c r="B743" t="s">
        <v>886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397</v>
      </c>
      <c r="I743" t="s">
        <v>397</v>
      </c>
      <c r="J743">
        <v>22971</v>
      </c>
      <c r="K743">
        <v>1.03</v>
      </c>
      <c r="L743">
        <v>400</v>
      </c>
      <c r="M743">
        <v>1.69</v>
      </c>
    </row>
    <row r="744" spans="1:13">
      <c r="A744" s="28">
        <v>8250</v>
      </c>
      <c r="B744" t="s">
        <v>887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397</v>
      </c>
      <c r="I744" t="s">
        <v>397</v>
      </c>
      <c r="J744">
        <v>18762</v>
      </c>
      <c r="K744">
        <v>0.32</v>
      </c>
      <c r="L744">
        <v>100</v>
      </c>
      <c r="M744">
        <v>1.69</v>
      </c>
    </row>
    <row r="745" spans="1:13">
      <c r="A745" s="28">
        <v>119500</v>
      </c>
      <c r="B745" t="s">
        <v>888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397</v>
      </c>
      <c r="I745" t="s">
        <v>397</v>
      </c>
      <c r="J745">
        <v>4072</v>
      </c>
      <c r="K745">
        <v>0.87</v>
      </c>
      <c r="L745">
        <v>60</v>
      </c>
      <c r="M745">
        <v>1.69</v>
      </c>
    </row>
    <row r="746" spans="1:13">
      <c r="A746" s="28">
        <v>293580</v>
      </c>
      <c r="B746" t="s">
        <v>889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397</v>
      </c>
      <c r="I746" t="s">
        <v>397</v>
      </c>
      <c r="J746">
        <v>996</v>
      </c>
      <c r="K746">
        <v>1.07</v>
      </c>
      <c r="L746">
        <v>18</v>
      </c>
      <c r="M746">
        <v>1.68</v>
      </c>
    </row>
    <row r="747" spans="1:1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397</v>
      </c>
      <c r="I747" t="s">
        <v>397</v>
      </c>
      <c r="J747">
        <v>5683</v>
      </c>
      <c r="K747">
        <v>1.05</v>
      </c>
      <c r="L747">
        <v>100</v>
      </c>
      <c r="M747">
        <v>1.68</v>
      </c>
    </row>
    <row r="748" spans="1:13">
      <c r="A748" s="28">
        <v>118990</v>
      </c>
      <c r="B748" t="s">
        <v>890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397</v>
      </c>
      <c r="I748" t="s">
        <v>397</v>
      </c>
      <c r="J748">
        <v>7276</v>
      </c>
      <c r="K748">
        <v>2.0099999999999998</v>
      </c>
      <c r="L748">
        <v>246</v>
      </c>
      <c r="M748">
        <v>1.68</v>
      </c>
    </row>
    <row r="749" spans="1:13">
      <c r="A749" s="28">
        <v>36120</v>
      </c>
      <c r="B749" t="s">
        <v>891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397</v>
      </c>
      <c r="I749" t="s">
        <v>397</v>
      </c>
      <c r="J749">
        <v>866</v>
      </c>
      <c r="K749">
        <v>3.43</v>
      </c>
      <c r="L749">
        <v>50</v>
      </c>
      <c r="M749">
        <v>1.68</v>
      </c>
    </row>
    <row r="750" spans="1:13">
      <c r="A750" s="28">
        <v>33530</v>
      </c>
      <c r="B750" t="s">
        <v>892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397</v>
      </c>
      <c r="I750" t="s">
        <v>397</v>
      </c>
      <c r="J750">
        <v>14878</v>
      </c>
      <c r="K750">
        <v>0.4</v>
      </c>
      <c r="L750">
        <v>100</v>
      </c>
      <c r="M750">
        <v>1.67</v>
      </c>
    </row>
    <row r="751" spans="1:13">
      <c r="A751" s="28">
        <v>8420</v>
      </c>
      <c r="B751" t="s">
        <v>893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397</v>
      </c>
      <c r="I751" t="s">
        <v>397</v>
      </c>
      <c r="J751">
        <v>8612</v>
      </c>
      <c r="K751">
        <v>0.35</v>
      </c>
      <c r="L751">
        <v>50</v>
      </c>
      <c r="M751">
        <v>1.67</v>
      </c>
    </row>
    <row r="752" spans="1:13">
      <c r="A752" s="28">
        <v>183300</v>
      </c>
      <c r="B752" t="s">
        <v>894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>
      <c r="A753" s="28">
        <v>8490</v>
      </c>
      <c r="B753" t="s">
        <v>895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>
      <c r="A754" s="28">
        <v>54210</v>
      </c>
      <c r="B754" t="s">
        <v>896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397</v>
      </c>
      <c r="I754" t="s">
        <v>397</v>
      </c>
      <c r="J754">
        <v>10449</v>
      </c>
      <c r="K754">
        <v>0.86</v>
      </c>
      <c r="L754">
        <v>150</v>
      </c>
      <c r="M754">
        <v>1.67</v>
      </c>
    </row>
    <row r="755" spans="1:13">
      <c r="A755" s="28">
        <v>45060</v>
      </c>
      <c r="B755" t="s">
        <v>897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397</v>
      </c>
      <c r="I755" t="s">
        <v>397</v>
      </c>
      <c r="J755">
        <v>6078</v>
      </c>
      <c r="K755">
        <v>0.5</v>
      </c>
      <c r="L755">
        <v>50</v>
      </c>
      <c r="M755">
        <v>1.66</v>
      </c>
    </row>
    <row r="756" spans="1:13">
      <c r="A756" s="28">
        <v>33830</v>
      </c>
      <c r="B756" t="s">
        <v>898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397</v>
      </c>
      <c r="I756" t="s">
        <v>397</v>
      </c>
      <c r="J756">
        <v>1286</v>
      </c>
      <c r="K756">
        <v>0.71</v>
      </c>
      <c r="L756">
        <v>15</v>
      </c>
      <c r="M756">
        <v>1.65</v>
      </c>
    </row>
    <row r="757" spans="1:13">
      <c r="A757" s="28">
        <v>1390</v>
      </c>
      <c r="B757" t="s">
        <v>899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397</v>
      </c>
      <c r="I757" t="s">
        <v>397</v>
      </c>
      <c r="J757">
        <v>11474</v>
      </c>
      <c r="K757">
        <v>0.53</v>
      </c>
      <c r="L757">
        <v>100</v>
      </c>
      <c r="M757">
        <v>1.65</v>
      </c>
    </row>
    <row r="758" spans="1:13">
      <c r="A758" s="28">
        <v>99190</v>
      </c>
      <c r="B758" t="s">
        <v>900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>
      <c r="A759" s="28">
        <v>101170</v>
      </c>
      <c r="B759" t="s">
        <v>901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>
      <c r="A760" s="28">
        <v>251970</v>
      </c>
      <c r="B760" t="s">
        <v>902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>
      <c r="A761" s="28">
        <v>3380</v>
      </c>
      <c r="B761" t="s">
        <v>903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397</v>
      </c>
      <c r="I761" t="s">
        <v>397</v>
      </c>
      <c r="J761">
        <v>29169</v>
      </c>
      <c r="K761">
        <v>0.25</v>
      </c>
      <c r="L761">
        <v>120</v>
      </c>
      <c r="M761">
        <v>1.63</v>
      </c>
    </row>
    <row r="762" spans="1:13">
      <c r="A762" s="28">
        <v>36580</v>
      </c>
      <c r="B762" t="s">
        <v>904</v>
      </c>
      <c r="C762">
        <v>3070</v>
      </c>
      <c r="D762">
        <v>-85</v>
      </c>
      <c r="E762">
        <v>-2.69</v>
      </c>
      <c r="F762" t="s">
        <v>397</v>
      </c>
      <c r="G762" t="s">
        <v>397</v>
      </c>
      <c r="H762" t="s">
        <v>397</v>
      </c>
      <c r="I762" t="s">
        <v>397</v>
      </c>
      <c r="J762">
        <v>7532</v>
      </c>
      <c r="K762">
        <v>0.41</v>
      </c>
      <c r="L762">
        <v>50</v>
      </c>
      <c r="M762">
        <v>1.63</v>
      </c>
    </row>
    <row r="763" spans="1:13">
      <c r="A763" s="28">
        <v>142210</v>
      </c>
      <c r="B763" t="s">
        <v>905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397</v>
      </c>
      <c r="I763" t="s">
        <v>397</v>
      </c>
      <c r="J763">
        <v>5002</v>
      </c>
      <c r="K763">
        <v>1.23</v>
      </c>
      <c r="L763">
        <v>100</v>
      </c>
      <c r="M763">
        <v>1.63</v>
      </c>
    </row>
    <row r="764" spans="1:13">
      <c r="A764" s="28">
        <v>41930</v>
      </c>
      <c r="B764" t="s">
        <v>906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397</v>
      </c>
      <c r="I764" t="s">
        <v>397</v>
      </c>
      <c r="J764">
        <v>9336</v>
      </c>
      <c r="K764">
        <v>0.79</v>
      </c>
      <c r="L764">
        <v>120</v>
      </c>
      <c r="M764">
        <v>1.62</v>
      </c>
    </row>
    <row r="765" spans="1:13">
      <c r="A765" s="28">
        <v>41460</v>
      </c>
      <c r="B765" t="s">
        <v>907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397</v>
      </c>
      <c r="I765" t="s">
        <v>397</v>
      </c>
      <c r="J765">
        <v>2469</v>
      </c>
      <c r="K765">
        <v>1.75</v>
      </c>
      <c r="L765">
        <v>70</v>
      </c>
      <c r="M765">
        <v>1.62</v>
      </c>
    </row>
    <row r="766" spans="1:13">
      <c r="A766" s="28">
        <v>2360</v>
      </c>
      <c r="B766" t="s">
        <v>908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397</v>
      </c>
      <c r="I766" t="s">
        <v>397</v>
      </c>
      <c r="J766">
        <v>857</v>
      </c>
      <c r="K766">
        <v>0.72</v>
      </c>
      <c r="L766">
        <v>10</v>
      </c>
      <c r="M766">
        <v>1.61</v>
      </c>
    </row>
    <row r="767" spans="1:13">
      <c r="A767" s="28">
        <v>5800</v>
      </c>
      <c r="B767" t="s">
        <v>909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397</v>
      </c>
      <c r="I767" t="s">
        <v>397</v>
      </c>
      <c r="J767">
        <v>40302</v>
      </c>
      <c r="K767">
        <v>0.23</v>
      </c>
      <c r="L767">
        <v>150</v>
      </c>
      <c r="M767">
        <v>1.61</v>
      </c>
    </row>
    <row r="768" spans="1:13">
      <c r="A768" s="28">
        <v>23600</v>
      </c>
      <c r="B768" t="s">
        <v>910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397</v>
      </c>
      <c r="I768" t="s">
        <v>397</v>
      </c>
      <c r="J768">
        <v>31370</v>
      </c>
      <c r="K768">
        <v>0.35</v>
      </c>
      <c r="L768">
        <v>175</v>
      </c>
      <c r="M768">
        <v>1.61</v>
      </c>
    </row>
    <row r="769" spans="1:13">
      <c r="A769" s="28">
        <v>262840</v>
      </c>
      <c r="B769" t="s">
        <v>911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397</v>
      </c>
      <c r="I769" t="s">
        <v>397</v>
      </c>
      <c r="J769">
        <v>4623</v>
      </c>
      <c r="K769">
        <v>1.35</v>
      </c>
      <c r="L769">
        <v>100</v>
      </c>
      <c r="M769">
        <v>1.61</v>
      </c>
    </row>
    <row r="770" spans="1:13">
      <c r="A770" s="28">
        <v>53800</v>
      </c>
      <c r="B770" t="s">
        <v>912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397</v>
      </c>
      <c r="I770" t="s">
        <v>397</v>
      </c>
      <c r="J770">
        <v>29416</v>
      </c>
      <c r="K770">
        <v>2.33</v>
      </c>
      <c r="L770">
        <v>1100</v>
      </c>
      <c r="M770">
        <v>1.61</v>
      </c>
    </row>
    <row r="771" spans="1:13">
      <c r="A771" s="28">
        <v>9140</v>
      </c>
      <c r="B771" t="s">
        <v>913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397</v>
      </c>
      <c r="I771" t="s">
        <v>397</v>
      </c>
      <c r="J771">
        <v>49149</v>
      </c>
      <c r="K771">
        <v>0.44</v>
      </c>
      <c r="L771">
        <v>350</v>
      </c>
      <c r="M771">
        <v>1.61</v>
      </c>
    </row>
    <row r="772" spans="1:13">
      <c r="A772" s="28">
        <v>325</v>
      </c>
      <c r="B772" t="s">
        <v>914</v>
      </c>
      <c r="C772">
        <v>31550</v>
      </c>
      <c r="D772">
        <v>-150</v>
      </c>
      <c r="E772">
        <v>-0.47</v>
      </c>
      <c r="F772" t="s">
        <v>397</v>
      </c>
      <c r="G772" t="s">
        <v>397</v>
      </c>
      <c r="H772" t="s">
        <v>397</v>
      </c>
      <c r="I772" t="s">
        <v>397</v>
      </c>
      <c r="J772" t="s">
        <v>397</v>
      </c>
      <c r="K772" t="s">
        <v>397</v>
      </c>
      <c r="L772">
        <v>505</v>
      </c>
      <c r="M772">
        <v>1.6</v>
      </c>
    </row>
    <row r="773" spans="1:13">
      <c r="A773" s="28">
        <v>27710</v>
      </c>
      <c r="B773" t="s">
        <v>915</v>
      </c>
      <c r="C773">
        <v>1563</v>
      </c>
      <c r="D773">
        <v>-10</v>
      </c>
      <c r="E773">
        <v>-0.64</v>
      </c>
      <c r="F773" t="s">
        <v>397</v>
      </c>
      <c r="G773" t="s">
        <v>397</v>
      </c>
      <c r="H773" t="s">
        <v>397</v>
      </c>
      <c r="I773" t="s">
        <v>397</v>
      </c>
      <c r="J773">
        <v>1860</v>
      </c>
      <c r="K773">
        <v>0.84</v>
      </c>
      <c r="L773">
        <v>25</v>
      </c>
      <c r="M773">
        <v>1.6</v>
      </c>
    </row>
    <row r="774" spans="1:13">
      <c r="A774" s="28">
        <v>41510</v>
      </c>
      <c r="B774" t="s">
        <v>916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>
      <c r="A775" s="28">
        <v>296640</v>
      </c>
      <c r="B775" t="s">
        <v>917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397</v>
      </c>
      <c r="I775" t="s">
        <v>397</v>
      </c>
      <c r="J775">
        <v>6096</v>
      </c>
      <c r="K775">
        <v>1.1399999999999999</v>
      </c>
      <c r="L775">
        <v>110</v>
      </c>
      <c r="M775">
        <v>1.58</v>
      </c>
    </row>
    <row r="776" spans="1:13">
      <c r="A776" s="28">
        <v>7980</v>
      </c>
      <c r="B776" t="s">
        <v>918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397</v>
      </c>
      <c r="I776" t="s">
        <v>397</v>
      </c>
      <c r="J776">
        <v>4369</v>
      </c>
      <c r="K776">
        <v>0.44</v>
      </c>
      <c r="L776">
        <v>30</v>
      </c>
      <c r="M776">
        <v>1.57</v>
      </c>
    </row>
    <row r="777" spans="1:13">
      <c r="A777" s="28">
        <v>38010</v>
      </c>
      <c r="B777" t="s">
        <v>919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397</v>
      </c>
      <c r="I777" t="s">
        <v>397</v>
      </c>
      <c r="J777">
        <v>10111</v>
      </c>
      <c r="K777">
        <v>0.76</v>
      </c>
      <c r="L777">
        <v>120</v>
      </c>
      <c r="M777">
        <v>1.57</v>
      </c>
    </row>
    <row r="778" spans="1:13">
      <c r="A778" s="28">
        <v>4710</v>
      </c>
      <c r="B778" t="s">
        <v>920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397</v>
      </c>
      <c r="I778" t="s">
        <v>397</v>
      </c>
      <c r="J778">
        <v>9749</v>
      </c>
      <c r="K778">
        <v>0.65</v>
      </c>
      <c r="L778">
        <v>100</v>
      </c>
      <c r="M778">
        <v>1.57</v>
      </c>
    </row>
    <row r="779" spans="1:13">
      <c r="A779" s="28">
        <v>1525</v>
      </c>
      <c r="B779" t="s">
        <v>921</v>
      </c>
      <c r="C779">
        <v>5720</v>
      </c>
      <c r="D779">
        <v>-70</v>
      </c>
      <c r="E779">
        <v>-1.21</v>
      </c>
      <c r="F779" t="s">
        <v>397</v>
      </c>
      <c r="G779" t="s">
        <v>397</v>
      </c>
      <c r="H779" t="s">
        <v>397</v>
      </c>
      <c r="I779" t="s">
        <v>397</v>
      </c>
      <c r="J779" t="s">
        <v>397</v>
      </c>
      <c r="K779" t="s">
        <v>397</v>
      </c>
      <c r="L779">
        <v>90</v>
      </c>
      <c r="M779">
        <v>1.57</v>
      </c>
    </row>
    <row r="780" spans="1:13">
      <c r="A780" s="28">
        <v>60850</v>
      </c>
      <c r="B780" t="s">
        <v>922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397</v>
      </c>
      <c r="I780" t="s">
        <v>397</v>
      </c>
      <c r="J780">
        <v>5441</v>
      </c>
      <c r="K780">
        <v>1.64</v>
      </c>
      <c r="L780">
        <v>140</v>
      </c>
      <c r="M780">
        <v>1.57</v>
      </c>
    </row>
    <row r="781" spans="1:13">
      <c r="A781" s="28">
        <v>123410</v>
      </c>
      <c r="B781" t="s">
        <v>923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>
      <c r="A782" s="28">
        <v>9070</v>
      </c>
      <c r="B782" t="s">
        <v>924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397</v>
      </c>
      <c r="I782" t="s">
        <v>397</v>
      </c>
      <c r="J782">
        <v>8350</v>
      </c>
      <c r="K782">
        <v>0.46</v>
      </c>
      <c r="L782">
        <v>60</v>
      </c>
      <c r="M782">
        <v>1.56</v>
      </c>
    </row>
    <row r="783" spans="1:13">
      <c r="A783" s="28">
        <v>194700</v>
      </c>
      <c r="B783" t="s">
        <v>925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397</v>
      </c>
      <c r="I783" t="s">
        <v>397</v>
      </c>
      <c r="J783">
        <v>10231</v>
      </c>
      <c r="K783">
        <v>0.94</v>
      </c>
      <c r="L783">
        <v>150</v>
      </c>
      <c r="M783">
        <v>1.56</v>
      </c>
    </row>
    <row r="784" spans="1:13">
      <c r="A784" s="28">
        <v>138080</v>
      </c>
      <c r="B784" t="s">
        <v>926</v>
      </c>
      <c r="C784">
        <v>12830</v>
      </c>
      <c r="D784">
        <v>-440</v>
      </c>
      <c r="E784">
        <v>-3.32</v>
      </c>
      <c r="F784" t="s">
        <v>397</v>
      </c>
      <c r="G784" t="s">
        <v>397</v>
      </c>
      <c r="H784" t="s">
        <v>397</v>
      </c>
      <c r="I784" t="s">
        <v>397</v>
      </c>
      <c r="J784">
        <v>14050</v>
      </c>
      <c r="K784">
        <v>0.91</v>
      </c>
      <c r="L784">
        <v>200</v>
      </c>
      <c r="M784">
        <v>1.56</v>
      </c>
    </row>
    <row r="785" spans="1:13">
      <c r="A785" s="28">
        <v>6890</v>
      </c>
      <c r="B785" t="s">
        <v>927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397</v>
      </c>
      <c r="I785" t="s">
        <v>397</v>
      </c>
      <c r="J785">
        <v>12992</v>
      </c>
      <c r="K785">
        <v>0.99</v>
      </c>
      <c r="L785">
        <v>200</v>
      </c>
      <c r="M785">
        <v>1.55</v>
      </c>
    </row>
    <row r="786" spans="1:13">
      <c r="A786" s="28">
        <v>32750</v>
      </c>
      <c r="B786" t="s">
        <v>928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397</v>
      </c>
      <c r="I786" t="s">
        <v>397</v>
      </c>
      <c r="J786">
        <v>10278</v>
      </c>
      <c r="K786">
        <v>0.5</v>
      </c>
      <c r="L786">
        <v>80</v>
      </c>
      <c r="M786">
        <v>1.55</v>
      </c>
    </row>
    <row r="787" spans="1:13">
      <c r="A787" s="28">
        <v>160980</v>
      </c>
      <c r="B787" t="s">
        <v>929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397</v>
      </c>
      <c r="I787" t="s">
        <v>397</v>
      </c>
      <c r="J787">
        <v>14805</v>
      </c>
      <c r="K787">
        <v>1.32</v>
      </c>
      <c r="L787">
        <v>300</v>
      </c>
      <c r="M787">
        <v>1.54</v>
      </c>
    </row>
    <row r="788" spans="1:13">
      <c r="A788" s="28">
        <v>10040</v>
      </c>
      <c r="B788" t="s">
        <v>930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397</v>
      </c>
      <c r="I788" t="s">
        <v>397</v>
      </c>
      <c r="J788">
        <v>6218</v>
      </c>
      <c r="K788">
        <v>0.47</v>
      </c>
      <c r="L788">
        <v>45</v>
      </c>
      <c r="M788">
        <v>1.54</v>
      </c>
    </row>
    <row r="789" spans="1:13">
      <c r="A789" s="28">
        <v>11280</v>
      </c>
      <c r="B789" t="s">
        <v>931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397</v>
      </c>
      <c r="I789" t="s">
        <v>397</v>
      </c>
      <c r="J789">
        <v>4948</v>
      </c>
      <c r="K789">
        <v>0.66</v>
      </c>
      <c r="L789">
        <v>50</v>
      </c>
      <c r="M789">
        <v>1.54</v>
      </c>
    </row>
    <row r="790" spans="1:13">
      <c r="A790" s="28">
        <v>318000</v>
      </c>
      <c r="B790" t="s">
        <v>932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397</v>
      </c>
      <c r="I790" t="s">
        <v>397</v>
      </c>
      <c r="J790">
        <v>4288</v>
      </c>
      <c r="K790">
        <v>2.0299999999999998</v>
      </c>
      <c r="L790">
        <v>134</v>
      </c>
      <c r="M790">
        <v>1.54</v>
      </c>
    </row>
    <row r="791" spans="1:13">
      <c r="A791" s="28">
        <v>1820</v>
      </c>
      <c r="B791" t="s">
        <v>933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>
      <c r="A792" s="28">
        <v>161390</v>
      </c>
      <c r="B792" t="s">
        <v>934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>
      <c r="A793" s="28">
        <v>120030</v>
      </c>
      <c r="B793" t="s">
        <v>935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397</v>
      </c>
      <c r="I793" t="s">
        <v>397</v>
      </c>
      <c r="J793">
        <v>134669</v>
      </c>
      <c r="K793">
        <v>0.73</v>
      </c>
      <c r="L793">
        <v>1500</v>
      </c>
      <c r="M793">
        <v>1.52</v>
      </c>
    </row>
    <row r="794" spans="1:13">
      <c r="A794" s="28">
        <v>79960</v>
      </c>
      <c r="B794" t="s">
        <v>936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397</v>
      </c>
      <c r="I794" t="s">
        <v>397</v>
      </c>
      <c r="J794">
        <v>35453</v>
      </c>
      <c r="K794">
        <v>0.56000000000000005</v>
      </c>
      <c r="L794">
        <v>300</v>
      </c>
      <c r="M794">
        <v>1.52</v>
      </c>
    </row>
    <row r="795" spans="1:13">
      <c r="A795" s="28">
        <v>319660</v>
      </c>
      <c r="B795" t="s">
        <v>937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>
      <c r="A796" s="28">
        <v>6880</v>
      </c>
      <c r="B796" t="s">
        <v>938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397</v>
      </c>
      <c r="I796" t="s">
        <v>397</v>
      </c>
      <c r="J796">
        <v>8832</v>
      </c>
      <c r="K796">
        <v>0.9</v>
      </c>
      <c r="L796">
        <v>120</v>
      </c>
      <c r="M796">
        <v>1.51</v>
      </c>
    </row>
    <row r="797" spans="1:13">
      <c r="A797" s="28">
        <v>6140</v>
      </c>
      <c r="B797" t="s">
        <v>939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397</v>
      </c>
      <c r="I797" t="s">
        <v>397</v>
      </c>
      <c r="J797">
        <v>8116</v>
      </c>
      <c r="K797">
        <v>0.82</v>
      </c>
      <c r="L797">
        <v>100</v>
      </c>
      <c r="M797">
        <v>1.51</v>
      </c>
    </row>
    <row r="798" spans="1:13">
      <c r="A798" s="28">
        <v>204320</v>
      </c>
      <c r="B798" t="s">
        <v>940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>
      <c r="A799" s="28">
        <v>35200</v>
      </c>
      <c r="B799" t="s">
        <v>941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397</v>
      </c>
      <c r="I799" t="s">
        <v>397</v>
      </c>
      <c r="J799">
        <v>4351</v>
      </c>
      <c r="K799">
        <v>0.77</v>
      </c>
      <c r="L799">
        <v>50</v>
      </c>
      <c r="M799">
        <v>1.5</v>
      </c>
    </row>
    <row r="800" spans="1:13">
      <c r="A800" s="28">
        <v>24060</v>
      </c>
      <c r="B800" t="s">
        <v>942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397</v>
      </c>
      <c r="I800" t="s">
        <v>397</v>
      </c>
      <c r="J800">
        <v>5508</v>
      </c>
      <c r="K800">
        <v>1.81</v>
      </c>
      <c r="L800">
        <v>150</v>
      </c>
      <c r="M800">
        <v>1.5</v>
      </c>
    </row>
    <row r="801" spans="1:13">
      <c r="A801" s="28">
        <v>5160</v>
      </c>
      <c r="B801" t="s">
        <v>943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>
      <c r="A802" s="28">
        <v>14940</v>
      </c>
      <c r="B802" t="s">
        <v>944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397</v>
      </c>
      <c r="I802" t="s">
        <v>397</v>
      </c>
      <c r="J802">
        <v>1862</v>
      </c>
      <c r="K802">
        <v>1.8</v>
      </c>
      <c r="L802">
        <v>50</v>
      </c>
      <c r="M802">
        <v>1.49</v>
      </c>
    </row>
    <row r="803" spans="1:13">
      <c r="A803" s="28">
        <v>6260</v>
      </c>
      <c r="B803" t="s">
        <v>945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>
      <c r="A804" s="28">
        <v>12330</v>
      </c>
      <c r="B804" t="s">
        <v>946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>
      <c r="A805" s="28">
        <v>28260</v>
      </c>
      <c r="B805" t="s">
        <v>947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>
      <c r="A806" s="28">
        <v>60250</v>
      </c>
      <c r="B806" t="s">
        <v>948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>
      <c r="A807" s="28">
        <v>134790</v>
      </c>
      <c r="B807" t="s">
        <v>949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397</v>
      </c>
      <c r="I807" t="s">
        <v>397</v>
      </c>
      <c r="J807">
        <v>37778</v>
      </c>
      <c r="K807">
        <v>0.71</v>
      </c>
      <c r="L807">
        <v>400</v>
      </c>
      <c r="M807">
        <v>1.49</v>
      </c>
    </row>
    <row r="808" spans="1:13">
      <c r="A808" s="28">
        <v>200780</v>
      </c>
      <c r="B808" t="s">
        <v>950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397</v>
      </c>
      <c r="I808" t="s">
        <v>397</v>
      </c>
      <c r="J808">
        <v>9427</v>
      </c>
      <c r="K808">
        <v>0.71</v>
      </c>
      <c r="L808">
        <v>100</v>
      </c>
      <c r="M808">
        <v>1.49</v>
      </c>
    </row>
    <row r="809" spans="1:13">
      <c r="A809" s="28">
        <v>50</v>
      </c>
      <c r="B809" t="s">
        <v>951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397</v>
      </c>
      <c r="I809" t="s">
        <v>397</v>
      </c>
      <c r="J809">
        <v>30304</v>
      </c>
      <c r="K809">
        <v>0.28000000000000003</v>
      </c>
      <c r="L809">
        <v>125</v>
      </c>
      <c r="M809">
        <v>1.48</v>
      </c>
    </row>
    <row r="810" spans="1:13">
      <c r="A810" s="28">
        <v>19010</v>
      </c>
      <c r="B810" t="s">
        <v>952</v>
      </c>
      <c r="C810">
        <v>2025</v>
      </c>
      <c r="D810">
        <v>-45</v>
      </c>
      <c r="E810">
        <v>-2.17</v>
      </c>
      <c r="F810" t="s">
        <v>397</v>
      </c>
      <c r="G810" t="s">
        <v>397</v>
      </c>
      <c r="H810" t="s">
        <v>397</v>
      </c>
      <c r="I810" t="s">
        <v>397</v>
      </c>
      <c r="J810">
        <v>7548</v>
      </c>
      <c r="K810">
        <v>0.27</v>
      </c>
      <c r="L810">
        <v>30</v>
      </c>
      <c r="M810">
        <v>1.48</v>
      </c>
    </row>
    <row r="811" spans="1:13">
      <c r="A811" s="28">
        <v>150900</v>
      </c>
      <c r="B811" t="s">
        <v>953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397</v>
      </c>
      <c r="I811" t="s">
        <v>397</v>
      </c>
      <c r="J811">
        <v>2799</v>
      </c>
      <c r="K811">
        <v>2.44</v>
      </c>
      <c r="L811">
        <v>100</v>
      </c>
      <c r="M811">
        <v>1.47</v>
      </c>
    </row>
    <row r="812" spans="1:13">
      <c r="A812" s="28">
        <v>14440</v>
      </c>
      <c r="B812" t="s">
        <v>954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397</v>
      </c>
      <c r="I812" t="s">
        <v>397</v>
      </c>
      <c r="J812">
        <v>8125</v>
      </c>
      <c r="K812">
        <v>0.42</v>
      </c>
      <c r="L812">
        <v>50</v>
      </c>
      <c r="M812">
        <v>1.47</v>
      </c>
    </row>
    <row r="813" spans="1:13">
      <c r="A813" s="28">
        <v>405100</v>
      </c>
      <c r="B813" t="s">
        <v>955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397</v>
      </c>
      <c r="I813" t="s">
        <v>397</v>
      </c>
      <c r="J813">
        <v>2905</v>
      </c>
      <c r="K813">
        <v>11.2</v>
      </c>
      <c r="L813">
        <v>480</v>
      </c>
      <c r="M813">
        <v>1.47</v>
      </c>
    </row>
    <row r="814" spans="1:13">
      <c r="A814" s="28">
        <v>90460</v>
      </c>
      <c r="B814" t="s">
        <v>956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>
      <c r="A815" s="28">
        <v>272210</v>
      </c>
      <c r="B815" t="s">
        <v>957</v>
      </c>
      <c r="C815">
        <v>17110</v>
      </c>
      <c r="D815">
        <v>-360</v>
      </c>
      <c r="E815">
        <v>-2.06</v>
      </c>
      <c r="F815" t="s">
        <v>397</v>
      </c>
      <c r="G815" t="s">
        <v>397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>
      <c r="A816" s="28">
        <v>6280</v>
      </c>
      <c r="B816" t="s">
        <v>958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>
      <c r="A817" s="28">
        <v>272290</v>
      </c>
      <c r="B817" t="s">
        <v>959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>
      <c r="A818" s="28">
        <v>80470</v>
      </c>
      <c r="B818" t="s">
        <v>960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397</v>
      </c>
      <c r="I818" t="s">
        <v>397</v>
      </c>
      <c r="J818">
        <v>6008</v>
      </c>
      <c r="K818">
        <v>0.8</v>
      </c>
      <c r="L818">
        <v>70</v>
      </c>
      <c r="M818">
        <v>1.45</v>
      </c>
    </row>
    <row r="819" spans="1:13">
      <c r="A819" s="28">
        <v>69730</v>
      </c>
      <c r="B819" t="s">
        <v>961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397</v>
      </c>
      <c r="I819" t="s">
        <v>397</v>
      </c>
      <c r="J819">
        <v>12715</v>
      </c>
      <c r="K819">
        <v>0.33</v>
      </c>
      <c r="L819">
        <v>60</v>
      </c>
      <c r="M819">
        <v>1.45</v>
      </c>
    </row>
    <row r="820" spans="1:13">
      <c r="A820" s="28">
        <v>9150</v>
      </c>
      <c r="B820" t="s">
        <v>962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>
      <c r="A821" s="28">
        <v>51500</v>
      </c>
      <c r="B821" t="s">
        <v>963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>
      <c r="A822" s="28">
        <v>290720</v>
      </c>
      <c r="B822" t="s">
        <v>964</v>
      </c>
      <c r="C822">
        <v>6950</v>
      </c>
      <c r="D822">
        <v>50</v>
      </c>
      <c r="E822">
        <v>0.72</v>
      </c>
      <c r="F822" t="s">
        <v>397</v>
      </c>
      <c r="G822" t="s">
        <v>397</v>
      </c>
      <c r="H822" t="s">
        <v>397</v>
      </c>
      <c r="I822" t="s">
        <v>397</v>
      </c>
      <c r="J822">
        <v>3672</v>
      </c>
      <c r="K822">
        <v>1.89</v>
      </c>
      <c r="L822">
        <v>100</v>
      </c>
      <c r="M822">
        <v>1.44</v>
      </c>
    </row>
    <row r="823" spans="1:13">
      <c r="A823" s="28">
        <v>151860</v>
      </c>
      <c r="B823" t="s">
        <v>965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397</v>
      </c>
      <c r="I823" t="s">
        <v>397</v>
      </c>
      <c r="J823">
        <v>22772</v>
      </c>
      <c r="K823">
        <v>0.46</v>
      </c>
      <c r="L823">
        <v>150</v>
      </c>
      <c r="M823">
        <v>1.44</v>
      </c>
    </row>
    <row r="824" spans="1:13">
      <c r="A824" s="28">
        <v>2240</v>
      </c>
      <c r="B824" t="s">
        <v>966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397</v>
      </c>
      <c r="I824" t="s">
        <v>397</v>
      </c>
      <c r="J824">
        <v>64024</v>
      </c>
      <c r="K824">
        <v>0.33</v>
      </c>
      <c r="L824">
        <v>300</v>
      </c>
      <c r="M824">
        <v>1.43</v>
      </c>
    </row>
    <row r="825" spans="1:13">
      <c r="A825" s="28">
        <v>318010</v>
      </c>
      <c r="B825" t="s">
        <v>967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397</v>
      </c>
      <c r="I825" t="s">
        <v>397</v>
      </c>
      <c r="J825">
        <v>7973</v>
      </c>
      <c r="K825">
        <v>0.88</v>
      </c>
      <c r="L825">
        <v>100</v>
      </c>
      <c r="M825">
        <v>1.43</v>
      </c>
    </row>
    <row r="826" spans="1:13">
      <c r="A826" s="28">
        <v>12200</v>
      </c>
      <c r="B826" t="s">
        <v>968</v>
      </c>
      <c r="C826">
        <v>1750</v>
      </c>
      <c r="D826">
        <v>40</v>
      </c>
      <c r="E826">
        <v>2.34</v>
      </c>
      <c r="F826" t="s">
        <v>397</v>
      </c>
      <c r="G826" t="s">
        <v>397</v>
      </c>
      <c r="H826" t="s">
        <v>397</v>
      </c>
      <c r="I826" t="s">
        <v>397</v>
      </c>
      <c r="J826">
        <v>3924</v>
      </c>
      <c r="K826">
        <v>0.45</v>
      </c>
      <c r="L826">
        <v>25</v>
      </c>
      <c r="M826">
        <v>1.43</v>
      </c>
    </row>
    <row r="827" spans="1:13">
      <c r="A827" s="28">
        <v>1200</v>
      </c>
      <c r="B827" t="s">
        <v>969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397</v>
      </c>
      <c r="I827" t="s">
        <v>397</v>
      </c>
      <c r="J827">
        <v>10623</v>
      </c>
      <c r="K827">
        <v>0.4</v>
      </c>
      <c r="L827">
        <v>60</v>
      </c>
      <c r="M827">
        <v>1.43</v>
      </c>
    </row>
    <row r="828" spans="1:13">
      <c r="A828" s="28">
        <v>12610</v>
      </c>
      <c r="B828" t="s">
        <v>970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397</v>
      </c>
      <c r="I828" t="s">
        <v>397</v>
      </c>
      <c r="J828">
        <v>5831</v>
      </c>
      <c r="K828">
        <v>0.6</v>
      </c>
      <c r="L828">
        <v>50</v>
      </c>
      <c r="M828">
        <v>1.43</v>
      </c>
    </row>
    <row r="829" spans="1:13">
      <c r="A829" s="28">
        <v>273060</v>
      </c>
      <c r="B829" t="s">
        <v>971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397</v>
      </c>
      <c r="I829" t="s">
        <v>397</v>
      </c>
      <c r="J829">
        <v>907</v>
      </c>
      <c r="K829">
        <v>1.55</v>
      </c>
      <c r="L829">
        <v>20</v>
      </c>
      <c r="M829">
        <v>1.42</v>
      </c>
    </row>
    <row r="830" spans="1:13">
      <c r="A830" s="28">
        <v>53080</v>
      </c>
      <c r="B830" t="s">
        <v>972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397</v>
      </c>
      <c r="I830" t="s">
        <v>397</v>
      </c>
      <c r="J830">
        <v>12192</v>
      </c>
      <c r="K830">
        <v>1.75</v>
      </c>
      <c r="L830">
        <v>300</v>
      </c>
      <c r="M830">
        <v>1.41</v>
      </c>
    </row>
    <row r="831" spans="1:13">
      <c r="A831" s="28">
        <v>14285</v>
      </c>
      <c r="B831" t="s">
        <v>973</v>
      </c>
      <c r="C831">
        <v>9210</v>
      </c>
      <c r="D831">
        <v>-10</v>
      </c>
      <c r="E831">
        <v>-0.11</v>
      </c>
      <c r="F831" t="s">
        <v>397</v>
      </c>
      <c r="G831" t="s">
        <v>397</v>
      </c>
      <c r="H831" t="s">
        <v>397</v>
      </c>
      <c r="I831" t="s">
        <v>397</v>
      </c>
      <c r="J831" t="s">
        <v>397</v>
      </c>
      <c r="K831" t="s">
        <v>397</v>
      </c>
      <c r="L831">
        <v>130</v>
      </c>
      <c r="M831">
        <v>1.41</v>
      </c>
    </row>
    <row r="832" spans="1:13">
      <c r="A832" s="28">
        <v>9290</v>
      </c>
      <c r="B832" t="s">
        <v>974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397</v>
      </c>
      <c r="I832" t="s">
        <v>397</v>
      </c>
      <c r="J832">
        <v>12593</v>
      </c>
      <c r="K832">
        <v>0.56000000000000005</v>
      </c>
      <c r="L832">
        <v>100</v>
      </c>
      <c r="M832">
        <v>1.41</v>
      </c>
    </row>
    <row r="833" spans="1:13">
      <c r="A833" s="28">
        <v>67080</v>
      </c>
      <c r="B833" t="s">
        <v>975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397</v>
      </c>
      <c r="I833" t="s">
        <v>397</v>
      </c>
      <c r="J833">
        <v>4452</v>
      </c>
      <c r="K833">
        <v>2.38</v>
      </c>
      <c r="L833">
        <v>150</v>
      </c>
      <c r="M833">
        <v>1.41</v>
      </c>
    </row>
    <row r="834" spans="1:13">
      <c r="A834" s="28">
        <v>65510</v>
      </c>
      <c r="B834" t="s">
        <v>976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>
      <c r="A835" s="28">
        <v>192080</v>
      </c>
      <c r="B835" t="s">
        <v>977</v>
      </c>
      <c r="C835">
        <v>42800</v>
      </c>
      <c r="D835">
        <v>1700</v>
      </c>
      <c r="E835">
        <v>4.1399999999999997</v>
      </c>
      <c r="F835" t="s">
        <v>397</v>
      </c>
      <c r="G835" t="s">
        <v>397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>
      <c r="A836" s="28">
        <v>110990</v>
      </c>
      <c r="B836" t="s">
        <v>978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397</v>
      </c>
      <c r="I836" t="s">
        <v>397</v>
      </c>
      <c r="J836">
        <v>9727</v>
      </c>
      <c r="K836">
        <v>2.21</v>
      </c>
      <c r="L836">
        <v>300</v>
      </c>
      <c r="M836">
        <v>1.4</v>
      </c>
    </row>
    <row r="837" spans="1:13">
      <c r="A837" s="28">
        <v>155660</v>
      </c>
      <c r="B837" t="s">
        <v>979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397</v>
      </c>
      <c r="I837" t="s">
        <v>397</v>
      </c>
      <c r="J837">
        <v>12480</v>
      </c>
      <c r="K837">
        <v>0.34</v>
      </c>
      <c r="L837">
        <v>60</v>
      </c>
      <c r="M837">
        <v>1.4</v>
      </c>
    </row>
    <row r="838" spans="1:13">
      <c r="A838" s="28">
        <v>19180</v>
      </c>
      <c r="B838" t="s">
        <v>980</v>
      </c>
      <c r="C838">
        <v>3570</v>
      </c>
      <c r="D838">
        <v>-10</v>
      </c>
      <c r="E838">
        <v>-0.28000000000000003</v>
      </c>
      <c r="F838" t="s">
        <v>397</v>
      </c>
      <c r="G838" t="s">
        <v>397</v>
      </c>
      <c r="H838" t="s">
        <v>397</v>
      </c>
      <c r="I838" t="s">
        <v>397</v>
      </c>
      <c r="J838">
        <v>4827</v>
      </c>
      <c r="K838">
        <v>0.74</v>
      </c>
      <c r="L838">
        <v>50</v>
      </c>
      <c r="M838">
        <v>1.4</v>
      </c>
    </row>
    <row r="839" spans="1:13">
      <c r="A839" s="28">
        <v>448280</v>
      </c>
      <c r="B839" t="s">
        <v>981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397</v>
      </c>
      <c r="I839" t="s">
        <v>397</v>
      </c>
      <c r="J839">
        <v>6337</v>
      </c>
      <c r="K839">
        <v>5.0599999999999996</v>
      </c>
      <c r="L839">
        <v>450</v>
      </c>
      <c r="M839">
        <v>1.4</v>
      </c>
    </row>
    <row r="840" spans="1:13">
      <c r="A840" s="28">
        <v>78890</v>
      </c>
      <c r="B840" t="s">
        <v>982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397</v>
      </c>
      <c r="I840" t="s">
        <v>397</v>
      </c>
      <c r="J840">
        <v>11795</v>
      </c>
      <c r="K840">
        <v>0.6</v>
      </c>
      <c r="L840">
        <v>100</v>
      </c>
      <c r="M840">
        <v>1.4</v>
      </c>
    </row>
    <row r="841" spans="1:13">
      <c r="A841" s="28">
        <v>12790</v>
      </c>
      <c r="B841" t="s">
        <v>983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397</v>
      </c>
      <c r="I841" t="s">
        <v>397</v>
      </c>
      <c r="J841">
        <v>10676</v>
      </c>
      <c r="K841">
        <v>0.67</v>
      </c>
      <c r="L841">
        <v>100</v>
      </c>
      <c r="M841">
        <v>1.39</v>
      </c>
    </row>
    <row r="842" spans="1:13">
      <c r="A842" s="28">
        <v>14820</v>
      </c>
      <c r="B842" t="s">
        <v>984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>
      <c r="A843" s="28">
        <v>6090</v>
      </c>
      <c r="B843" t="s">
        <v>985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397</v>
      </c>
      <c r="I843" t="s">
        <v>397</v>
      </c>
      <c r="J843">
        <v>21856</v>
      </c>
      <c r="K843">
        <v>0.4</v>
      </c>
      <c r="L843">
        <v>120</v>
      </c>
      <c r="M843">
        <v>1.39</v>
      </c>
    </row>
    <row r="844" spans="1:13">
      <c r="A844" s="28">
        <v>4370</v>
      </c>
      <c r="B844" t="s">
        <v>986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>
      <c r="A845" s="28">
        <v>229640</v>
      </c>
      <c r="B845" t="s">
        <v>987</v>
      </c>
      <c r="C845">
        <v>18130</v>
      </c>
      <c r="D845">
        <v>120</v>
      </c>
      <c r="E845">
        <v>0.67</v>
      </c>
      <c r="F845" t="s">
        <v>397</v>
      </c>
      <c r="G845" t="s">
        <v>397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>
      <c r="A846" s="28">
        <v>187870</v>
      </c>
      <c r="B846" t="s">
        <v>988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397</v>
      </c>
      <c r="I846" t="s">
        <v>397</v>
      </c>
      <c r="J846">
        <v>19571</v>
      </c>
      <c r="K846">
        <v>0.78</v>
      </c>
      <c r="L846">
        <v>210</v>
      </c>
      <c r="M846">
        <v>1.38</v>
      </c>
    </row>
    <row r="847" spans="1:13">
      <c r="A847" s="28">
        <v>150</v>
      </c>
      <c r="B847" t="s">
        <v>989</v>
      </c>
      <c r="C847">
        <v>145000</v>
      </c>
      <c r="D847">
        <v>11000</v>
      </c>
      <c r="E847">
        <v>8.2100000000000009</v>
      </c>
      <c r="F847" t="s">
        <v>397</v>
      </c>
      <c r="G847" t="s">
        <v>397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>
      <c r="A848" s="28">
        <v>136490</v>
      </c>
      <c r="B848" t="s">
        <v>990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397</v>
      </c>
      <c r="I848" t="s">
        <v>397</v>
      </c>
      <c r="J848">
        <v>17831</v>
      </c>
      <c r="K848">
        <v>0.41</v>
      </c>
      <c r="L848">
        <v>100</v>
      </c>
      <c r="M848">
        <v>1.38</v>
      </c>
    </row>
    <row r="849" spans="1:13">
      <c r="A849" s="28">
        <v>25860</v>
      </c>
      <c r="B849" t="s">
        <v>991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397</v>
      </c>
      <c r="I849" t="s">
        <v>397</v>
      </c>
      <c r="J849">
        <v>10670</v>
      </c>
      <c r="K849">
        <v>0.68</v>
      </c>
      <c r="L849">
        <v>100</v>
      </c>
      <c r="M849">
        <v>1.37</v>
      </c>
    </row>
    <row r="850" spans="1:13">
      <c r="A850" s="28">
        <v>32080</v>
      </c>
      <c r="B850" t="s">
        <v>992</v>
      </c>
      <c r="C850">
        <v>1459</v>
      </c>
      <c r="D850">
        <v>-9</v>
      </c>
      <c r="E850">
        <v>-0.61</v>
      </c>
      <c r="F850" t="s">
        <v>397</v>
      </c>
      <c r="G850" t="s">
        <v>397</v>
      </c>
      <c r="H850" t="s">
        <v>397</v>
      </c>
      <c r="I850" t="s">
        <v>397</v>
      </c>
      <c r="J850">
        <v>5240</v>
      </c>
      <c r="K850">
        <v>0.28000000000000003</v>
      </c>
      <c r="L850">
        <v>20</v>
      </c>
      <c r="M850">
        <v>1.37</v>
      </c>
    </row>
    <row r="851" spans="1:13">
      <c r="A851" s="28">
        <v>331380</v>
      </c>
      <c r="B851" t="s">
        <v>993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>
      <c r="A852" s="28">
        <v>290740</v>
      </c>
      <c r="B852" t="s">
        <v>994</v>
      </c>
      <c r="C852">
        <v>7330</v>
      </c>
      <c r="D852">
        <v>20</v>
      </c>
      <c r="E852">
        <v>0.27</v>
      </c>
      <c r="F852" t="s">
        <v>397</v>
      </c>
      <c r="G852" t="s">
        <v>397</v>
      </c>
      <c r="H852" t="s">
        <v>397</v>
      </c>
      <c r="I852" t="s">
        <v>397</v>
      </c>
      <c r="J852">
        <v>6815</v>
      </c>
      <c r="K852">
        <v>1.08</v>
      </c>
      <c r="L852">
        <v>100</v>
      </c>
      <c r="M852">
        <v>1.36</v>
      </c>
    </row>
    <row r="853" spans="1:13">
      <c r="A853" s="28">
        <v>137080</v>
      </c>
      <c r="B853" t="s">
        <v>995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397</v>
      </c>
      <c r="I853" t="s">
        <v>397</v>
      </c>
      <c r="J853">
        <v>9763</v>
      </c>
      <c r="K853">
        <v>0.75</v>
      </c>
      <c r="L853">
        <v>100</v>
      </c>
      <c r="M853">
        <v>1.36</v>
      </c>
    </row>
    <row r="854" spans="1:13">
      <c r="A854" s="28">
        <v>66130</v>
      </c>
      <c r="B854" t="s">
        <v>996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397</v>
      </c>
      <c r="I854" t="s">
        <v>397</v>
      </c>
      <c r="J854">
        <v>8100</v>
      </c>
      <c r="K854">
        <v>0.63</v>
      </c>
      <c r="L854">
        <v>70</v>
      </c>
      <c r="M854">
        <v>1.36</v>
      </c>
    </row>
    <row r="855" spans="1:13">
      <c r="A855" s="28">
        <v>38290</v>
      </c>
      <c r="B855" t="s">
        <v>997</v>
      </c>
      <c r="C855">
        <v>22250</v>
      </c>
      <c r="D855">
        <v>-750</v>
      </c>
      <c r="E855">
        <v>-3.26</v>
      </c>
      <c r="F855" t="s">
        <v>397</v>
      </c>
      <c r="G855" t="s">
        <v>397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>
      <c r="A856" s="28">
        <v>23160</v>
      </c>
      <c r="B856" t="s">
        <v>998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>
      <c r="A857" s="28">
        <v>211050</v>
      </c>
      <c r="B857" t="s">
        <v>999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397</v>
      </c>
      <c r="I857" t="s">
        <v>397</v>
      </c>
      <c r="J857">
        <v>7144</v>
      </c>
      <c r="K857">
        <v>3.16</v>
      </c>
      <c r="L857">
        <v>300</v>
      </c>
      <c r="M857">
        <v>1.33</v>
      </c>
    </row>
    <row r="858" spans="1:13">
      <c r="A858" s="28">
        <v>92780</v>
      </c>
      <c r="B858" t="s">
        <v>1000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397</v>
      </c>
      <c r="I858" t="s">
        <v>397</v>
      </c>
      <c r="J858">
        <v>9239</v>
      </c>
      <c r="K858">
        <v>0.49</v>
      </c>
      <c r="L858">
        <v>60</v>
      </c>
      <c r="M858">
        <v>1.33</v>
      </c>
    </row>
    <row r="859" spans="1:13">
      <c r="A859" s="28">
        <v>112040</v>
      </c>
      <c r="B859" t="s">
        <v>1001</v>
      </c>
      <c r="C859">
        <v>56200</v>
      </c>
      <c r="D859">
        <v>-7200</v>
      </c>
      <c r="E859">
        <v>-11.36</v>
      </c>
      <c r="F859" t="s">
        <v>397</v>
      </c>
      <c r="G859" t="s">
        <v>397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>
      <c r="A860" s="28">
        <v>140070</v>
      </c>
      <c r="B860" t="s">
        <v>1002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397</v>
      </c>
      <c r="I860" t="s">
        <v>397</v>
      </c>
      <c r="J860">
        <v>5292</v>
      </c>
      <c r="K860">
        <v>0.71</v>
      </c>
      <c r="L860">
        <v>50</v>
      </c>
      <c r="M860">
        <v>1.32</v>
      </c>
    </row>
    <row r="861" spans="1:13">
      <c r="A861" s="28">
        <v>73490</v>
      </c>
      <c r="B861" t="s">
        <v>1003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>
      <c r="A862" s="28">
        <v>640</v>
      </c>
      <c r="B862" t="s">
        <v>1004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>
      <c r="A863" s="28">
        <v>1065</v>
      </c>
      <c r="B863" t="s">
        <v>1005</v>
      </c>
      <c r="C863">
        <v>30500</v>
      </c>
      <c r="D863">
        <v>50</v>
      </c>
      <c r="E863">
        <v>0.16</v>
      </c>
      <c r="F863" t="s">
        <v>397</v>
      </c>
      <c r="G863" t="s">
        <v>397</v>
      </c>
      <c r="H863" t="s">
        <v>397</v>
      </c>
      <c r="I863" t="s">
        <v>397</v>
      </c>
      <c r="J863" t="s">
        <v>397</v>
      </c>
      <c r="K863" t="s">
        <v>397</v>
      </c>
      <c r="L863">
        <v>400</v>
      </c>
      <c r="M863">
        <v>1.31</v>
      </c>
    </row>
    <row r="864" spans="1:13">
      <c r="A864" s="28">
        <v>90850</v>
      </c>
      <c r="B864" t="s">
        <v>1006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>
      <c r="A865" s="28">
        <v>1527</v>
      </c>
      <c r="B865" t="s">
        <v>1007</v>
      </c>
      <c r="C865">
        <v>11520</v>
      </c>
      <c r="D865">
        <v>0</v>
      </c>
      <c r="E865">
        <v>0</v>
      </c>
      <c r="F865" t="s">
        <v>397</v>
      </c>
      <c r="G865" t="s">
        <v>397</v>
      </c>
      <c r="H865" t="s">
        <v>397</v>
      </c>
      <c r="I865" t="s">
        <v>397</v>
      </c>
      <c r="J865" t="s">
        <v>397</v>
      </c>
      <c r="K865" t="s">
        <v>397</v>
      </c>
      <c r="L865">
        <v>150</v>
      </c>
      <c r="M865">
        <v>1.3</v>
      </c>
    </row>
    <row r="866" spans="1:13">
      <c r="A866" s="28">
        <v>265520</v>
      </c>
      <c r="B866" t="s">
        <v>1008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397</v>
      </c>
      <c r="I866" t="s">
        <v>397</v>
      </c>
      <c r="J866">
        <v>17980</v>
      </c>
      <c r="K866">
        <v>1.1599999999999999</v>
      </c>
      <c r="L866">
        <v>270</v>
      </c>
      <c r="M866">
        <v>1.3</v>
      </c>
    </row>
    <row r="867" spans="1:13">
      <c r="A867" s="28">
        <v>163560</v>
      </c>
      <c r="B867" t="s">
        <v>1009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397</v>
      </c>
      <c r="I867" t="s">
        <v>397</v>
      </c>
      <c r="J867">
        <v>15353</v>
      </c>
      <c r="K867">
        <v>0.61</v>
      </c>
      <c r="L867">
        <v>120</v>
      </c>
      <c r="M867">
        <v>1.29</v>
      </c>
    </row>
    <row r="868" spans="1:13">
      <c r="A868" s="28">
        <v>725</v>
      </c>
      <c r="B868" t="s">
        <v>1010</v>
      </c>
      <c r="C868">
        <v>50400</v>
      </c>
      <c r="D868">
        <v>-600</v>
      </c>
      <c r="E868">
        <v>-1.18</v>
      </c>
      <c r="F868" t="s">
        <v>397</v>
      </c>
      <c r="G868" t="s">
        <v>397</v>
      </c>
      <c r="H868" t="s">
        <v>397</v>
      </c>
      <c r="I868" t="s">
        <v>397</v>
      </c>
      <c r="J868" t="s">
        <v>397</v>
      </c>
      <c r="K868" t="s">
        <v>397</v>
      </c>
      <c r="L868">
        <v>650</v>
      </c>
      <c r="M868">
        <v>1.29</v>
      </c>
    </row>
    <row r="869" spans="1:13">
      <c r="A869" s="28">
        <v>166090</v>
      </c>
      <c r="B869" t="s">
        <v>1011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>
      <c r="A870" s="28">
        <v>102120</v>
      </c>
      <c r="B870" t="s">
        <v>1012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397</v>
      </c>
      <c r="I870" t="s">
        <v>397</v>
      </c>
      <c r="J870">
        <v>7332</v>
      </c>
      <c r="K870">
        <v>2.14</v>
      </c>
      <c r="L870">
        <v>200</v>
      </c>
      <c r="M870">
        <v>1.28</v>
      </c>
    </row>
    <row r="871" spans="1:13">
      <c r="A871" s="28">
        <v>9470</v>
      </c>
      <c r="B871" t="s">
        <v>1013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397</v>
      </c>
      <c r="I871" t="s">
        <v>397</v>
      </c>
      <c r="J871">
        <v>10248</v>
      </c>
      <c r="K871">
        <v>2.2799999999999998</v>
      </c>
      <c r="L871">
        <v>300</v>
      </c>
      <c r="M871">
        <v>1.28</v>
      </c>
    </row>
    <row r="872" spans="1:13">
      <c r="A872" s="28">
        <v>108230</v>
      </c>
      <c r="B872" t="s">
        <v>1014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397</v>
      </c>
      <c r="I872" t="s">
        <v>397</v>
      </c>
      <c r="J872">
        <v>8696</v>
      </c>
      <c r="K872">
        <v>0.9</v>
      </c>
      <c r="L872">
        <v>100</v>
      </c>
      <c r="M872">
        <v>1.28</v>
      </c>
    </row>
    <row r="873" spans="1:13">
      <c r="A873" s="28">
        <v>48430</v>
      </c>
      <c r="B873" t="s">
        <v>1015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397</v>
      </c>
      <c r="I873" t="s">
        <v>397</v>
      </c>
      <c r="J873">
        <v>10336</v>
      </c>
      <c r="K873">
        <v>0.76</v>
      </c>
      <c r="L873">
        <v>100</v>
      </c>
      <c r="M873">
        <v>1.28</v>
      </c>
    </row>
    <row r="874" spans="1:13">
      <c r="A874" s="28">
        <v>6840</v>
      </c>
      <c r="B874" t="s">
        <v>1016</v>
      </c>
      <c r="C874">
        <v>15600</v>
      </c>
      <c r="D874">
        <v>-160</v>
      </c>
      <c r="E874">
        <v>-1.02</v>
      </c>
      <c r="F874" t="s">
        <v>397</v>
      </c>
      <c r="G874" t="s">
        <v>397</v>
      </c>
      <c r="H874" t="s">
        <v>397</v>
      </c>
      <c r="I874" t="s">
        <v>397</v>
      </c>
      <c r="J874">
        <v>41948</v>
      </c>
      <c r="K874">
        <v>0.37</v>
      </c>
      <c r="L874">
        <v>200</v>
      </c>
      <c r="M874">
        <v>1.28</v>
      </c>
    </row>
    <row r="875" spans="1:13">
      <c r="A875" s="28">
        <v>226320</v>
      </c>
      <c r="B875" t="s">
        <v>1017</v>
      </c>
      <c r="C875">
        <v>11720</v>
      </c>
      <c r="D875">
        <v>40</v>
      </c>
      <c r="E875">
        <v>0.34</v>
      </c>
      <c r="F875" t="s">
        <v>397</v>
      </c>
      <c r="G875" t="s">
        <v>397</v>
      </c>
      <c r="H875" t="s">
        <v>397</v>
      </c>
      <c r="I875" t="s">
        <v>397</v>
      </c>
      <c r="J875">
        <v>20944</v>
      </c>
      <c r="K875">
        <v>0.56000000000000005</v>
      </c>
      <c r="L875">
        <v>150</v>
      </c>
      <c r="M875">
        <v>1.28</v>
      </c>
    </row>
    <row r="876" spans="1:13">
      <c r="A876" s="28">
        <v>45660</v>
      </c>
      <c r="B876" t="s">
        <v>1018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397</v>
      </c>
      <c r="I876" t="s">
        <v>397</v>
      </c>
      <c r="J876">
        <v>11410</v>
      </c>
      <c r="K876">
        <v>1.38</v>
      </c>
      <c r="L876">
        <v>200</v>
      </c>
      <c r="M876">
        <v>1.27</v>
      </c>
    </row>
    <row r="877" spans="1:13">
      <c r="A877" s="28">
        <v>10120</v>
      </c>
      <c r="B877" t="s">
        <v>1019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>
      <c r="A878" s="28">
        <v>4270</v>
      </c>
      <c r="B878" t="s">
        <v>1020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397</v>
      </c>
      <c r="I878" t="s">
        <v>397</v>
      </c>
      <c r="J878">
        <v>3821</v>
      </c>
      <c r="K878">
        <v>0.51</v>
      </c>
      <c r="L878">
        <v>25</v>
      </c>
      <c r="M878">
        <v>1.27</v>
      </c>
    </row>
    <row r="879" spans="1:13">
      <c r="A879" s="28">
        <v>54540</v>
      </c>
      <c r="B879" t="s">
        <v>1021</v>
      </c>
      <c r="C879">
        <v>3945</v>
      </c>
      <c r="D879">
        <v>-30</v>
      </c>
      <c r="E879">
        <v>-0.75</v>
      </c>
      <c r="F879" t="s">
        <v>397</v>
      </c>
      <c r="G879" t="s">
        <v>397</v>
      </c>
      <c r="H879" t="s">
        <v>397</v>
      </c>
      <c r="I879" t="s">
        <v>397</v>
      </c>
      <c r="J879">
        <v>5141</v>
      </c>
      <c r="K879">
        <v>0.77</v>
      </c>
      <c r="L879">
        <v>50</v>
      </c>
      <c r="M879">
        <v>1.27</v>
      </c>
    </row>
    <row r="880" spans="1:13">
      <c r="A880" s="28">
        <v>457550</v>
      </c>
      <c r="B880" t="s">
        <v>1022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397</v>
      </c>
      <c r="I880" t="s">
        <v>397</v>
      </c>
      <c r="J880">
        <v>4198</v>
      </c>
      <c r="K880">
        <v>5.69</v>
      </c>
      <c r="L880">
        <v>304</v>
      </c>
      <c r="M880">
        <v>1.27</v>
      </c>
    </row>
    <row r="881" spans="1:13">
      <c r="A881" s="28">
        <v>13700</v>
      </c>
      <c r="B881" t="s">
        <v>1023</v>
      </c>
      <c r="C881">
        <v>1580</v>
      </c>
      <c r="D881">
        <v>-17</v>
      </c>
      <c r="E881">
        <v>-1.06</v>
      </c>
      <c r="F881" t="s">
        <v>397</v>
      </c>
      <c r="G881" t="s">
        <v>397</v>
      </c>
      <c r="H881" t="s">
        <v>397</v>
      </c>
      <c r="I881" t="s">
        <v>397</v>
      </c>
      <c r="J881">
        <v>1753</v>
      </c>
      <c r="K881">
        <v>0.9</v>
      </c>
      <c r="L881">
        <v>20</v>
      </c>
      <c r="M881">
        <v>1.27</v>
      </c>
    </row>
    <row r="882" spans="1:13">
      <c r="A882" s="28">
        <v>10100</v>
      </c>
      <c r="B882" t="s">
        <v>1024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397</v>
      </c>
      <c r="I882" t="s">
        <v>397</v>
      </c>
      <c r="J882">
        <v>9592</v>
      </c>
      <c r="K882">
        <v>0.57999999999999996</v>
      </c>
      <c r="L882">
        <v>70</v>
      </c>
      <c r="M882">
        <v>1.27</v>
      </c>
    </row>
    <row r="883" spans="1:13">
      <c r="A883" s="28">
        <v>38070</v>
      </c>
      <c r="B883" t="s">
        <v>1025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397</v>
      </c>
      <c r="I883" t="s">
        <v>397</v>
      </c>
      <c r="J883">
        <v>9817</v>
      </c>
      <c r="K883">
        <v>1.06</v>
      </c>
      <c r="L883">
        <v>130</v>
      </c>
      <c r="M883">
        <v>1.25</v>
      </c>
    </row>
    <row r="884" spans="1:13">
      <c r="A884" s="28">
        <v>17800</v>
      </c>
      <c r="B884" t="s">
        <v>1026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397</v>
      </c>
      <c r="I884" t="s">
        <v>397</v>
      </c>
      <c r="J884">
        <v>28992</v>
      </c>
      <c r="K884">
        <v>1.39</v>
      </c>
      <c r="L884">
        <v>500</v>
      </c>
      <c r="M884">
        <v>1.24</v>
      </c>
    </row>
    <row r="885" spans="1:13">
      <c r="A885" s="28">
        <v>47400</v>
      </c>
      <c r="B885" t="s">
        <v>1027</v>
      </c>
      <c r="C885">
        <v>2820</v>
      </c>
      <c r="D885">
        <v>-30</v>
      </c>
      <c r="E885">
        <v>-1.05</v>
      </c>
      <c r="F885" t="s">
        <v>397</v>
      </c>
      <c r="G885" t="s">
        <v>397</v>
      </c>
      <c r="H885" t="s">
        <v>397</v>
      </c>
      <c r="I885" t="s">
        <v>397</v>
      </c>
      <c r="J885">
        <v>1996</v>
      </c>
      <c r="K885">
        <v>1.41</v>
      </c>
      <c r="L885">
        <v>35</v>
      </c>
      <c r="M885">
        <v>1.24</v>
      </c>
    </row>
    <row r="886" spans="1:13">
      <c r="A886" s="28">
        <v>51490</v>
      </c>
      <c r="B886" t="s">
        <v>1028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397</v>
      </c>
      <c r="I886" t="s">
        <v>397</v>
      </c>
      <c r="J886">
        <v>6665</v>
      </c>
      <c r="K886">
        <v>0.86</v>
      </c>
      <c r="L886">
        <v>70</v>
      </c>
      <c r="M886">
        <v>1.23</v>
      </c>
    </row>
    <row r="887" spans="1:13">
      <c r="A887" s="28">
        <v>40300</v>
      </c>
      <c r="B887" t="s">
        <v>1029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397</v>
      </c>
      <c r="I887" t="s">
        <v>397</v>
      </c>
      <c r="J887">
        <v>6078</v>
      </c>
      <c r="K887">
        <v>0.8</v>
      </c>
      <c r="L887">
        <v>60</v>
      </c>
      <c r="M887">
        <v>1.23</v>
      </c>
    </row>
    <row r="888" spans="1:13">
      <c r="A888" s="28">
        <v>11210</v>
      </c>
      <c r="B888" t="s">
        <v>1030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>
      <c r="A889" s="28">
        <v>17960</v>
      </c>
      <c r="B889" t="s">
        <v>1031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>
      <c r="A890" s="28">
        <v>54670</v>
      </c>
      <c r="B890" t="s">
        <v>1032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397</v>
      </c>
      <c r="I890" t="s">
        <v>397</v>
      </c>
      <c r="J890">
        <v>7336</v>
      </c>
      <c r="K890">
        <v>1.1200000000000001</v>
      </c>
      <c r="L890">
        <v>100</v>
      </c>
      <c r="M890">
        <v>1.22</v>
      </c>
    </row>
    <row r="891" spans="1:13">
      <c r="A891" s="28">
        <v>31980</v>
      </c>
      <c r="B891" t="s">
        <v>1033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>
      <c r="A892" s="28">
        <v>35150</v>
      </c>
      <c r="B892" t="s">
        <v>1034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>
      <c r="A893" s="28">
        <v>2350</v>
      </c>
      <c r="B893" t="s">
        <v>1035</v>
      </c>
      <c r="C893">
        <v>8270</v>
      </c>
      <c r="D893">
        <v>-10</v>
      </c>
      <c r="E893">
        <v>-0.12</v>
      </c>
      <c r="F893" t="s">
        <v>397</v>
      </c>
      <c r="G893" t="s">
        <v>397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>
      <c r="A894" s="28">
        <v>12320</v>
      </c>
      <c r="B894" t="s">
        <v>1036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397</v>
      </c>
      <c r="I894" t="s">
        <v>397</v>
      </c>
      <c r="J894">
        <v>205405</v>
      </c>
      <c r="K894">
        <v>0.3</v>
      </c>
      <c r="L894">
        <v>750</v>
      </c>
      <c r="M894">
        <v>1.21</v>
      </c>
    </row>
    <row r="895" spans="1:13">
      <c r="A895" s="28">
        <v>347740</v>
      </c>
      <c r="B895" t="s">
        <v>1037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397</v>
      </c>
      <c r="I895" t="s">
        <v>397</v>
      </c>
      <c r="J895">
        <v>2359</v>
      </c>
      <c r="K895">
        <v>1.22</v>
      </c>
      <c r="L895">
        <v>35</v>
      </c>
      <c r="M895">
        <v>1.21</v>
      </c>
    </row>
    <row r="896" spans="1:13">
      <c r="A896" s="28">
        <v>108675</v>
      </c>
      <c r="B896" t="s">
        <v>1038</v>
      </c>
      <c r="C896">
        <v>20900</v>
      </c>
      <c r="D896">
        <v>-50</v>
      </c>
      <c r="E896">
        <v>-0.24</v>
      </c>
      <c r="F896" t="s">
        <v>397</v>
      </c>
      <c r="G896" t="s">
        <v>397</v>
      </c>
      <c r="H896" t="s">
        <v>397</v>
      </c>
      <c r="I896" t="s">
        <v>397</v>
      </c>
      <c r="J896" t="s">
        <v>397</v>
      </c>
      <c r="K896" t="s">
        <v>397</v>
      </c>
      <c r="L896">
        <v>250</v>
      </c>
      <c r="M896">
        <v>1.2</v>
      </c>
    </row>
    <row r="897" spans="1:13">
      <c r="A897" s="28">
        <v>9780</v>
      </c>
      <c r="B897" t="s">
        <v>1039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397</v>
      </c>
      <c r="I897" t="s">
        <v>397</v>
      </c>
      <c r="J897">
        <v>7565</v>
      </c>
      <c r="K897">
        <v>0.66</v>
      </c>
      <c r="L897">
        <v>60</v>
      </c>
      <c r="M897">
        <v>1.2</v>
      </c>
    </row>
    <row r="898" spans="1:13">
      <c r="A898" s="28">
        <v>260970</v>
      </c>
      <c r="B898" t="s">
        <v>1040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397</v>
      </c>
      <c r="I898" t="s">
        <v>397</v>
      </c>
      <c r="J898">
        <v>19241</v>
      </c>
      <c r="K898">
        <v>1.29</v>
      </c>
      <c r="L898">
        <v>300</v>
      </c>
      <c r="M898">
        <v>1.2</v>
      </c>
    </row>
    <row r="899" spans="1:13">
      <c r="A899" s="28">
        <v>53050</v>
      </c>
      <c r="B899" t="s">
        <v>1041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397</v>
      </c>
      <c r="I899" t="s">
        <v>397</v>
      </c>
      <c r="J899">
        <v>2955</v>
      </c>
      <c r="K899">
        <v>1.1399999999999999</v>
      </c>
      <c r="L899">
        <v>40</v>
      </c>
      <c r="M899">
        <v>1.19</v>
      </c>
    </row>
    <row r="900" spans="1:13">
      <c r="A900" s="28">
        <v>40910</v>
      </c>
      <c r="B900" t="s">
        <v>1042</v>
      </c>
      <c r="C900">
        <v>8410</v>
      </c>
      <c r="D900">
        <v>0</v>
      </c>
      <c r="E900">
        <v>0</v>
      </c>
      <c r="F900" t="s">
        <v>397</v>
      </c>
      <c r="G900" t="s">
        <v>397</v>
      </c>
      <c r="H900" t="s">
        <v>397</v>
      </c>
      <c r="I900" t="s">
        <v>397</v>
      </c>
      <c r="J900">
        <v>9698</v>
      </c>
      <c r="K900">
        <v>0.87</v>
      </c>
      <c r="L900">
        <v>100</v>
      </c>
      <c r="M900">
        <v>1.19</v>
      </c>
    </row>
    <row r="901" spans="1:13">
      <c r="A901" s="28">
        <v>19680</v>
      </c>
      <c r="B901" t="s">
        <v>1043</v>
      </c>
      <c r="C901">
        <v>2515</v>
      </c>
      <c r="D901">
        <v>0</v>
      </c>
      <c r="E901">
        <v>0</v>
      </c>
      <c r="F901" t="s">
        <v>397</v>
      </c>
      <c r="G901" t="s">
        <v>397</v>
      </c>
      <c r="H901" t="s">
        <v>397</v>
      </c>
      <c r="I901" t="s">
        <v>397</v>
      </c>
      <c r="J901">
        <v>5825</v>
      </c>
      <c r="K901">
        <v>0.43</v>
      </c>
      <c r="L901">
        <v>30</v>
      </c>
      <c r="M901">
        <v>1.19</v>
      </c>
    </row>
    <row r="902" spans="1:13">
      <c r="A902" s="28">
        <v>252500</v>
      </c>
      <c r="B902" t="s">
        <v>1044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397</v>
      </c>
      <c r="I902" t="s">
        <v>397</v>
      </c>
      <c r="J902">
        <v>895</v>
      </c>
      <c r="K902">
        <v>0.95</v>
      </c>
      <c r="L902">
        <v>10</v>
      </c>
      <c r="M902">
        <v>1.18</v>
      </c>
    </row>
    <row r="903" spans="1:13">
      <c r="A903" s="28">
        <v>17650</v>
      </c>
      <c r="B903" t="s">
        <v>1045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397</v>
      </c>
      <c r="I903" t="s">
        <v>397</v>
      </c>
      <c r="J903">
        <v>28061</v>
      </c>
      <c r="K903">
        <v>0.3</v>
      </c>
      <c r="L903">
        <v>100</v>
      </c>
      <c r="M903">
        <v>1.18</v>
      </c>
    </row>
    <row r="904" spans="1:13">
      <c r="A904" s="28">
        <v>21820</v>
      </c>
      <c r="B904" t="s">
        <v>1046</v>
      </c>
      <c r="C904">
        <v>8500</v>
      </c>
      <c r="D904">
        <v>140</v>
      </c>
      <c r="E904">
        <v>1.67</v>
      </c>
      <c r="F904" t="s">
        <v>397</v>
      </c>
      <c r="G904" t="s">
        <v>397</v>
      </c>
      <c r="H904" t="s">
        <v>397</v>
      </c>
      <c r="I904" t="s">
        <v>397</v>
      </c>
      <c r="J904">
        <v>51131</v>
      </c>
      <c r="K904">
        <v>0.17</v>
      </c>
      <c r="L904">
        <v>100</v>
      </c>
      <c r="M904">
        <v>1.18</v>
      </c>
    </row>
    <row r="905" spans="1:13">
      <c r="A905" s="28">
        <v>1060</v>
      </c>
      <c r="B905" t="s">
        <v>1047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>
      <c r="A906" s="28">
        <v>58470</v>
      </c>
      <c r="B906" t="s">
        <v>1048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>
      <c r="A907" s="28">
        <v>67830</v>
      </c>
      <c r="B907" t="s">
        <v>1049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397</v>
      </c>
      <c r="I907" t="s">
        <v>397</v>
      </c>
      <c r="J907">
        <v>12290</v>
      </c>
      <c r="K907">
        <v>0.21</v>
      </c>
      <c r="L907">
        <v>30</v>
      </c>
      <c r="M907">
        <v>1.17</v>
      </c>
    </row>
    <row r="908" spans="1:13">
      <c r="A908" s="28">
        <v>420770</v>
      </c>
      <c r="B908" t="s">
        <v>1050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397</v>
      </c>
      <c r="I908" t="s">
        <v>397</v>
      </c>
      <c r="J908">
        <v>9464</v>
      </c>
      <c r="K908">
        <v>6.76</v>
      </c>
      <c r="L908">
        <v>750</v>
      </c>
      <c r="M908">
        <v>1.17</v>
      </c>
    </row>
    <row r="909" spans="1:13">
      <c r="A909" s="28">
        <v>378850</v>
      </c>
      <c r="B909" t="s">
        <v>1051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397</v>
      </c>
      <c r="I909" t="s">
        <v>397</v>
      </c>
      <c r="J909">
        <v>4879</v>
      </c>
      <c r="K909">
        <v>0.88</v>
      </c>
      <c r="L909">
        <v>50</v>
      </c>
      <c r="M909">
        <v>1.17</v>
      </c>
    </row>
    <row r="910" spans="1:13">
      <c r="A910" s="28">
        <v>7575</v>
      </c>
      <c r="B910" t="s">
        <v>1052</v>
      </c>
      <c r="C910">
        <v>14910</v>
      </c>
      <c r="D910">
        <v>110</v>
      </c>
      <c r="E910">
        <v>0.74</v>
      </c>
      <c r="F910" t="s">
        <v>397</v>
      </c>
      <c r="G910" t="s">
        <v>397</v>
      </c>
      <c r="H910" t="s">
        <v>397</v>
      </c>
      <c r="I910" t="s">
        <v>397</v>
      </c>
      <c r="J910" t="s">
        <v>397</v>
      </c>
      <c r="K910" t="s">
        <v>397</v>
      </c>
      <c r="L910">
        <v>175</v>
      </c>
      <c r="M910">
        <v>1.17</v>
      </c>
    </row>
    <row r="911" spans="1:13">
      <c r="A911" s="28">
        <v>7820</v>
      </c>
      <c r="B911" t="s">
        <v>1053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397</v>
      </c>
      <c r="I911" t="s">
        <v>397</v>
      </c>
      <c r="J911">
        <v>3549</v>
      </c>
      <c r="K911">
        <v>1.68</v>
      </c>
      <c r="L911">
        <v>70</v>
      </c>
      <c r="M911">
        <v>1.17</v>
      </c>
    </row>
    <row r="912" spans="1:13">
      <c r="A912" s="28">
        <v>35080</v>
      </c>
      <c r="B912" t="s">
        <v>1054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397</v>
      </c>
      <c r="I912" t="s">
        <v>397</v>
      </c>
      <c r="J912">
        <v>40293</v>
      </c>
      <c r="K912">
        <v>0.43</v>
      </c>
      <c r="L912">
        <v>200</v>
      </c>
      <c r="M912">
        <v>1.1599999999999999</v>
      </c>
    </row>
    <row r="913" spans="1:13">
      <c r="A913" s="28">
        <v>72470</v>
      </c>
      <c r="B913" t="s">
        <v>1055</v>
      </c>
      <c r="C913">
        <v>3865</v>
      </c>
      <c r="D913">
        <v>-45</v>
      </c>
      <c r="E913">
        <v>-1.1499999999999999</v>
      </c>
      <c r="F913" t="s">
        <v>397</v>
      </c>
      <c r="G913" t="s">
        <v>397</v>
      </c>
      <c r="H913" t="s">
        <v>397</v>
      </c>
      <c r="I913" t="s">
        <v>397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>
      <c r="A914" s="28">
        <v>51900</v>
      </c>
      <c r="B914" t="s">
        <v>1056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>
      <c r="A915" s="28">
        <v>31510</v>
      </c>
      <c r="B915" t="s">
        <v>1057</v>
      </c>
      <c r="C915">
        <v>1728</v>
      </c>
      <c r="D915">
        <v>16</v>
      </c>
      <c r="E915">
        <v>0.93</v>
      </c>
      <c r="F915" t="s">
        <v>397</v>
      </c>
      <c r="G915" t="s">
        <v>397</v>
      </c>
      <c r="H915" t="s">
        <v>397</v>
      </c>
      <c r="I915" t="s">
        <v>397</v>
      </c>
      <c r="J915">
        <v>3556</v>
      </c>
      <c r="K915">
        <v>0.49</v>
      </c>
      <c r="L915">
        <v>20</v>
      </c>
      <c r="M915">
        <v>1.1599999999999999</v>
      </c>
    </row>
    <row r="916" spans="1:13">
      <c r="A916" s="28">
        <v>14680</v>
      </c>
      <c r="B916" t="s">
        <v>1058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>
      <c r="A917" s="28">
        <v>53290</v>
      </c>
      <c r="B917" t="s">
        <v>1059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397</v>
      </c>
      <c r="I917" t="s">
        <v>397</v>
      </c>
      <c r="J917">
        <v>5170</v>
      </c>
      <c r="K917">
        <v>1.02</v>
      </c>
      <c r="L917">
        <v>60</v>
      </c>
      <c r="M917">
        <v>1.1399999999999999</v>
      </c>
    </row>
    <row r="918" spans="1:13">
      <c r="A918" s="28">
        <v>215360</v>
      </c>
      <c r="B918" t="s">
        <v>1060</v>
      </c>
      <c r="C918">
        <v>13180</v>
      </c>
      <c r="D918">
        <v>-180</v>
      </c>
      <c r="E918">
        <v>-1.35</v>
      </c>
      <c r="F918" t="s">
        <v>397</v>
      </c>
      <c r="G918" t="s">
        <v>397</v>
      </c>
      <c r="H918" t="s">
        <v>397</v>
      </c>
      <c r="I918" t="s">
        <v>397</v>
      </c>
      <c r="J918">
        <v>9123</v>
      </c>
      <c r="K918">
        <v>1.44</v>
      </c>
      <c r="L918">
        <v>150</v>
      </c>
      <c r="M918">
        <v>1.1399999999999999</v>
      </c>
    </row>
    <row r="919" spans="1:13">
      <c r="A919" s="28">
        <v>1420</v>
      </c>
      <c r="B919" t="s">
        <v>1061</v>
      </c>
      <c r="C919">
        <v>4375</v>
      </c>
      <c r="D919">
        <v>145</v>
      </c>
      <c r="E919">
        <v>3.43</v>
      </c>
      <c r="F919" t="s">
        <v>397</v>
      </c>
      <c r="G919" t="s">
        <v>397</v>
      </c>
      <c r="H919" t="s">
        <v>397</v>
      </c>
      <c r="I919" t="s">
        <v>397</v>
      </c>
      <c r="J919">
        <v>4033</v>
      </c>
      <c r="K919">
        <v>1.08</v>
      </c>
      <c r="L919">
        <v>50</v>
      </c>
      <c r="M919">
        <v>1.1399999999999999</v>
      </c>
    </row>
    <row r="920" spans="1:13">
      <c r="A920" s="28">
        <v>8470</v>
      </c>
      <c r="B920" t="s">
        <v>1062</v>
      </c>
      <c r="C920">
        <v>4405</v>
      </c>
      <c r="D920">
        <v>-15</v>
      </c>
      <c r="E920">
        <v>-0.34</v>
      </c>
      <c r="F920" t="s">
        <v>397</v>
      </c>
      <c r="G920" t="s">
        <v>397</v>
      </c>
      <c r="H920" t="s">
        <v>397</v>
      </c>
      <c r="I920" t="s">
        <v>397</v>
      </c>
      <c r="J920">
        <v>9740</v>
      </c>
      <c r="K920">
        <v>0.45</v>
      </c>
      <c r="L920">
        <v>50</v>
      </c>
      <c r="M920">
        <v>1.1399999999999999</v>
      </c>
    </row>
    <row r="921" spans="1:13">
      <c r="A921" s="28">
        <v>161890</v>
      </c>
      <c r="B921" t="s">
        <v>1063</v>
      </c>
      <c r="C921">
        <v>43750</v>
      </c>
      <c r="D921">
        <v>-100</v>
      </c>
      <c r="E921">
        <v>-0.23</v>
      </c>
      <c r="F921" t="s">
        <v>397</v>
      </c>
      <c r="G921" t="s">
        <v>397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>
      <c r="A922" s="28">
        <v>14710</v>
      </c>
      <c r="B922" t="s">
        <v>1064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397</v>
      </c>
      <c r="I922" t="s">
        <v>397</v>
      </c>
      <c r="J922">
        <v>13889</v>
      </c>
      <c r="K922">
        <v>0.26</v>
      </c>
      <c r="L922">
        <v>40</v>
      </c>
      <c r="M922">
        <v>1.1299999999999999</v>
      </c>
    </row>
    <row r="923" spans="1:13">
      <c r="A923" s="28">
        <v>54950</v>
      </c>
      <c r="B923" t="s">
        <v>1065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>
      <c r="A924" s="28">
        <v>2220</v>
      </c>
      <c r="B924" t="s">
        <v>1066</v>
      </c>
      <c r="C924">
        <v>2650</v>
      </c>
      <c r="D924">
        <v>-50</v>
      </c>
      <c r="E924">
        <v>-1.85</v>
      </c>
      <c r="F924" t="s">
        <v>397</v>
      </c>
      <c r="G924" t="s">
        <v>397</v>
      </c>
      <c r="H924" t="s">
        <v>397</v>
      </c>
      <c r="I924" t="s">
        <v>397</v>
      </c>
      <c r="J924">
        <v>7065</v>
      </c>
      <c r="K924">
        <v>0.38</v>
      </c>
      <c r="L924">
        <v>30</v>
      </c>
      <c r="M924">
        <v>1.1299999999999999</v>
      </c>
    </row>
    <row r="925" spans="1:13">
      <c r="A925" s="28">
        <v>86450</v>
      </c>
      <c r="B925" t="s">
        <v>1067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>
      <c r="A926" s="28">
        <v>36200</v>
      </c>
      <c r="B926" t="s">
        <v>1068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397</v>
      </c>
      <c r="I926" t="s">
        <v>397</v>
      </c>
      <c r="J926">
        <v>6780</v>
      </c>
      <c r="K926">
        <v>1.3</v>
      </c>
      <c r="L926">
        <v>100</v>
      </c>
      <c r="M926">
        <v>1.1299999999999999</v>
      </c>
    </row>
    <row r="927" spans="1:13">
      <c r="A927" s="28">
        <v>83550</v>
      </c>
      <c r="B927" t="s">
        <v>1069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397</v>
      </c>
      <c r="I927" t="s">
        <v>397</v>
      </c>
      <c r="J927">
        <v>11611</v>
      </c>
      <c r="K927">
        <v>0.38</v>
      </c>
      <c r="L927">
        <v>50</v>
      </c>
      <c r="M927">
        <v>1.1200000000000001</v>
      </c>
    </row>
    <row r="928" spans="1:13">
      <c r="A928" s="28">
        <v>23460</v>
      </c>
      <c r="B928" t="s">
        <v>1070</v>
      </c>
      <c r="C928">
        <v>1787</v>
      </c>
      <c r="D928">
        <v>-3</v>
      </c>
      <c r="E928">
        <v>-0.17</v>
      </c>
      <c r="F928" t="s">
        <v>397</v>
      </c>
      <c r="G928" t="s">
        <v>397</v>
      </c>
      <c r="H928" t="s">
        <v>397</v>
      </c>
      <c r="I928" t="s">
        <v>397</v>
      </c>
      <c r="J928">
        <v>3404</v>
      </c>
      <c r="K928">
        <v>0.52</v>
      </c>
      <c r="L928">
        <v>20</v>
      </c>
      <c r="M928">
        <v>1.1200000000000001</v>
      </c>
    </row>
    <row r="929" spans="1:13">
      <c r="A929" s="28">
        <v>18500</v>
      </c>
      <c r="B929" t="s">
        <v>1071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397</v>
      </c>
      <c r="I929" t="s">
        <v>397</v>
      </c>
      <c r="J929">
        <v>1919</v>
      </c>
      <c r="K929">
        <v>0.93</v>
      </c>
      <c r="L929">
        <v>20</v>
      </c>
      <c r="M929">
        <v>1.1200000000000001</v>
      </c>
    </row>
    <row r="930" spans="1:13">
      <c r="A930" s="28">
        <v>356860</v>
      </c>
      <c r="B930" t="s">
        <v>1072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>
      <c r="A931" s="28">
        <v>263860</v>
      </c>
      <c r="B931" t="s">
        <v>1073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>
      <c r="A932" s="28">
        <v>50960</v>
      </c>
      <c r="B932" t="s">
        <v>1074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397</v>
      </c>
      <c r="I932" t="s">
        <v>397</v>
      </c>
      <c r="J932">
        <v>11972</v>
      </c>
      <c r="K932">
        <v>0.94</v>
      </c>
      <c r="L932">
        <v>125</v>
      </c>
      <c r="M932">
        <v>1.1100000000000001</v>
      </c>
    </row>
    <row r="933" spans="1:13">
      <c r="A933" s="28">
        <v>25820</v>
      </c>
      <c r="B933" t="s">
        <v>1075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397</v>
      </c>
      <c r="I933" t="s">
        <v>397</v>
      </c>
      <c r="J933">
        <v>3804</v>
      </c>
      <c r="K933">
        <v>1.19</v>
      </c>
      <c r="L933">
        <v>50</v>
      </c>
      <c r="M933">
        <v>1.1000000000000001</v>
      </c>
    </row>
    <row r="934" spans="1:13">
      <c r="A934" s="28">
        <v>333050</v>
      </c>
      <c r="B934" t="s">
        <v>1076</v>
      </c>
      <c r="C934">
        <v>1270</v>
      </c>
      <c r="D934">
        <v>3</v>
      </c>
      <c r="E934">
        <v>0.24</v>
      </c>
      <c r="F934" t="s">
        <v>397</v>
      </c>
      <c r="G934" t="s">
        <v>397</v>
      </c>
      <c r="H934" t="s">
        <v>397</v>
      </c>
      <c r="I934" t="s">
        <v>397</v>
      </c>
      <c r="J934">
        <v>837</v>
      </c>
      <c r="K934">
        <v>1.52</v>
      </c>
      <c r="L934">
        <v>14</v>
      </c>
      <c r="M934">
        <v>1.1000000000000001</v>
      </c>
    </row>
    <row r="935" spans="1:13">
      <c r="A935" s="28">
        <v>3030</v>
      </c>
      <c r="B935" t="s">
        <v>1077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397</v>
      </c>
      <c r="I935" t="s">
        <v>397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>
      <c r="A936" s="28">
        <v>327260</v>
      </c>
      <c r="B936" t="s">
        <v>1078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397</v>
      </c>
      <c r="I936" t="s">
        <v>397</v>
      </c>
      <c r="J936">
        <v>5233</v>
      </c>
      <c r="K936">
        <v>1.74</v>
      </c>
      <c r="L936">
        <v>100</v>
      </c>
      <c r="M936">
        <v>1.1000000000000001</v>
      </c>
    </row>
    <row r="937" spans="1:13">
      <c r="A937" s="28">
        <v>251630</v>
      </c>
      <c r="B937" t="s">
        <v>1079</v>
      </c>
      <c r="C937">
        <v>9160</v>
      </c>
      <c r="D937">
        <v>-80</v>
      </c>
      <c r="E937">
        <v>-0.87</v>
      </c>
      <c r="F937" t="s">
        <v>397</v>
      </c>
      <c r="G937" t="s">
        <v>397</v>
      </c>
      <c r="H937" t="s">
        <v>397</v>
      </c>
      <c r="I937" t="s">
        <v>397</v>
      </c>
      <c r="J937">
        <v>6661</v>
      </c>
      <c r="K937">
        <v>1.38</v>
      </c>
      <c r="L937">
        <v>100</v>
      </c>
      <c r="M937">
        <v>1.0900000000000001</v>
      </c>
    </row>
    <row r="938" spans="1:13">
      <c r="A938" s="28">
        <v>230</v>
      </c>
      <c r="B938" t="s">
        <v>1080</v>
      </c>
      <c r="C938">
        <v>9160</v>
      </c>
      <c r="D938">
        <v>-20</v>
      </c>
      <c r="E938">
        <v>-0.22</v>
      </c>
      <c r="F938" t="s">
        <v>397</v>
      </c>
      <c r="G938" t="s">
        <v>397</v>
      </c>
      <c r="H938" t="s">
        <v>397</v>
      </c>
      <c r="I938" t="s">
        <v>397</v>
      </c>
      <c r="J938">
        <v>1046</v>
      </c>
      <c r="K938">
        <v>8.76</v>
      </c>
      <c r="L938">
        <v>100</v>
      </c>
      <c r="M938">
        <v>1.0900000000000001</v>
      </c>
    </row>
    <row r="939" spans="1:13">
      <c r="A939" s="28">
        <v>348350</v>
      </c>
      <c r="B939" t="s">
        <v>1081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397</v>
      </c>
      <c r="I939" t="s">
        <v>397</v>
      </c>
      <c r="J939">
        <v>10908</v>
      </c>
      <c r="K939">
        <v>0.84</v>
      </c>
      <c r="L939">
        <v>100</v>
      </c>
      <c r="M939">
        <v>1.0900000000000001</v>
      </c>
    </row>
    <row r="940" spans="1:13">
      <c r="A940" s="28">
        <v>82920</v>
      </c>
      <c r="B940" t="s">
        <v>1082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397</v>
      </c>
      <c r="I940" t="s">
        <v>397</v>
      </c>
      <c r="J940">
        <v>8768</v>
      </c>
      <c r="K940">
        <v>2.09</v>
      </c>
      <c r="L940">
        <v>200</v>
      </c>
      <c r="M940">
        <v>1.0900000000000001</v>
      </c>
    </row>
    <row r="941" spans="1:13">
      <c r="A941" s="28">
        <v>7570</v>
      </c>
      <c r="B941" t="s">
        <v>1083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397</v>
      </c>
      <c r="I941" t="s">
        <v>397</v>
      </c>
      <c r="J941">
        <v>12974</v>
      </c>
      <c r="K941">
        <v>1.07</v>
      </c>
      <c r="L941">
        <v>150</v>
      </c>
      <c r="M941">
        <v>1.08</v>
      </c>
    </row>
    <row r="942" spans="1:13">
      <c r="A942" s="28">
        <v>41830</v>
      </c>
      <c r="B942" t="s">
        <v>1084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>
      <c r="A943" s="28">
        <v>38950</v>
      </c>
      <c r="B943" t="s">
        <v>1085</v>
      </c>
      <c r="C943">
        <v>4670</v>
      </c>
      <c r="D943">
        <v>-25</v>
      </c>
      <c r="E943">
        <v>-0.53</v>
      </c>
      <c r="F943" t="s">
        <v>397</v>
      </c>
      <c r="G943" t="s">
        <v>397</v>
      </c>
      <c r="H943" t="s">
        <v>397</v>
      </c>
      <c r="I943" t="s">
        <v>397</v>
      </c>
      <c r="J943">
        <v>10896</v>
      </c>
      <c r="K943">
        <v>0.43</v>
      </c>
      <c r="L943">
        <v>50</v>
      </c>
      <c r="M943">
        <v>1.07</v>
      </c>
    </row>
    <row r="944" spans="1:13">
      <c r="A944" s="28">
        <v>5257</v>
      </c>
      <c r="B944" t="s">
        <v>1086</v>
      </c>
      <c r="C944">
        <v>28100</v>
      </c>
      <c r="D944">
        <v>-400</v>
      </c>
      <c r="E944">
        <v>-1.4</v>
      </c>
      <c r="F944" t="s">
        <v>397</v>
      </c>
      <c r="G944" t="s">
        <v>397</v>
      </c>
      <c r="H944" t="s">
        <v>397</v>
      </c>
      <c r="I944" t="s">
        <v>397</v>
      </c>
      <c r="J944" t="s">
        <v>397</v>
      </c>
      <c r="K944" t="s">
        <v>397</v>
      </c>
      <c r="L944">
        <v>300</v>
      </c>
      <c r="M944">
        <v>1.07</v>
      </c>
    </row>
    <row r="945" spans="1:13">
      <c r="A945" s="28">
        <v>206640</v>
      </c>
      <c r="B945" t="s">
        <v>1087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>
      <c r="A946" s="28">
        <v>25540</v>
      </c>
      <c r="B946" t="s">
        <v>1088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>
      <c r="A947" s="28">
        <v>163730</v>
      </c>
      <c r="B947" t="s">
        <v>1089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397</v>
      </c>
      <c r="I947" t="s">
        <v>397</v>
      </c>
      <c r="J947">
        <v>4881</v>
      </c>
      <c r="K947">
        <v>1.92</v>
      </c>
      <c r="L947">
        <v>100</v>
      </c>
      <c r="M947">
        <v>1.06</v>
      </c>
    </row>
    <row r="948" spans="1:13">
      <c r="A948" s="28">
        <v>382480</v>
      </c>
      <c r="B948" t="s">
        <v>1090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397</v>
      </c>
      <c r="I948" t="s">
        <v>397</v>
      </c>
      <c r="J948">
        <v>1427</v>
      </c>
      <c r="K948">
        <v>2.2400000000000002</v>
      </c>
      <c r="L948">
        <v>34</v>
      </c>
      <c r="M948">
        <v>1.06</v>
      </c>
    </row>
    <row r="949" spans="1:13">
      <c r="A949" s="28">
        <v>7210</v>
      </c>
      <c r="B949" t="s">
        <v>1091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397</v>
      </c>
      <c r="I949" t="s">
        <v>397</v>
      </c>
      <c r="J949">
        <v>4254</v>
      </c>
      <c r="K949">
        <v>0.56000000000000005</v>
      </c>
      <c r="L949">
        <v>25</v>
      </c>
      <c r="M949">
        <v>1.05</v>
      </c>
    </row>
    <row r="950" spans="1:13">
      <c r="A950" s="28">
        <v>53270</v>
      </c>
      <c r="B950" t="s">
        <v>1092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397</v>
      </c>
      <c r="I950" t="s">
        <v>397</v>
      </c>
      <c r="J950">
        <v>3328</v>
      </c>
      <c r="K950">
        <v>0.85</v>
      </c>
      <c r="L950">
        <v>30</v>
      </c>
      <c r="M950">
        <v>1.05</v>
      </c>
    </row>
    <row r="951" spans="1:13">
      <c r="A951" s="28">
        <v>119850</v>
      </c>
      <c r="B951" t="s">
        <v>1093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397</v>
      </c>
      <c r="I951" t="s">
        <v>397</v>
      </c>
      <c r="J951">
        <v>7201</v>
      </c>
      <c r="K951">
        <v>0.66</v>
      </c>
      <c r="L951">
        <v>50</v>
      </c>
      <c r="M951">
        <v>1.05</v>
      </c>
    </row>
    <row r="952" spans="1:13">
      <c r="A952" s="28">
        <v>89980</v>
      </c>
      <c r="B952" t="s">
        <v>1094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397</v>
      </c>
      <c r="I952" t="s">
        <v>397</v>
      </c>
      <c r="J952">
        <v>11865</v>
      </c>
      <c r="K952">
        <v>1.61</v>
      </c>
      <c r="L952">
        <v>200</v>
      </c>
      <c r="M952">
        <v>1.05</v>
      </c>
    </row>
    <row r="953" spans="1:13">
      <c r="A953" s="28">
        <v>382840</v>
      </c>
      <c r="B953" t="s">
        <v>1095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397</v>
      </c>
      <c r="I953" t="s">
        <v>397</v>
      </c>
      <c r="J953">
        <v>7400</v>
      </c>
      <c r="K953">
        <v>2.58</v>
      </c>
      <c r="L953">
        <v>200</v>
      </c>
      <c r="M953">
        <v>1.05</v>
      </c>
    </row>
    <row r="954" spans="1:13">
      <c r="A954" s="28">
        <v>45300</v>
      </c>
      <c r="B954" t="s">
        <v>1096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397</v>
      </c>
      <c r="I954" t="s">
        <v>397</v>
      </c>
      <c r="J954">
        <v>7055</v>
      </c>
      <c r="K954">
        <v>0.54</v>
      </c>
      <c r="L954">
        <v>40</v>
      </c>
      <c r="M954">
        <v>1.04</v>
      </c>
    </row>
    <row r="955" spans="1:13">
      <c r="A955" s="28">
        <v>84695</v>
      </c>
      <c r="B955" t="s">
        <v>1097</v>
      </c>
      <c r="C955">
        <v>27000</v>
      </c>
      <c r="D955">
        <v>2600</v>
      </c>
      <c r="E955">
        <v>10.66</v>
      </c>
      <c r="F955" t="s">
        <v>397</v>
      </c>
      <c r="G955" t="s">
        <v>397</v>
      </c>
      <c r="H955" t="s">
        <v>397</v>
      </c>
      <c r="I955" t="s">
        <v>397</v>
      </c>
      <c r="J955" t="s">
        <v>397</v>
      </c>
      <c r="K955" t="s">
        <v>397</v>
      </c>
      <c r="L955">
        <v>280</v>
      </c>
      <c r="M955">
        <v>1.04</v>
      </c>
    </row>
    <row r="956" spans="1:13">
      <c r="A956" s="28">
        <v>3010</v>
      </c>
      <c r="B956" t="s">
        <v>1098</v>
      </c>
      <c r="C956">
        <v>5760</v>
      </c>
      <c r="D956">
        <v>40</v>
      </c>
      <c r="E956">
        <v>0.7</v>
      </c>
      <c r="F956" t="s">
        <v>397</v>
      </c>
      <c r="G956" t="s">
        <v>397</v>
      </c>
      <c r="H956" t="s">
        <v>397</v>
      </c>
      <c r="I956" t="s">
        <v>397</v>
      </c>
      <c r="J956">
        <v>10052</v>
      </c>
      <c r="K956">
        <v>0.56999999999999995</v>
      </c>
      <c r="L956">
        <v>60</v>
      </c>
      <c r="M956">
        <v>1.04</v>
      </c>
    </row>
    <row r="957" spans="1:13">
      <c r="A957" s="28">
        <v>144960</v>
      </c>
      <c r="B957" t="s">
        <v>1099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397</v>
      </c>
      <c r="I957" t="s">
        <v>397</v>
      </c>
      <c r="J957">
        <v>5561</v>
      </c>
      <c r="K957">
        <v>0.86</v>
      </c>
      <c r="L957">
        <v>50</v>
      </c>
      <c r="M957">
        <v>1.04</v>
      </c>
    </row>
    <row r="958" spans="1:13">
      <c r="A958" s="28">
        <v>5745</v>
      </c>
      <c r="B958" t="s">
        <v>1100</v>
      </c>
      <c r="C958">
        <v>10100</v>
      </c>
      <c r="D958">
        <v>-70</v>
      </c>
      <c r="E958">
        <v>-0.69</v>
      </c>
      <c r="F958" t="s">
        <v>397</v>
      </c>
      <c r="G958" t="s">
        <v>397</v>
      </c>
      <c r="H958" t="s">
        <v>397</v>
      </c>
      <c r="I958" t="s">
        <v>397</v>
      </c>
      <c r="J958" t="s">
        <v>397</v>
      </c>
      <c r="K958" t="s">
        <v>397</v>
      </c>
      <c r="L958">
        <v>105</v>
      </c>
      <c r="M958">
        <v>1.04</v>
      </c>
    </row>
    <row r="959" spans="1:13">
      <c r="A959" s="28">
        <v>66310</v>
      </c>
      <c r="B959" t="s">
        <v>1101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397</v>
      </c>
      <c r="I959" t="s">
        <v>397</v>
      </c>
      <c r="J959">
        <v>8776</v>
      </c>
      <c r="K959">
        <v>1.1100000000000001</v>
      </c>
      <c r="L959">
        <v>100</v>
      </c>
      <c r="M959">
        <v>1.03</v>
      </c>
    </row>
    <row r="960" spans="1:13">
      <c r="A960" s="28">
        <v>90410</v>
      </c>
      <c r="B960" t="s">
        <v>1102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397</v>
      </c>
      <c r="I960" t="s">
        <v>397</v>
      </c>
      <c r="J960">
        <v>1972</v>
      </c>
      <c r="K960">
        <v>0.98</v>
      </c>
      <c r="L960">
        <v>20</v>
      </c>
      <c r="M960">
        <v>1.03</v>
      </c>
    </row>
    <row r="961" spans="1:13">
      <c r="A961" s="28">
        <v>41440</v>
      </c>
      <c r="B961" t="s">
        <v>1103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397</v>
      </c>
      <c r="I961" t="s">
        <v>397</v>
      </c>
      <c r="J961">
        <v>10029</v>
      </c>
      <c r="K961">
        <v>0.68</v>
      </c>
      <c r="L961">
        <v>70</v>
      </c>
      <c r="M961">
        <v>1.03</v>
      </c>
    </row>
    <row r="962" spans="1:13">
      <c r="A962" s="28">
        <v>32620</v>
      </c>
      <c r="B962" t="s">
        <v>1104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397</v>
      </c>
      <c r="I962" t="s">
        <v>397</v>
      </c>
      <c r="J962">
        <v>2300</v>
      </c>
      <c r="K962">
        <v>2.52</v>
      </c>
      <c r="L962">
        <v>60</v>
      </c>
      <c r="M962">
        <v>1.03</v>
      </c>
    </row>
    <row r="963" spans="1:13">
      <c r="A963" s="28">
        <v>15750</v>
      </c>
      <c r="B963" t="s">
        <v>1105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397</v>
      </c>
      <c r="I963" t="s">
        <v>397</v>
      </c>
      <c r="J963">
        <v>14578</v>
      </c>
      <c r="K963">
        <v>0.66</v>
      </c>
      <c r="L963">
        <v>100</v>
      </c>
      <c r="M963">
        <v>1.03</v>
      </c>
    </row>
    <row r="964" spans="1:13">
      <c r="A964" s="28">
        <v>99430</v>
      </c>
      <c r="B964" t="s">
        <v>1106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397</v>
      </c>
      <c r="I964" t="s">
        <v>397</v>
      </c>
      <c r="J964">
        <v>1955</v>
      </c>
      <c r="K964">
        <v>3.48</v>
      </c>
      <c r="L964">
        <v>70</v>
      </c>
      <c r="M964">
        <v>1.03</v>
      </c>
    </row>
    <row r="965" spans="1:13">
      <c r="A965" s="28">
        <v>38110</v>
      </c>
      <c r="B965" t="s">
        <v>1107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397</v>
      </c>
      <c r="I965" t="s">
        <v>397</v>
      </c>
      <c r="J965">
        <v>4512</v>
      </c>
      <c r="K965">
        <v>1.08</v>
      </c>
      <c r="L965">
        <v>50</v>
      </c>
      <c r="M965">
        <v>1.02</v>
      </c>
    </row>
    <row r="966" spans="1:13">
      <c r="A966" s="28">
        <v>6570</v>
      </c>
      <c r="B966" t="s">
        <v>1108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397</v>
      </c>
      <c r="I966" t="s">
        <v>397</v>
      </c>
      <c r="J966">
        <v>5308</v>
      </c>
      <c r="K966">
        <v>0.55000000000000004</v>
      </c>
      <c r="L966">
        <v>30</v>
      </c>
      <c r="M966">
        <v>1.02</v>
      </c>
    </row>
    <row r="967" spans="1:13">
      <c r="A967" s="28">
        <v>204020</v>
      </c>
      <c r="B967" t="s">
        <v>1109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397</v>
      </c>
      <c r="I967" t="s">
        <v>397</v>
      </c>
      <c r="J967">
        <v>3430</v>
      </c>
      <c r="K967">
        <v>0.86</v>
      </c>
      <c r="L967">
        <v>30</v>
      </c>
      <c r="M967">
        <v>1.02</v>
      </c>
    </row>
    <row r="968" spans="1:13">
      <c r="A968" s="28">
        <v>81150</v>
      </c>
      <c r="B968" t="s">
        <v>1110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397</v>
      </c>
      <c r="I968" t="s">
        <v>397</v>
      </c>
      <c r="J968">
        <v>6547</v>
      </c>
      <c r="K968">
        <v>0.46</v>
      </c>
      <c r="L968">
        <v>30</v>
      </c>
      <c r="M968">
        <v>1.01</v>
      </c>
    </row>
    <row r="969" spans="1:13">
      <c r="A969" s="28">
        <v>271560</v>
      </c>
      <c r="B969" t="s">
        <v>1111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>
      <c r="A970" s="28">
        <v>41910</v>
      </c>
      <c r="B970" t="s">
        <v>1112</v>
      </c>
      <c r="C970">
        <v>9890</v>
      </c>
      <c r="D970">
        <v>0</v>
      </c>
      <c r="E970">
        <v>0</v>
      </c>
      <c r="F970" t="s">
        <v>397</v>
      </c>
      <c r="G970" t="s">
        <v>397</v>
      </c>
      <c r="H970" t="s">
        <v>397</v>
      </c>
      <c r="I970" t="s">
        <v>397</v>
      </c>
      <c r="J970">
        <v>9939</v>
      </c>
      <c r="K970">
        <v>1</v>
      </c>
      <c r="L970">
        <v>100</v>
      </c>
      <c r="M970">
        <v>1.01</v>
      </c>
    </row>
    <row r="971" spans="1:13">
      <c r="A971" s="28">
        <v>58110</v>
      </c>
      <c r="B971" t="s">
        <v>1113</v>
      </c>
      <c r="C971">
        <v>2960</v>
      </c>
      <c r="D971">
        <v>-40</v>
      </c>
      <c r="E971">
        <v>-1.33</v>
      </c>
      <c r="F971" t="s">
        <v>397</v>
      </c>
      <c r="G971" t="s">
        <v>397</v>
      </c>
      <c r="H971" t="s">
        <v>397</v>
      </c>
      <c r="I971" t="s">
        <v>397</v>
      </c>
      <c r="J971">
        <v>4312</v>
      </c>
      <c r="K971">
        <v>0.69</v>
      </c>
      <c r="L971">
        <v>30</v>
      </c>
      <c r="M971">
        <v>1.01</v>
      </c>
    </row>
    <row r="972" spans="1:13">
      <c r="A972" s="28">
        <v>19770</v>
      </c>
      <c r="B972" t="s">
        <v>1114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397</v>
      </c>
      <c r="I972" t="s">
        <v>397</v>
      </c>
      <c r="J972">
        <v>6522</v>
      </c>
      <c r="K972">
        <v>0.69</v>
      </c>
      <c r="L972">
        <v>45</v>
      </c>
      <c r="M972">
        <v>1.01</v>
      </c>
    </row>
    <row r="973" spans="1:13">
      <c r="A973" s="28">
        <v>112610</v>
      </c>
      <c r="B973" t="s">
        <v>1115</v>
      </c>
      <c r="C973">
        <v>49700</v>
      </c>
      <c r="D973">
        <v>-100</v>
      </c>
      <c r="E973">
        <v>-0.2</v>
      </c>
      <c r="F973" t="s">
        <v>397</v>
      </c>
      <c r="G973" t="s">
        <v>397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>
      <c r="A974" s="28">
        <v>217500</v>
      </c>
      <c r="B974" t="s">
        <v>1116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397</v>
      </c>
      <c r="I974" t="s">
        <v>397</v>
      </c>
      <c r="J974">
        <v>1830</v>
      </c>
      <c r="K974">
        <v>1.64</v>
      </c>
      <c r="L974">
        <v>30</v>
      </c>
      <c r="M974">
        <v>1</v>
      </c>
    </row>
    <row r="975" spans="1:13">
      <c r="A975" s="28">
        <v>53610</v>
      </c>
      <c r="B975" t="s">
        <v>1117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>
      <c r="A976" s="28">
        <v>131220</v>
      </c>
      <c r="B976" t="s">
        <v>1118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397</v>
      </c>
      <c r="I976" t="s">
        <v>397</v>
      </c>
      <c r="J976">
        <v>4889</v>
      </c>
      <c r="K976">
        <v>1.23</v>
      </c>
      <c r="L976">
        <v>60</v>
      </c>
      <c r="M976">
        <v>1</v>
      </c>
    </row>
    <row r="977" spans="1:13">
      <c r="A977" s="28">
        <v>33130</v>
      </c>
      <c r="B977" t="s">
        <v>1119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397</v>
      </c>
      <c r="I977" t="s">
        <v>397</v>
      </c>
      <c r="J977">
        <v>2204</v>
      </c>
      <c r="K977">
        <v>0.91</v>
      </c>
      <c r="L977">
        <v>20</v>
      </c>
      <c r="M977">
        <v>1</v>
      </c>
    </row>
    <row r="978" spans="1:13">
      <c r="A978" s="28">
        <v>17810</v>
      </c>
      <c r="B978" t="s">
        <v>1120</v>
      </c>
      <c r="C978">
        <v>10180</v>
      </c>
      <c r="D978">
        <v>-60</v>
      </c>
      <c r="E978">
        <v>-0.59</v>
      </c>
      <c r="F978" t="s">
        <v>397</v>
      </c>
      <c r="G978" t="s">
        <v>397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>
      <c r="A979" s="28">
        <v>260930</v>
      </c>
      <c r="B979" t="s">
        <v>1121</v>
      </c>
      <c r="C979">
        <v>4985</v>
      </c>
      <c r="D979">
        <v>-15</v>
      </c>
      <c r="E979">
        <v>-0.3</v>
      </c>
      <c r="F979" t="s">
        <v>397</v>
      </c>
      <c r="G979" t="s">
        <v>397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>
      <c r="A980" s="28">
        <v>123040</v>
      </c>
      <c r="B980" t="s">
        <v>1122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397</v>
      </c>
      <c r="I980" t="s">
        <v>397</v>
      </c>
      <c r="J980">
        <v>4223</v>
      </c>
      <c r="K980">
        <v>1.19</v>
      </c>
      <c r="L980">
        <v>50</v>
      </c>
      <c r="M980">
        <v>0.99</v>
      </c>
    </row>
    <row r="981" spans="1:13">
      <c r="A981" s="28">
        <v>9450</v>
      </c>
      <c r="B981" t="s">
        <v>1123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397</v>
      </c>
      <c r="I981" t="s">
        <v>397</v>
      </c>
      <c r="J981">
        <v>35820</v>
      </c>
      <c r="K981">
        <v>1.4</v>
      </c>
      <c r="L981">
        <v>500</v>
      </c>
      <c r="M981">
        <v>0.99</v>
      </c>
    </row>
    <row r="982" spans="1:13">
      <c r="A982" s="28">
        <v>3960</v>
      </c>
      <c r="B982" t="s">
        <v>1124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397</v>
      </c>
      <c r="I982" t="s">
        <v>397</v>
      </c>
      <c r="J982">
        <v>67677</v>
      </c>
      <c r="K982">
        <v>0.52</v>
      </c>
      <c r="L982">
        <v>350</v>
      </c>
      <c r="M982">
        <v>0.99</v>
      </c>
    </row>
    <row r="983" spans="1:13">
      <c r="A983" s="28">
        <v>63170</v>
      </c>
      <c r="B983" t="s">
        <v>1125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397</v>
      </c>
      <c r="I983" t="s">
        <v>397</v>
      </c>
      <c r="J983">
        <v>7375</v>
      </c>
      <c r="K983">
        <v>1.39</v>
      </c>
      <c r="L983">
        <v>100</v>
      </c>
      <c r="M983">
        <v>0.98</v>
      </c>
    </row>
    <row r="984" spans="1:13">
      <c r="A984" s="28">
        <v>11330</v>
      </c>
      <c r="B984" t="s">
        <v>1126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397</v>
      </c>
      <c r="I984" t="s">
        <v>397</v>
      </c>
      <c r="J984">
        <v>1678</v>
      </c>
      <c r="K984">
        <v>1.21</v>
      </c>
      <c r="L984">
        <v>20</v>
      </c>
      <c r="M984">
        <v>0.98</v>
      </c>
    </row>
    <row r="985" spans="1:13">
      <c r="A985" s="28">
        <v>285490</v>
      </c>
      <c r="B985" t="s">
        <v>1127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397</v>
      </c>
      <c r="I985" t="s">
        <v>397</v>
      </c>
      <c r="J985">
        <v>12583</v>
      </c>
      <c r="K985">
        <v>1.63</v>
      </c>
      <c r="L985">
        <v>200</v>
      </c>
      <c r="M985">
        <v>0.98</v>
      </c>
    </row>
    <row r="986" spans="1:13">
      <c r="A986" s="28">
        <v>49950</v>
      </c>
      <c r="B986" t="s">
        <v>1128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397</v>
      </c>
      <c r="I986" t="s">
        <v>397</v>
      </c>
      <c r="J986">
        <v>16837</v>
      </c>
      <c r="K986">
        <v>1.81</v>
      </c>
      <c r="L986">
        <v>300</v>
      </c>
      <c r="M986">
        <v>0.98</v>
      </c>
    </row>
    <row r="987" spans="1:13">
      <c r="A987" s="28">
        <v>102460</v>
      </c>
      <c r="B987" t="s">
        <v>1129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397</v>
      </c>
      <c r="I987" t="s">
        <v>397</v>
      </c>
      <c r="J987">
        <v>13956</v>
      </c>
      <c r="K987">
        <v>1.1100000000000001</v>
      </c>
      <c r="L987">
        <v>150</v>
      </c>
      <c r="M987">
        <v>0.97</v>
      </c>
    </row>
    <row r="988" spans="1:13">
      <c r="A988" s="28">
        <v>11790</v>
      </c>
      <c r="B988" t="s">
        <v>1130</v>
      </c>
      <c r="C988">
        <v>114700</v>
      </c>
      <c r="D988">
        <v>0</v>
      </c>
      <c r="E988">
        <v>0</v>
      </c>
      <c r="F988" t="s">
        <v>397</v>
      </c>
      <c r="G988" t="s">
        <v>397</v>
      </c>
      <c r="H988" t="s">
        <v>397</v>
      </c>
      <c r="I988" t="s">
        <v>397</v>
      </c>
      <c r="J988">
        <v>50774</v>
      </c>
      <c r="K988">
        <v>2.2599999999999998</v>
      </c>
      <c r="L988">
        <v>1100</v>
      </c>
      <c r="M988">
        <v>0.96</v>
      </c>
    </row>
    <row r="989" spans="1:13">
      <c r="A989" s="28">
        <v>3160</v>
      </c>
      <c r="B989" t="s">
        <v>1131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397</v>
      </c>
      <c r="I989" t="s">
        <v>397</v>
      </c>
      <c r="J989">
        <v>5841</v>
      </c>
      <c r="K989">
        <v>1.78</v>
      </c>
      <c r="L989">
        <v>100</v>
      </c>
      <c r="M989">
        <v>0.96</v>
      </c>
    </row>
    <row r="990" spans="1:13">
      <c r="A990" s="28">
        <v>340570</v>
      </c>
      <c r="B990" t="s">
        <v>1132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>
      <c r="A991" s="28">
        <v>6660</v>
      </c>
      <c r="B991" t="s">
        <v>1133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397</v>
      </c>
      <c r="I991" t="s">
        <v>397</v>
      </c>
      <c r="J991">
        <v>32070</v>
      </c>
      <c r="K991">
        <v>0.26</v>
      </c>
      <c r="L991">
        <v>80</v>
      </c>
      <c r="M991">
        <v>0.95</v>
      </c>
    </row>
    <row r="992" spans="1:13">
      <c r="A992" s="28">
        <v>53700</v>
      </c>
      <c r="B992" t="s">
        <v>1134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397</v>
      </c>
      <c r="I992" t="s">
        <v>397</v>
      </c>
      <c r="J992">
        <v>14119</v>
      </c>
      <c r="K992">
        <v>0.37</v>
      </c>
      <c r="L992">
        <v>50</v>
      </c>
      <c r="M992">
        <v>0.95</v>
      </c>
    </row>
    <row r="993" spans="1:13">
      <c r="A993" s="28">
        <v>72020</v>
      </c>
      <c r="B993" t="s">
        <v>1135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397</v>
      </c>
      <c r="I993" t="s">
        <v>397</v>
      </c>
      <c r="J993">
        <v>9859</v>
      </c>
      <c r="K993">
        <v>1.07</v>
      </c>
      <c r="L993">
        <v>100</v>
      </c>
      <c r="M993">
        <v>0.95</v>
      </c>
    </row>
    <row r="994" spans="1:13">
      <c r="A994" s="28">
        <v>185750</v>
      </c>
      <c r="B994" t="s">
        <v>1136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>
      <c r="A995" s="28">
        <v>319400</v>
      </c>
      <c r="B995" t="s">
        <v>1137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397</v>
      </c>
      <c r="I995" t="s">
        <v>397</v>
      </c>
      <c r="J995">
        <v>1344</v>
      </c>
      <c r="K995">
        <v>2.37</v>
      </c>
      <c r="L995">
        <v>30</v>
      </c>
      <c r="M995">
        <v>0.94</v>
      </c>
    </row>
    <row r="996" spans="1:13">
      <c r="A996" s="28">
        <v>49830</v>
      </c>
      <c r="B996" t="s">
        <v>1138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397</v>
      </c>
      <c r="I996" t="s">
        <v>397</v>
      </c>
      <c r="J996">
        <v>24634</v>
      </c>
      <c r="K996">
        <v>0.37</v>
      </c>
      <c r="L996">
        <v>85</v>
      </c>
      <c r="M996">
        <v>0.94</v>
      </c>
    </row>
    <row r="997" spans="1:13">
      <c r="A997" s="28">
        <v>170900</v>
      </c>
      <c r="B997" t="s">
        <v>1139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>
      <c r="A998" s="28">
        <v>317850</v>
      </c>
      <c r="B998" t="s">
        <v>1140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397</v>
      </c>
      <c r="I998" t="s">
        <v>397</v>
      </c>
      <c r="J998">
        <v>5713</v>
      </c>
      <c r="K998">
        <v>1.69</v>
      </c>
      <c r="L998">
        <v>90</v>
      </c>
      <c r="M998">
        <v>0.93</v>
      </c>
    </row>
    <row r="999" spans="1:13">
      <c r="A999" s="28">
        <v>290270</v>
      </c>
      <c r="B999" t="s">
        <v>1141</v>
      </c>
      <c r="C999">
        <v>4280</v>
      </c>
      <c r="D999">
        <v>-15</v>
      </c>
      <c r="E999">
        <v>-0.35</v>
      </c>
      <c r="F999" t="s">
        <v>397</v>
      </c>
      <c r="G999" t="s">
        <v>397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>
      <c r="A1000" s="28">
        <v>92070</v>
      </c>
      <c r="B1000" t="s">
        <v>1142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397</v>
      </c>
      <c r="I1000" t="s">
        <v>397</v>
      </c>
      <c r="J1000">
        <v>13033</v>
      </c>
      <c r="K1000">
        <v>1.66</v>
      </c>
      <c r="L1000">
        <v>200</v>
      </c>
      <c r="M1000">
        <v>0.93</v>
      </c>
    </row>
    <row r="1001" spans="1:13">
      <c r="A1001" s="28">
        <v>289080</v>
      </c>
      <c r="B1001" t="s">
        <v>1143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397</v>
      </c>
      <c r="I1001" t="s">
        <v>397</v>
      </c>
      <c r="J1001">
        <v>1322</v>
      </c>
      <c r="K1001">
        <v>1.63</v>
      </c>
      <c r="L1001">
        <v>20</v>
      </c>
      <c r="M1001">
        <v>0.93</v>
      </c>
    </row>
    <row r="1002" spans="1:13">
      <c r="A1002" s="28">
        <v>79550</v>
      </c>
      <c r="B1002" t="s">
        <v>1144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>
      <c r="A1003" s="28">
        <v>20120</v>
      </c>
      <c r="B1003" t="s">
        <v>1145</v>
      </c>
      <c r="C1003">
        <v>5390</v>
      </c>
      <c r="D1003">
        <v>10</v>
      </c>
      <c r="E1003">
        <v>0.19</v>
      </c>
      <c r="F1003" t="s">
        <v>397</v>
      </c>
      <c r="G1003" t="s">
        <v>397</v>
      </c>
      <c r="H1003" t="s">
        <v>397</v>
      </c>
      <c r="I1003" t="s">
        <v>397</v>
      </c>
      <c r="J1003">
        <v>7338</v>
      </c>
      <c r="K1003">
        <v>0.73</v>
      </c>
      <c r="L1003">
        <v>50</v>
      </c>
      <c r="M1003">
        <v>0.93</v>
      </c>
    </row>
    <row r="1004" spans="1:13">
      <c r="A1004" s="28">
        <v>1530</v>
      </c>
      <c r="B1004" t="s">
        <v>1146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397</v>
      </c>
      <c r="I1004" t="s">
        <v>397</v>
      </c>
      <c r="J1004">
        <v>30595</v>
      </c>
      <c r="K1004">
        <v>0.89</v>
      </c>
      <c r="L1004">
        <v>250</v>
      </c>
      <c r="M1004">
        <v>0.92</v>
      </c>
    </row>
    <row r="1005" spans="1:13">
      <c r="A1005" s="28">
        <v>14620</v>
      </c>
      <c r="B1005" t="s">
        <v>1147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>
      <c r="A1006" s="28">
        <v>227</v>
      </c>
      <c r="B1006" t="s">
        <v>1148</v>
      </c>
      <c r="C1006">
        <v>12110</v>
      </c>
      <c r="D1006">
        <v>-240</v>
      </c>
      <c r="E1006">
        <v>-1.94</v>
      </c>
      <c r="F1006" t="s">
        <v>397</v>
      </c>
      <c r="G1006" t="s">
        <v>397</v>
      </c>
      <c r="H1006" t="s">
        <v>397</v>
      </c>
      <c r="I1006" t="s">
        <v>397</v>
      </c>
      <c r="J1006" t="s">
        <v>397</v>
      </c>
      <c r="K1006" t="s">
        <v>397</v>
      </c>
      <c r="L1006">
        <v>110</v>
      </c>
      <c r="M1006">
        <v>0.91</v>
      </c>
    </row>
    <row r="1007" spans="1:13">
      <c r="A1007" s="28">
        <v>263600</v>
      </c>
      <c r="B1007" t="s">
        <v>1149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>
      <c r="A1008" s="28">
        <v>7160</v>
      </c>
      <c r="B1008" t="s">
        <v>1150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397</v>
      </c>
      <c r="I1008" t="s">
        <v>397</v>
      </c>
      <c r="J1008">
        <v>102866</v>
      </c>
      <c r="K1008">
        <v>0.38</v>
      </c>
      <c r="L1008">
        <v>350</v>
      </c>
      <c r="M1008">
        <v>0.9</v>
      </c>
    </row>
    <row r="1009" spans="1:13">
      <c r="A1009" s="28">
        <v>107590</v>
      </c>
      <c r="B1009" t="s">
        <v>1151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397</v>
      </c>
      <c r="I1009" t="s">
        <v>397</v>
      </c>
      <c r="J1009">
        <v>95466</v>
      </c>
      <c r="K1009">
        <v>0.81</v>
      </c>
      <c r="L1009">
        <v>700</v>
      </c>
      <c r="M1009">
        <v>0.9</v>
      </c>
    </row>
    <row r="1010" spans="1:13">
      <c r="A1010" s="28">
        <v>68290</v>
      </c>
      <c r="B1010" t="s">
        <v>1152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397</v>
      </c>
      <c r="I1010" t="s">
        <v>397</v>
      </c>
      <c r="J1010">
        <v>17559</v>
      </c>
      <c r="K1010">
        <v>1.26</v>
      </c>
      <c r="L1010">
        <v>200</v>
      </c>
      <c r="M1010">
        <v>0.9</v>
      </c>
    </row>
    <row r="1011" spans="1:13">
      <c r="A1011" s="28">
        <v>66670</v>
      </c>
      <c r="B1011" t="s">
        <v>1153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397</v>
      </c>
      <c r="I1011" t="s">
        <v>397</v>
      </c>
      <c r="J1011">
        <v>10086</v>
      </c>
      <c r="K1011">
        <v>0.55000000000000004</v>
      </c>
      <c r="L1011">
        <v>50</v>
      </c>
      <c r="M1011">
        <v>0.9</v>
      </c>
    </row>
    <row r="1012" spans="1:13">
      <c r="A1012" s="28">
        <v>48910</v>
      </c>
      <c r="B1012" t="s">
        <v>1154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397</v>
      </c>
      <c r="I1012" t="s">
        <v>397</v>
      </c>
      <c r="J1012">
        <v>7889</v>
      </c>
      <c r="K1012">
        <v>1.41</v>
      </c>
      <c r="L1012">
        <v>100</v>
      </c>
      <c r="M1012">
        <v>0.9</v>
      </c>
    </row>
    <row r="1013" spans="1:13">
      <c r="A1013" s="28">
        <v>103590</v>
      </c>
      <c r="B1013" t="s">
        <v>1155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397</v>
      </c>
      <c r="I1013" t="s">
        <v>397</v>
      </c>
      <c r="J1013">
        <v>8796</v>
      </c>
      <c r="K1013">
        <v>1.67</v>
      </c>
      <c r="L1013">
        <v>130</v>
      </c>
      <c r="M1013">
        <v>0.89</v>
      </c>
    </row>
    <row r="1014" spans="1:13">
      <c r="A1014" s="28">
        <v>195940</v>
      </c>
      <c r="B1014" t="s">
        <v>1156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>
      <c r="A1015" s="28">
        <v>4090</v>
      </c>
      <c r="B1015" t="s">
        <v>1157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397</v>
      </c>
      <c r="I1015" t="s">
        <v>397</v>
      </c>
      <c r="J1015">
        <v>13490</v>
      </c>
      <c r="K1015">
        <v>0.93</v>
      </c>
      <c r="L1015">
        <v>110</v>
      </c>
      <c r="M1015">
        <v>0.88</v>
      </c>
    </row>
    <row r="1016" spans="1:13">
      <c r="A1016" s="28">
        <v>32850</v>
      </c>
      <c r="B1016" t="s">
        <v>1158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397</v>
      </c>
      <c r="I1016" t="s">
        <v>397</v>
      </c>
      <c r="J1016">
        <v>3816</v>
      </c>
      <c r="K1016">
        <v>1.81</v>
      </c>
      <c r="L1016">
        <v>61</v>
      </c>
      <c r="M1016">
        <v>0.88</v>
      </c>
    </row>
    <row r="1017" spans="1:13">
      <c r="A1017" s="28">
        <v>89010</v>
      </c>
      <c r="B1017" t="s">
        <v>1159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397</v>
      </c>
      <c r="I1017" t="s">
        <v>397</v>
      </c>
      <c r="J1017">
        <v>9953</v>
      </c>
      <c r="K1017">
        <v>2.2799999999999998</v>
      </c>
      <c r="L1017">
        <v>200</v>
      </c>
      <c r="M1017">
        <v>0.88</v>
      </c>
    </row>
    <row r="1018" spans="1:13">
      <c r="A1018" s="28">
        <v>50890</v>
      </c>
      <c r="B1018" t="s">
        <v>1160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397</v>
      </c>
      <c r="I1018" t="s">
        <v>397</v>
      </c>
      <c r="J1018">
        <v>3761</v>
      </c>
      <c r="K1018">
        <v>1.53</v>
      </c>
      <c r="L1018">
        <v>50</v>
      </c>
      <c r="M1018">
        <v>0.87</v>
      </c>
    </row>
    <row r="1019" spans="1:13">
      <c r="A1019" s="28">
        <v>99390</v>
      </c>
      <c r="B1019" t="s">
        <v>1161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397</v>
      </c>
      <c r="I1019" t="s">
        <v>397</v>
      </c>
      <c r="J1019">
        <v>5354</v>
      </c>
      <c r="K1019">
        <v>1.3</v>
      </c>
      <c r="L1019">
        <v>60</v>
      </c>
      <c r="M1019">
        <v>0.86</v>
      </c>
    </row>
    <row r="1020" spans="1:13">
      <c r="A1020" s="28">
        <v>234690</v>
      </c>
      <c r="B1020" t="s">
        <v>1162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>
      <c r="A1021" s="28">
        <v>131290</v>
      </c>
      <c r="B1021" t="s">
        <v>1163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>
      <c r="A1022" s="28">
        <v>60560</v>
      </c>
      <c r="B1022" t="s">
        <v>1164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397</v>
      </c>
      <c r="I1022" t="s">
        <v>397</v>
      </c>
      <c r="J1022">
        <v>1092</v>
      </c>
      <c r="K1022">
        <v>1.08</v>
      </c>
      <c r="L1022">
        <v>10</v>
      </c>
      <c r="M1022">
        <v>0.85</v>
      </c>
    </row>
    <row r="1023" spans="1:13">
      <c r="A1023" s="28">
        <v>2840</v>
      </c>
      <c r="B1023" t="s">
        <v>1165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397</v>
      </c>
      <c r="I1023" t="s">
        <v>397</v>
      </c>
      <c r="J1023">
        <v>70659</v>
      </c>
      <c r="K1023">
        <v>2.5299999999999998</v>
      </c>
      <c r="L1023">
        <v>1500</v>
      </c>
      <c r="M1023">
        <v>0.84</v>
      </c>
    </row>
    <row r="1024" spans="1:13">
      <c r="A1024" s="28">
        <v>383310</v>
      </c>
      <c r="B1024" t="s">
        <v>1166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397</v>
      </c>
      <c r="I1024" t="s">
        <v>397</v>
      </c>
      <c r="J1024">
        <v>5677</v>
      </c>
      <c r="K1024">
        <v>12.63</v>
      </c>
      <c r="L1024">
        <v>600</v>
      </c>
      <c r="M1024">
        <v>0.84</v>
      </c>
    </row>
    <row r="1025" spans="1:13">
      <c r="A1025" s="28">
        <v>56360</v>
      </c>
      <c r="B1025" t="s">
        <v>1167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397</v>
      </c>
      <c r="I1025" t="s">
        <v>397</v>
      </c>
      <c r="J1025">
        <v>14091</v>
      </c>
      <c r="K1025">
        <v>0.42</v>
      </c>
      <c r="L1025">
        <v>50</v>
      </c>
      <c r="M1025">
        <v>0.84</v>
      </c>
    </row>
    <row r="1026" spans="1:13">
      <c r="A1026" s="28">
        <v>10690</v>
      </c>
      <c r="B1026" t="s">
        <v>1168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>
      <c r="A1027" s="28">
        <v>7860</v>
      </c>
      <c r="B1027" t="s">
        <v>1169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397</v>
      </c>
      <c r="I1027" t="s">
        <v>397</v>
      </c>
      <c r="J1027">
        <v>24599</v>
      </c>
      <c r="K1027">
        <v>0.48</v>
      </c>
      <c r="L1027">
        <v>100</v>
      </c>
      <c r="M1027">
        <v>0.84</v>
      </c>
    </row>
    <row r="1028" spans="1:13">
      <c r="A1028" s="28">
        <v>356890</v>
      </c>
      <c r="B1028" t="s">
        <v>1170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397</v>
      </c>
      <c r="I1028" t="s">
        <v>397</v>
      </c>
      <c r="J1028">
        <v>6049</v>
      </c>
      <c r="K1028">
        <v>1.58</v>
      </c>
      <c r="L1028">
        <v>80</v>
      </c>
      <c r="M1028">
        <v>0.84</v>
      </c>
    </row>
    <row r="1029" spans="1:13">
      <c r="A1029" s="28">
        <v>212560</v>
      </c>
      <c r="B1029" t="s">
        <v>1171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397</v>
      </c>
      <c r="I1029" t="s">
        <v>397</v>
      </c>
      <c r="J1029">
        <v>12301</v>
      </c>
      <c r="K1029">
        <v>0.97</v>
      </c>
      <c r="L1029">
        <v>100</v>
      </c>
      <c r="M1029">
        <v>0.84</v>
      </c>
    </row>
    <row r="1030" spans="1:13">
      <c r="A1030" s="28">
        <v>78150</v>
      </c>
      <c r="B1030" t="s">
        <v>1172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397</v>
      </c>
      <c r="I1030" t="s">
        <v>397</v>
      </c>
      <c r="J1030">
        <v>2744</v>
      </c>
      <c r="K1030">
        <v>0.87</v>
      </c>
      <c r="L1030">
        <v>20</v>
      </c>
      <c r="M1030">
        <v>0.84</v>
      </c>
    </row>
    <row r="1031" spans="1:1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397</v>
      </c>
      <c r="G1031" t="s">
        <v>397</v>
      </c>
      <c r="H1031" t="s">
        <v>397</v>
      </c>
      <c r="I1031" t="s">
        <v>397</v>
      </c>
      <c r="J1031">
        <v>9321</v>
      </c>
      <c r="K1031">
        <v>0.19</v>
      </c>
      <c r="L1031">
        <v>15</v>
      </c>
      <c r="M1031">
        <v>0.83</v>
      </c>
    </row>
    <row r="1032" spans="1:13">
      <c r="A1032" s="28">
        <v>256630</v>
      </c>
      <c r="B1032" t="s">
        <v>1173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397</v>
      </c>
      <c r="I1032" t="s">
        <v>397</v>
      </c>
      <c r="J1032">
        <v>1367</v>
      </c>
      <c r="K1032">
        <v>0.89</v>
      </c>
      <c r="L1032">
        <v>10</v>
      </c>
      <c r="M1032">
        <v>0.82</v>
      </c>
    </row>
    <row r="1033" spans="1:13">
      <c r="A1033" s="28">
        <v>83500</v>
      </c>
      <c r="B1033" t="s">
        <v>1174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397</v>
      </c>
      <c r="I1033" t="s">
        <v>397</v>
      </c>
      <c r="J1033">
        <v>7825</v>
      </c>
      <c r="K1033">
        <v>1.56</v>
      </c>
      <c r="L1033">
        <v>100</v>
      </c>
      <c r="M1033">
        <v>0.82</v>
      </c>
    </row>
    <row r="1034" spans="1:13">
      <c r="A1034" s="28">
        <v>144510</v>
      </c>
      <c r="B1034" t="s">
        <v>1175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397</v>
      </c>
      <c r="I1034" t="s">
        <v>397</v>
      </c>
      <c r="J1034">
        <v>35857</v>
      </c>
      <c r="K1034">
        <v>1.19</v>
      </c>
      <c r="L1034">
        <v>350</v>
      </c>
      <c r="M1034">
        <v>0.82</v>
      </c>
    </row>
    <row r="1035" spans="1:13">
      <c r="A1035" s="28">
        <v>2140</v>
      </c>
      <c r="B1035" t="s">
        <v>1176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397</v>
      </c>
      <c r="I1035" t="s">
        <v>397</v>
      </c>
      <c r="J1035">
        <v>4286</v>
      </c>
      <c r="K1035">
        <v>0.72</v>
      </c>
      <c r="L1035">
        <v>25</v>
      </c>
      <c r="M1035">
        <v>0.81</v>
      </c>
    </row>
    <row r="1036" spans="1:13">
      <c r="A1036" s="28">
        <v>98120</v>
      </c>
      <c r="B1036" t="s">
        <v>1177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397</v>
      </c>
      <c r="I1036" t="s">
        <v>397</v>
      </c>
      <c r="J1036">
        <v>5894</v>
      </c>
      <c r="K1036">
        <v>1.67</v>
      </c>
      <c r="L1036">
        <v>80</v>
      </c>
      <c r="M1036">
        <v>0.81</v>
      </c>
    </row>
    <row r="1037" spans="1:13">
      <c r="A1037" s="28">
        <v>1510</v>
      </c>
      <c r="B1037" t="s">
        <v>1178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397</v>
      </c>
      <c r="I1037" t="s">
        <v>397</v>
      </c>
      <c r="J1037">
        <v>1525</v>
      </c>
      <c r="K1037">
        <v>0.41</v>
      </c>
      <c r="L1037">
        <v>5</v>
      </c>
      <c r="M1037">
        <v>0.81</v>
      </c>
    </row>
    <row r="1038" spans="1:13">
      <c r="A1038" s="28">
        <v>6220</v>
      </c>
      <c r="B1038" t="s">
        <v>1179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397</v>
      </c>
      <c r="I1038" t="s">
        <v>397</v>
      </c>
      <c r="J1038">
        <v>16243</v>
      </c>
      <c r="K1038">
        <v>0.76</v>
      </c>
      <c r="L1038">
        <v>100</v>
      </c>
      <c r="M1038">
        <v>0.81</v>
      </c>
    </row>
    <row r="1039" spans="1:13">
      <c r="A1039" s="28">
        <v>48470</v>
      </c>
      <c r="B1039" t="s">
        <v>1180</v>
      </c>
      <c r="C1039">
        <v>3740</v>
      </c>
      <c r="D1039">
        <v>45</v>
      </c>
      <c r="E1039">
        <v>1.22</v>
      </c>
      <c r="F1039" t="s">
        <v>397</v>
      </c>
      <c r="G1039" t="s">
        <v>397</v>
      </c>
      <c r="H1039" t="s">
        <v>397</v>
      </c>
      <c r="I1039" t="s">
        <v>397</v>
      </c>
      <c r="J1039">
        <v>7207</v>
      </c>
      <c r="K1039">
        <v>0.52</v>
      </c>
      <c r="L1039">
        <v>30</v>
      </c>
      <c r="M1039">
        <v>0.8</v>
      </c>
    </row>
    <row r="1040" spans="1:13">
      <c r="A1040" s="28">
        <v>2790</v>
      </c>
      <c r="B1040" t="s">
        <v>1181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>
      <c r="A1041" s="28">
        <v>52260</v>
      </c>
      <c r="B1041" t="s">
        <v>1182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397</v>
      </c>
      <c r="I1041" t="s">
        <v>397</v>
      </c>
      <c r="J1041">
        <v>8619</v>
      </c>
      <c r="K1041">
        <v>1.03</v>
      </c>
      <c r="L1041">
        <v>70</v>
      </c>
      <c r="M1041">
        <v>0.79</v>
      </c>
    </row>
    <row r="1042" spans="1:13">
      <c r="A1042" s="28">
        <v>307950</v>
      </c>
      <c r="B1042" t="s">
        <v>1183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>
      <c r="A1043" s="28">
        <v>2800</v>
      </c>
      <c r="B1043" t="s">
        <v>1184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397</v>
      </c>
      <c r="I1043" t="s">
        <v>397</v>
      </c>
      <c r="J1043">
        <v>3935</v>
      </c>
      <c r="K1043">
        <v>1.62</v>
      </c>
      <c r="L1043">
        <v>50</v>
      </c>
      <c r="M1043">
        <v>0.79</v>
      </c>
    </row>
    <row r="1044" spans="1:13">
      <c r="A1044" s="28">
        <v>44960</v>
      </c>
      <c r="B1044" t="s">
        <v>1185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397</v>
      </c>
      <c r="I1044" t="s">
        <v>397</v>
      </c>
      <c r="J1044">
        <v>3499</v>
      </c>
      <c r="K1044">
        <v>1.46</v>
      </c>
      <c r="L1044">
        <v>40</v>
      </c>
      <c r="M1044">
        <v>0.78</v>
      </c>
    </row>
    <row r="1045" spans="1:13">
      <c r="A1045" s="28">
        <v>4310</v>
      </c>
      <c r="B1045" t="s">
        <v>1186</v>
      </c>
      <c r="C1045">
        <v>3860</v>
      </c>
      <c r="D1045">
        <v>-5</v>
      </c>
      <c r="E1045">
        <v>-0.13</v>
      </c>
      <c r="F1045" t="s">
        <v>397</v>
      </c>
      <c r="G1045" t="s">
        <v>397</v>
      </c>
      <c r="H1045" t="s">
        <v>397</v>
      </c>
      <c r="I1045" t="s">
        <v>397</v>
      </c>
      <c r="J1045">
        <v>3144</v>
      </c>
      <c r="K1045">
        <v>1.23</v>
      </c>
      <c r="L1045">
        <v>30</v>
      </c>
      <c r="M1045">
        <v>0.78</v>
      </c>
    </row>
    <row r="1046" spans="1:13">
      <c r="A1046" s="28">
        <v>3850</v>
      </c>
      <c r="B1046" t="s">
        <v>1187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>
      <c r="A1047" s="28">
        <v>12205</v>
      </c>
      <c r="B1047" t="s">
        <v>1188</v>
      </c>
      <c r="C1047">
        <v>3850</v>
      </c>
      <c r="D1047">
        <v>60</v>
      </c>
      <c r="E1047">
        <v>1.58</v>
      </c>
      <c r="F1047" t="s">
        <v>397</v>
      </c>
      <c r="G1047" t="s">
        <v>397</v>
      </c>
      <c r="H1047" t="s">
        <v>397</v>
      </c>
      <c r="I1047" t="s">
        <v>397</v>
      </c>
      <c r="J1047" t="s">
        <v>397</v>
      </c>
      <c r="K1047" t="s">
        <v>397</v>
      </c>
      <c r="L1047">
        <v>30</v>
      </c>
      <c r="M1047">
        <v>0.78</v>
      </c>
    </row>
    <row r="1048" spans="1:13">
      <c r="A1048" s="28">
        <v>1340</v>
      </c>
      <c r="B1048" t="s">
        <v>1189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397</v>
      </c>
      <c r="I1048" t="s">
        <v>397</v>
      </c>
      <c r="J1048">
        <v>4741</v>
      </c>
      <c r="K1048">
        <v>1.64</v>
      </c>
      <c r="L1048">
        <v>60</v>
      </c>
      <c r="M1048">
        <v>0.77</v>
      </c>
    </row>
    <row r="1049" spans="1:13">
      <c r="A1049" s="28">
        <v>84370</v>
      </c>
      <c r="B1049" t="s">
        <v>1190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>
      <c r="A1050" s="28">
        <v>27360</v>
      </c>
      <c r="B1050" t="s">
        <v>1191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397</v>
      </c>
      <c r="I1050" t="s">
        <v>397</v>
      </c>
      <c r="J1050">
        <v>2064</v>
      </c>
      <c r="K1050">
        <v>1.26</v>
      </c>
      <c r="L1050">
        <v>20</v>
      </c>
      <c r="M1050">
        <v>0.77</v>
      </c>
    </row>
    <row r="1051" spans="1:13">
      <c r="A1051" s="28">
        <v>311320</v>
      </c>
      <c r="B1051" t="s">
        <v>1192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>
      <c r="A1052" s="28">
        <v>20150</v>
      </c>
      <c r="B1052" t="s">
        <v>1193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>
      <c r="A1053" s="28">
        <v>93520</v>
      </c>
      <c r="B1053" t="s">
        <v>1194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397</v>
      </c>
      <c r="I1053" t="s">
        <v>397</v>
      </c>
      <c r="J1053">
        <v>8312</v>
      </c>
      <c r="K1053">
        <v>1.89</v>
      </c>
      <c r="L1053">
        <v>120</v>
      </c>
      <c r="M1053">
        <v>0.76</v>
      </c>
    </row>
    <row r="1054" spans="1:13">
      <c r="A1054" s="28">
        <v>6650</v>
      </c>
      <c r="B1054" t="s">
        <v>1195</v>
      </c>
      <c r="C1054">
        <v>131800</v>
      </c>
      <c r="D1054">
        <v>400</v>
      </c>
      <c r="E1054">
        <v>0.3</v>
      </c>
      <c r="F1054" t="s">
        <v>397</v>
      </c>
      <c r="G1054" t="s">
        <v>397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>
      <c r="A1055" s="28">
        <v>590</v>
      </c>
      <c r="B1055" t="s">
        <v>1196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397</v>
      </c>
      <c r="I1055" t="s">
        <v>397</v>
      </c>
      <c r="J1055">
        <v>242997</v>
      </c>
      <c r="K1055">
        <v>0.27</v>
      </c>
      <c r="L1055">
        <v>500</v>
      </c>
      <c r="M1055">
        <v>0.76</v>
      </c>
    </row>
    <row r="1056" spans="1:13">
      <c r="A1056" s="28" t="s">
        <v>1197</v>
      </c>
      <c r="B1056" t="s">
        <v>1198</v>
      </c>
      <c r="C1056">
        <v>25650</v>
      </c>
      <c r="D1056">
        <v>-650</v>
      </c>
      <c r="E1056">
        <v>-2.4700000000000002</v>
      </c>
      <c r="F1056" t="s">
        <v>397</v>
      </c>
      <c r="G1056" t="s">
        <v>397</v>
      </c>
      <c r="H1056" t="s">
        <v>397</v>
      </c>
      <c r="I1056" t="s">
        <v>397</v>
      </c>
      <c r="J1056" t="s">
        <v>397</v>
      </c>
      <c r="K1056" t="s">
        <v>397</v>
      </c>
      <c r="L1056">
        <v>195</v>
      </c>
      <c r="M1056">
        <v>0.76</v>
      </c>
    </row>
    <row r="1057" spans="1:13">
      <c r="A1057" s="28">
        <v>4490</v>
      </c>
      <c r="B1057" t="s">
        <v>1199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>
      <c r="A1058" s="28">
        <v>200880</v>
      </c>
      <c r="B1058" t="s">
        <v>1200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397</v>
      </c>
      <c r="I1058" t="s">
        <v>397</v>
      </c>
      <c r="J1058">
        <v>26709</v>
      </c>
      <c r="K1058">
        <v>0.75</v>
      </c>
      <c r="L1058">
        <v>150</v>
      </c>
      <c r="M1058">
        <v>0.75</v>
      </c>
    </row>
    <row r="1059" spans="1:13">
      <c r="A1059" s="28">
        <v>19990</v>
      </c>
      <c r="B1059" t="s">
        <v>1201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397</v>
      </c>
      <c r="I1059" t="s">
        <v>397</v>
      </c>
      <c r="J1059">
        <v>4654</v>
      </c>
      <c r="K1059">
        <v>1.44</v>
      </c>
      <c r="L1059">
        <v>50</v>
      </c>
      <c r="M1059">
        <v>0.75</v>
      </c>
    </row>
    <row r="1060" spans="1:13">
      <c r="A1060" s="28">
        <v>490</v>
      </c>
      <c r="B1060" t="s">
        <v>1202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397</v>
      </c>
      <c r="I1060" t="s">
        <v>397</v>
      </c>
      <c r="J1060">
        <v>15973</v>
      </c>
      <c r="K1060">
        <v>0.84</v>
      </c>
      <c r="L1060">
        <v>100</v>
      </c>
      <c r="M1060">
        <v>0.75</v>
      </c>
    </row>
    <row r="1061" spans="1:13">
      <c r="A1061" s="28">
        <v>214390</v>
      </c>
      <c r="B1061" t="s">
        <v>1203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397</v>
      </c>
      <c r="I1061" t="s">
        <v>397</v>
      </c>
      <c r="J1061">
        <v>6011</v>
      </c>
      <c r="K1061">
        <v>1.1100000000000001</v>
      </c>
      <c r="L1061">
        <v>50</v>
      </c>
      <c r="M1061">
        <v>0.75</v>
      </c>
    </row>
    <row r="1062" spans="1:13">
      <c r="A1062" s="28">
        <v>336370</v>
      </c>
      <c r="B1062" t="s">
        <v>1204</v>
      </c>
      <c r="C1062">
        <v>13400</v>
      </c>
      <c r="D1062">
        <v>180</v>
      </c>
      <c r="E1062">
        <v>1.36</v>
      </c>
      <c r="F1062" t="s">
        <v>397</v>
      </c>
      <c r="G1062" t="s">
        <v>397</v>
      </c>
      <c r="H1062" t="s">
        <v>397</v>
      </c>
      <c r="I1062" t="s">
        <v>397</v>
      </c>
      <c r="J1062">
        <v>7768</v>
      </c>
      <c r="K1062">
        <v>1.73</v>
      </c>
      <c r="L1062">
        <v>100</v>
      </c>
      <c r="M1062">
        <v>0.75</v>
      </c>
    </row>
    <row r="1063" spans="1:13">
      <c r="A1063" s="28">
        <v>246690</v>
      </c>
      <c r="B1063" t="s">
        <v>1205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397</v>
      </c>
      <c r="I1063" t="s">
        <v>397</v>
      </c>
      <c r="J1063">
        <v>1787</v>
      </c>
      <c r="K1063">
        <v>0.75</v>
      </c>
      <c r="L1063">
        <v>10</v>
      </c>
      <c r="M1063">
        <v>0.75</v>
      </c>
    </row>
    <row r="1064" spans="1:13">
      <c r="A1064" s="28">
        <v>41920</v>
      </c>
      <c r="B1064" t="s">
        <v>1206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397</v>
      </c>
      <c r="I1064" t="s">
        <v>397</v>
      </c>
      <c r="J1064">
        <v>5644</v>
      </c>
      <c r="K1064">
        <v>1.19</v>
      </c>
      <c r="L1064">
        <v>50</v>
      </c>
      <c r="M1064">
        <v>0.74</v>
      </c>
    </row>
    <row r="1065" spans="1:13">
      <c r="A1065" s="28">
        <v>106190</v>
      </c>
      <c r="B1065" t="s">
        <v>1207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397</v>
      </c>
      <c r="I1065" t="s">
        <v>397</v>
      </c>
      <c r="J1065">
        <v>9405</v>
      </c>
      <c r="K1065">
        <v>1</v>
      </c>
      <c r="L1065">
        <v>70</v>
      </c>
      <c r="M1065">
        <v>0.74</v>
      </c>
    </row>
    <row r="1066" spans="1:13">
      <c r="A1066" s="28">
        <v>660</v>
      </c>
      <c r="B1066" t="s">
        <v>1208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>
      <c r="A1067" s="28">
        <v>33160</v>
      </c>
      <c r="B1067" t="s">
        <v>1209</v>
      </c>
      <c r="C1067">
        <v>13570</v>
      </c>
      <c r="D1067">
        <v>110</v>
      </c>
      <c r="E1067">
        <v>0.82</v>
      </c>
      <c r="F1067" t="s">
        <v>397</v>
      </c>
      <c r="G1067" t="s">
        <v>397</v>
      </c>
      <c r="H1067" t="s">
        <v>397</v>
      </c>
      <c r="I1067" t="s">
        <v>397</v>
      </c>
      <c r="J1067">
        <v>18711</v>
      </c>
      <c r="K1067">
        <v>0.73</v>
      </c>
      <c r="L1067">
        <v>100</v>
      </c>
      <c r="M1067">
        <v>0.74</v>
      </c>
    </row>
    <row r="1068" spans="1:13">
      <c r="A1068" s="28">
        <v>237880</v>
      </c>
      <c r="B1068" t="s">
        <v>1210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>
      <c r="A1069" s="28">
        <v>36480</v>
      </c>
      <c r="B1069" t="s">
        <v>1211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397</v>
      </c>
      <c r="I1069" t="s">
        <v>397</v>
      </c>
      <c r="J1069">
        <v>10220</v>
      </c>
      <c r="K1069">
        <v>1.01</v>
      </c>
      <c r="L1069">
        <v>75</v>
      </c>
      <c r="M1069">
        <v>0.73</v>
      </c>
    </row>
    <row r="1070" spans="1:13">
      <c r="A1070" s="28">
        <v>98460</v>
      </c>
      <c r="B1070" t="s">
        <v>1212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>
      <c r="A1071" s="28">
        <v>248170</v>
      </c>
      <c r="B1071" t="s">
        <v>1213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397</v>
      </c>
      <c r="I1071" t="s">
        <v>397</v>
      </c>
      <c r="J1071">
        <v>49786</v>
      </c>
      <c r="K1071">
        <v>0.55000000000000004</v>
      </c>
      <c r="L1071">
        <v>200</v>
      </c>
      <c r="M1071">
        <v>0.73</v>
      </c>
    </row>
    <row r="1072" spans="1:13">
      <c r="A1072" s="28">
        <v>94360</v>
      </c>
      <c r="B1072" t="s">
        <v>1214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>
      <c r="A1073" s="28">
        <v>3230</v>
      </c>
      <c r="B1073" t="s">
        <v>1215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>
      <c r="A1074" s="28">
        <v>214450</v>
      </c>
      <c r="B1074" t="s">
        <v>1216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>
      <c r="A1075" s="28">
        <v>66570</v>
      </c>
      <c r="B1075" t="s">
        <v>1217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>
      <c r="A1076" s="28">
        <v>6580</v>
      </c>
      <c r="B1076" t="s">
        <v>1218</v>
      </c>
      <c r="C1076">
        <v>5630</v>
      </c>
      <c r="D1076">
        <v>160</v>
      </c>
      <c r="E1076">
        <v>2.93</v>
      </c>
      <c r="F1076" t="s">
        <v>397</v>
      </c>
      <c r="G1076" t="s">
        <v>397</v>
      </c>
      <c r="H1076" t="s">
        <v>397</v>
      </c>
      <c r="I1076" t="s">
        <v>397</v>
      </c>
      <c r="J1076">
        <v>6960</v>
      </c>
      <c r="K1076">
        <v>0.81</v>
      </c>
      <c r="L1076">
        <v>40</v>
      </c>
      <c r="M1076">
        <v>0.71</v>
      </c>
    </row>
    <row r="1077" spans="1:13">
      <c r="A1077" s="28">
        <v>348210</v>
      </c>
      <c r="B1077" t="s">
        <v>1219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>
      <c r="A1078" s="28">
        <v>67900</v>
      </c>
      <c r="B1078" t="s">
        <v>1220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397</v>
      </c>
      <c r="I1078" t="s">
        <v>397</v>
      </c>
      <c r="J1078">
        <v>11038</v>
      </c>
      <c r="K1078">
        <v>0.64</v>
      </c>
      <c r="L1078">
        <v>50</v>
      </c>
      <c r="M1078">
        <v>0.7</v>
      </c>
    </row>
    <row r="1079" spans="1:13">
      <c r="A1079" s="28">
        <v>20400</v>
      </c>
      <c r="B1079" t="s">
        <v>1221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397</v>
      </c>
      <c r="I1079" t="s">
        <v>397</v>
      </c>
      <c r="J1079">
        <v>14688</v>
      </c>
      <c r="K1079">
        <v>0.57999999999999996</v>
      </c>
      <c r="L1079">
        <v>60</v>
      </c>
      <c r="M1079">
        <v>0.7</v>
      </c>
    </row>
    <row r="1080" spans="1:13">
      <c r="A1080" s="28">
        <v>100660</v>
      </c>
      <c r="B1080" t="s">
        <v>1222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397</v>
      </c>
      <c r="I1080" t="s">
        <v>397</v>
      </c>
      <c r="J1080">
        <v>5090</v>
      </c>
      <c r="K1080">
        <v>0.98</v>
      </c>
      <c r="L1080">
        <v>35</v>
      </c>
      <c r="M1080">
        <v>0.7</v>
      </c>
    </row>
    <row r="1081" spans="1:13">
      <c r="A1081" s="28">
        <v>86900</v>
      </c>
      <c r="B1081" t="s">
        <v>1223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>
      <c r="A1082" s="28">
        <v>357780</v>
      </c>
      <c r="B1082" t="s">
        <v>1224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>
      <c r="A1083" s="28">
        <v>39440</v>
      </c>
      <c r="B1083" t="s">
        <v>1225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397</v>
      </c>
      <c r="I1084" t="s">
        <v>397</v>
      </c>
      <c r="J1084">
        <v>33661</v>
      </c>
      <c r="K1084">
        <v>0.44</v>
      </c>
      <c r="L1084">
        <v>100</v>
      </c>
      <c r="M1084">
        <v>0.68</v>
      </c>
    </row>
    <row r="1085" spans="1:13">
      <c r="A1085" s="28">
        <v>6730</v>
      </c>
      <c r="B1085" t="s">
        <v>1226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397</v>
      </c>
      <c r="I1085" t="s">
        <v>397</v>
      </c>
      <c r="J1085">
        <v>10467</v>
      </c>
      <c r="K1085">
        <v>0.7</v>
      </c>
      <c r="L1085">
        <v>50</v>
      </c>
      <c r="M1085">
        <v>0.68</v>
      </c>
    </row>
    <row r="1086" spans="1:13">
      <c r="A1086" s="28">
        <v>102710</v>
      </c>
      <c r="B1086" t="s">
        <v>1227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397</v>
      </c>
      <c r="I1086" t="s">
        <v>397</v>
      </c>
      <c r="J1086">
        <v>26565</v>
      </c>
      <c r="K1086">
        <v>0.82</v>
      </c>
      <c r="L1086">
        <v>150</v>
      </c>
      <c r="M1086">
        <v>0.68</v>
      </c>
    </row>
    <row r="1087" spans="1:13">
      <c r="A1087" s="28">
        <v>16920</v>
      </c>
      <c r="B1087" t="s">
        <v>1228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397</v>
      </c>
      <c r="I1087" t="s">
        <v>397</v>
      </c>
      <c r="J1087">
        <v>2502</v>
      </c>
      <c r="K1087">
        <v>0.59</v>
      </c>
      <c r="L1087">
        <v>10</v>
      </c>
      <c r="M1087">
        <v>0.68</v>
      </c>
    </row>
    <row r="1088" spans="1:13">
      <c r="A1088" s="28">
        <v>102370</v>
      </c>
      <c r="B1088" t="s">
        <v>1229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397</v>
      </c>
      <c r="I1088" t="s">
        <v>397</v>
      </c>
      <c r="J1088">
        <v>4711</v>
      </c>
      <c r="K1088">
        <v>1.0900000000000001</v>
      </c>
      <c r="L1088">
        <v>35</v>
      </c>
      <c r="M1088">
        <v>0.68</v>
      </c>
    </row>
    <row r="1089" spans="1:13">
      <c r="A1089" s="28">
        <v>95340</v>
      </c>
      <c r="B1089" t="s">
        <v>1230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>
      <c r="A1090" s="28">
        <v>112290</v>
      </c>
      <c r="B1090" t="s">
        <v>1231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397</v>
      </c>
      <c r="I1090" t="s">
        <v>397</v>
      </c>
      <c r="J1090">
        <v>6681</v>
      </c>
      <c r="K1090">
        <v>2.23</v>
      </c>
      <c r="L1090">
        <v>100</v>
      </c>
      <c r="M1090">
        <v>0.67</v>
      </c>
    </row>
    <row r="1091" spans="1:13">
      <c r="A1091" s="28">
        <v>224110</v>
      </c>
      <c r="B1091" t="s">
        <v>1232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397</v>
      </c>
      <c r="I1091" t="s">
        <v>397</v>
      </c>
      <c r="J1091">
        <v>10573</v>
      </c>
      <c r="K1091">
        <v>1.41</v>
      </c>
      <c r="L1091">
        <v>100</v>
      </c>
      <c r="M1091">
        <v>0.67</v>
      </c>
    </row>
    <row r="1092" spans="1:13">
      <c r="A1092" s="28">
        <v>3830</v>
      </c>
      <c r="B1092" t="s">
        <v>1233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397</v>
      </c>
      <c r="I1092" t="s">
        <v>397</v>
      </c>
      <c r="J1092">
        <v>635611</v>
      </c>
      <c r="K1092">
        <v>0.18</v>
      </c>
      <c r="L1092">
        <v>750</v>
      </c>
      <c r="M1092">
        <v>0.66</v>
      </c>
    </row>
    <row r="1093" spans="1:13">
      <c r="A1093" s="28">
        <v>321260</v>
      </c>
      <c r="B1093" t="s">
        <v>1234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397</v>
      </c>
      <c r="I1093" t="s">
        <v>397</v>
      </c>
      <c r="J1093">
        <v>1158</v>
      </c>
      <c r="K1093">
        <v>2.62</v>
      </c>
      <c r="L1093">
        <v>20</v>
      </c>
      <c r="M1093">
        <v>0.66</v>
      </c>
    </row>
    <row r="1094" spans="1:13">
      <c r="A1094" s="28">
        <v>136480</v>
      </c>
      <c r="B1094" t="s">
        <v>1235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397</v>
      </c>
      <c r="I1094" t="s">
        <v>397</v>
      </c>
      <c r="J1094">
        <v>2828</v>
      </c>
      <c r="K1094">
        <v>1.07</v>
      </c>
      <c r="L1094">
        <v>20</v>
      </c>
      <c r="M1094">
        <v>0.66</v>
      </c>
    </row>
    <row r="1095" spans="1:13">
      <c r="A1095" s="28">
        <v>218410</v>
      </c>
      <c r="B1095" t="s">
        <v>1236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>
      <c r="A1096" s="28">
        <v>105</v>
      </c>
      <c r="B1096" t="s">
        <v>1237</v>
      </c>
      <c r="C1096">
        <v>63400</v>
      </c>
      <c r="D1096">
        <v>-1600</v>
      </c>
      <c r="E1096">
        <v>-2.46</v>
      </c>
      <c r="F1096" t="s">
        <v>397</v>
      </c>
      <c r="G1096" t="s">
        <v>397</v>
      </c>
      <c r="H1096" t="s">
        <v>397</v>
      </c>
      <c r="I1096" t="s">
        <v>397</v>
      </c>
      <c r="J1096" t="s">
        <v>397</v>
      </c>
      <c r="K1096" t="s">
        <v>397</v>
      </c>
      <c r="L1096">
        <v>410</v>
      </c>
      <c r="M1096">
        <v>0.65</v>
      </c>
    </row>
    <row r="1097" spans="1:13">
      <c r="A1097" s="28">
        <v>36010</v>
      </c>
      <c r="B1097" t="s">
        <v>1238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397</v>
      </c>
      <c r="I1097" t="s">
        <v>397</v>
      </c>
      <c r="J1097">
        <v>8801</v>
      </c>
      <c r="K1097">
        <v>1.23</v>
      </c>
      <c r="L1097">
        <v>70</v>
      </c>
      <c r="M1097">
        <v>0.65</v>
      </c>
    </row>
    <row r="1098" spans="1:13">
      <c r="A1098" s="28">
        <v>58610</v>
      </c>
      <c r="B1098" t="s">
        <v>1239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>
      <c r="A1099" s="28">
        <v>264850</v>
      </c>
      <c r="B1099" t="s">
        <v>1240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397</v>
      </c>
      <c r="I1099" t="s">
        <v>397</v>
      </c>
      <c r="J1099">
        <v>1459</v>
      </c>
      <c r="K1099">
        <v>5.25</v>
      </c>
      <c r="L1099">
        <v>50</v>
      </c>
      <c r="M1099">
        <v>0.65</v>
      </c>
    </row>
    <row r="1100" spans="1:13">
      <c r="A1100" s="28">
        <v>333620</v>
      </c>
      <c r="B1100" t="s">
        <v>1241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397</v>
      </c>
      <c r="I1100" t="s">
        <v>397</v>
      </c>
      <c r="J1100">
        <v>5401</v>
      </c>
      <c r="K1100">
        <v>1.7</v>
      </c>
      <c r="L1100">
        <v>60</v>
      </c>
      <c r="M1100">
        <v>0.65</v>
      </c>
    </row>
    <row r="1101" spans="1:13">
      <c r="A1101" s="28">
        <v>48770</v>
      </c>
      <c r="B1101" t="s">
        <v>1242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397</v>
      </c>
      <c r="I1101" t="s">
        <v>397</v>
      </c>
      <c r="J1101">
        <v>2664</v>
      </c>
      <c r="K1101">
        <v>1.48</v>
      </c>
      <c r="L1101">
        <v>25</v>
      </c>
      <c r="M1101">
        <v>0.64</v>
      </c>
    </row>
    <row r="1102" spans="1:13">
      <c r="A1102" s="28">
        <v>351320</v>
      </c>
      <c r="B1102" t="s">
        <v>1243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397</v>
      </c>
      <c r="I1102" t="s">
        <v>397</v>
      </c>
      <c r="J1102">
        <v>1235</v>
      </c>
      <c r="K1102">
        <v>2.02</v>
      </c>
      <c r="L1102">
        <v>16</v>
      </c>
      <c r="M1102">
        <v>0.64</v>
      </c>
    </row>
    <row r="1103" spans="1:13">
      <c r="A1103" s="28">
        <v>237690</v>
      </c>
      <c r="B1103" t="s">
        <v>1244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>
      <c r="A1104" s="28">
        <v>71090</v>
      </c>
      <c r="B1104" t="s">
        <v>1245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397</v>
      </c>
      <c r="I1104" t="s">
        <v>397</v>
      </c>
      <c r="J1104">
        <v>7380</v>
      </c>
      <c r="K1104">
        <v>0.43</v>
      </c>
      <c r="L1104">
        <v>20</v>
      </c>
      <c r="M1104">
        <v>0.64</v>
      </c>
    </row>
    <row r="1105" spans="1:1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397</v>
      </c>
      <c r="I1105" t="s">
        <v>397</v>
      </c>
      <c r="J1105">
        <v>6339</v>
      </c>
      <c r="K1105">
        <v>0.5</v>
      </c>
      <c r="L1105">
        <v>20</v>
      </c>
      <c r="M1105">
        <v>0.63</v>
      </c>
    </row>
    <row r="1106" spans="1:13">
      <c r="A1106" s="28">
        <v>93320</v>
      </c>
      <c r="B1106" t="s">
        <v>1246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>
      <c r="A1107" s="28">
        <v>148250</v>
      </c>
      <c r="B1107" t="s">
        <v>1247</v>
      </c>
      <c r="C1107">
        <v>4790</v>
      </c>
      <c r="D1107">
        <v>190</v>
      </c>
      <c r="E1107">
        <v>4.13</v>
      </c>
      <c r="F1107" t="s">
        <v>397</v>
      </c>
      <c r="G1107" t="s">
        <v>397</v>
      </c>
      <c r="H1107" t="s">
        <v>397</v>
      </c>
      <c r="I1107" t="s">
        <v>397</v>
      </c>
      <c r="J1107">
        <v>5838</v>
      </c>
      <c r="K1107">
        <v>0.82</v>
      </c>
      <c r="L1107">
        <v>30</v>
      </c>
      <c r="M1107">
        <v>0.63</v>
      </c>
    </row>
    <row r="1108" spans="1:13">
      <c r="A1108" s="28">
        <v>59120</v>
      </c>
      <c r="B1108" t="s">
        <v>1248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397</v>
      </c>
      <c r="I1108" t="s">
        <v>397</v>
      </c>
      <c r="J1108">
        <v>4743</v>
      </c>
      <c r="K1108">
        <v>2.5099999999999998</v>
      </c>
      <c r="L1108">
        <v>75</v>
      </c>
      <c r="M1108">
        <v>0.63</v>
      </c>
    </row>
    <row r="1109" spans="1:13">
      <c r="A1109" s="28">
        <v>1460</v>
      </c>
      <c r="B1109" t="s">
        <v>1249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397</v>
      </c>
      <c r="I1109" t="s">
        <v>397</v>
      </c>
      <c r="J1109">
        <v>825735</v>
      </c>
      <c r="K1109">
        <v>0.57999999999999996</v>
      </c>
      <c r="L1109">
        <v>3000</v>
      </c>
      <c r="M1109">
        <v>0.63</v>
      </c>
    </row>
    <row r="1110" spans="1:13">
      <c r="A1110" s="28">
        <v>91580</v>
      </c>
      <c r="B1110" t="s">
        <v>1250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397</v>
      </c>
      <c r="I1110" t="s">
        <v>397</v>
      </c>
      <c r="J1110">
        <v>9077</v>
      </c>
      <c r="K1110">
        <v>2.0099999999999998</v>
      </c>
      <c r="L1110">
        <v>115</v>
      </c>
      <c r="M1110">
        <v>0.63</v>
      </c>
    </row>
    <row r="1111" spans="1:13">
      <c r="A1111" s="28">
        <v>4840</v>
      </c>
      <c r="B1111" t="s">
        <v>1251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397</v>
      </c>
      <c r="I1111" t="s">
        <v>397</v>
      </c>
      <c r="J1111">
        <v>18971</v>
      </c>
      <c r="K1111">
        <v>0.34</v>
      </c>
      <c r="L1111">
        <v>40</v>
      </c>
      <c r="M1111">
        <v>0.63</v>
      </c>
    </row>
    <row r="1112" spans="1:13">
      <c r="A1112" s="28">
        <v>214430</v>
      </c>
      <c r="B1112" t="s">
        <v>1252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397</v>
      </c>
      <c r="I1112" t="s">
        <v>397</v>
      </c>
      <c r="J1112">
        <v>11332</v>
      </c>
      <c r="K1112">
        <v>2.86</v>
      </c>
      <c r="L1112">
        <v>200</v>
      </c>
      <c r="M1112">
        <v>0.62</v>
      </c>
    </row>
    <row r="1113" spans="1:13">
      <c r="A1113" s="28">
        <v>300120</v>
      </c>
      <c r="B1113" t="s">
        <v>1253</v>
      </c>
      <c r="C1113">
        <v>8100</v>
      </c>
      <c r="D1113">
        <v>580</v>
      </c>
      <c r="E1113">
        <v>7.71</v>
      </c>
      <c r="F1113" t="s">
        <v>397</v>
      </c>
      <c r="G1113" t="s">
        <v>397</v>
      </c>
      <c r="H1113" t="s">
        <v>397</v>
      </c>
      <c r="I1113" t="s">
        <v>397</v>
      </c>
      <c r="J1113">
        <v>2616</v>
      </c>
      <c r="K1113">
        <v>3.1</v>
      </c>
      <c r="L1113">
        <v>50</v>
      </c>
      <c r="M1113">
        <v>0.62</v>
      </c>
    </row>
    <row r="1114" spans="1:13">
      <c r="A1114" s="28">
        <v>42370</v>
      </c>
      <c r="B1114" t="s">
        <v>1254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397</v>
      </c>
      <c r="I1114" t="s">
        <v>397</v>
      </c>
      <c r="J1114">
        <v>8197</v>
      </c>
      <c r="K1114">
        <v>0.98</v>
      </c>
      <c r="L1114">
        <v>50</v>
      </c>
      <c r="M1114">
        <v>0.62</v>
      </c>
    </row>
    <row r="1115" spans="1:13">
      <c r="A1115" s="28">
        <v>1067</v>
      </c>
      <c r="B1115" t="s">
        <v>1255</v>
      </c>
      <c r="C1115">
        <v>60900</v>
      </c>
      <c r="D1115">
        <v>0</v>
      </c>
      <c r="E1115">
        <v>0</v>
      </c>
      <c r="F1115" t="s">
        <v>397</v>
      </c>
      <c r="G1115" t="s">
        <v>397</v>
      </c>
      <c r="H1115" t="s">
        <v>397</v>
      </c>
      <c r="I1115" t="s">
        <v>397</v>
      </c>
      <c r="J1115" t="s">
        <v>397</v>
      </c>
      <c r="K1115" t="s">
        <v>397</v>
      </c>
      <c r="L1115">
        <v>375</v>
      </c>
      <c r="M1115">
        <v>0.62</v>
      </c>
    </row>
    <row r="1116" spans="1:13">
      <c r="A1116" s="28">
        <v>8730</v>
      </c>
      <c r="B1116" t="s">
        <v>1256</v>
      </c>
      <c r="C1116">
        <v>40400</v>
      </c>
      <c r="D1116">
        <v>-300</v>
      </c>
      <c r="E1116">
        <v>-0.74</v>
      </c>
      <c r="F1116" t="s">
        <v>397</v>
      </c>
      <c r="G1116" t="s">
        <v>397</v>
      </c>
      <c r="H1116" t="s">
        <v>397</v>
      </c>
      <c r="I1116" t="s">
        <v>397</v>
      </c>
      <c r="J1116">
        <v>13460</v>
      </c>
      <c r="K1116">
        <v>3</v>
      </c>
      <c r="L1116">
        <v>250</v>
      </c>
      <c r="M1116">
        <v>0.62</v>
      </c>
    </row>
    <row r="1117" spans="1:13">
      <c r="A1117" s="28">
        <v>243840</v>
      </c>
      <c r="B1117" t="s">
        <v>1257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>
      <c r="A1118" s="28">
        <v>197140</v>
      </c>
      <c r="B1118" t="s">
        <v>1258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397</v>
      </c>
      <c r="I1118" t="s">
        <v>397</v>
      </c>
      <c r="J1118">
        <v>4799</v>
      </c>
      <c r="K1118">
        <v>1.03</v>
      </c>
      <c r="L1118">
        <v>30</v>
      </c>
      <c r="M1118">
        <v>0.61</v>
      </c>
    </row>
    <row r="1119" spans="1:13">
      <c r="A1119" s="28">
        <v>281820</v>
      </c>
      <c r="B1119" t="s">
        <v>1259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397</v>
      </c>
      <c r="I1119" t="s">
        <v>397</v>
      </c>
      <c r="J1119">
        <v>20995</v>
      </c>
      <c r="K1119">
        <v>1.97</v>
      </c>
      <c r="L1119">
        <v>250</v>
      </c>
      <c r="M1119">
        <v>0.6</v>
      </c>
    </row>
    <row r="1120" spans="1:13">
      <c r="A1120" s="28">
        <v>90430</v>
      </c>
      <c r="B1120" t="s">
        <v>1260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>
      <c r="A1121" s="28">
        <v>49480</v>
      </c>
      <c r="B1121" t="s">
        <v>1261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397</v>
      </c>
      <c r="I1121" t="s">
        <v>397</v>
      </c>
      <c r="J1121">
        <v>2436</v>
      </c>
      <c r="K1121">
        <v>1.03</v>
      </c>
      <c r="L1121">
        <v>15</v>
      </c>
      <c r="M1121">
        <v>0.6</v>
      </c>
    </row>
    <row r="1122" spans="1:13">
      <c r="A1122" s="28">
        <v>51360</v>
      </c>
      <c r="B1122" t="s">
        <v>1262</v>
      </c>
      <c r="C1122">
        <v>16720</v>
      </c>
      <c r="D1122">
        <v>140</v>
      </c>
      <c r="E1122">
        <v>0.84</v>
      </c>
      <c r="F1122" t="s">
        <v>397</v>
      </c>
      <c r="G1122" t="s">
        <v>397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>
      <c r="A1123" s="28">
        <v>67160</v>
      </c>
      <c r="B1123" t="s">
        <v>1263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>
      <c r="A1124" s="28">
        <v>240810</v>
      </c>
      <c r="B1124" t="s">
        <v>1264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>
      <c r="A1125" s="28">
        <v>241590</v>
      </c>
      <c r="B1125" t="s">
        <v>1265</v>
      </c>
      <c r="C1125">
        <v>7620</v>
      </c>
      <c r="D1125">
        <v>20</v>
      </c>
      <c r="E1125">
        <v>0.26</v>
      </c>
      <c r="F1125" t="s">
        <v>397</v>
      </c>
      <c r="G1125" t="s">
        <v>397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>
      <c r="A1126" s="28">
        <v>64290</v>
      </c>
      <c r="B1126" t="s">
        <v>1266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>
      <c r="A1127" s="28">
        <v>278280</v>
      </c>
      <c r="B1127" t="s">
        <v>1267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>
      <c r="A1128" s="28">
        <v>4830</v>
      </c>
      <c r="B1128" t="s">
        <v>1268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397</v>
      </c>
      <c r="I1128" t="s">
        <v>397</v>
      </c>
      <c r="J1128">
        <v>5862</v>
      </c>
      <c r="K1128">
        <v>1.33</v>
      </c>
      <c r="L1128">
        <v>45</v>
      </c>
      <c r="M1128">
        <v>0.57999999999999996</v>
      </c>
    </row>
    <row r="1129" spans="1:13">
      <c r="A1129" s="28">
        <v>122870</v>
      </c>
      <c r="B1129" t="s">
        <v>1269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>
      <c r="A1130" s="28">
        <v>2760</v>
      </c>
      <c r="B1130" t="s">
        <v>1270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397</v>
      </c>
      <c r="I1130" t="s">
        <v>397</v>
      </c>
      <c r="J1130">
        <v>808</v>
      </c>
      <c r="K1130">
        <v>1.51</v>
      </c>
      <c r="L1130">
        <v>7</v>
      </c>
      <c r="M1130">
        <v>0.56999999999999995</v>
      </c>
    </row>
    <row r="1131" spans="1:13">
      <c r="A1131" s="28">
        <v>232680</v>
      </c>
      <c r="B1131" t="s">
        <v>1271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397</v>
      </c>
      <c r="I1131" t="s">
        <v>397</v>
      </c>
      <c r="J1131">
        <v>2252</v>
      </c>
      <c r="K1131">
        <v>3.87</v>
      </c>
      <c r="L1131">
        <v>50</v>
      </c>
      <c r="M1131">
        <v>0.56999999999999995</v>
      </c>
    </row>
    <row r="1132" spans="1:13">
      <c r="A1132" s="28">
        <v>25950</v>
      </c>
      <c r="B1132" t="s">
        <v>1272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397</v>
      </c>
      <c r="I1132" t="s">
        <v>397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>
      <c r="A1133" s="28">
        <v>36930</v>
      </c>
      <c r="B1133" t="s">
        <v>1273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>
      <c r="A1134" s="28">
        <v>39030</v>
      </c>
      <c r="B1134" t="s">
        <v>1274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>
      <c r="A1135" s="28">
        <v>8775</v>
      </c>
      <c r="B1135" t="s">
        <v>1275</v>
      </c>
      <c r="C1135">
        <v>44800</v>
      </c>
      <c r="D1135">
        <v>200</v>
      </c>
      <c r="E1135">
        <v>0.45</v>
      </c>
      <c r="F1135" t="s">
        <v>397</v>
      </c>
      <c r="G1135" t="s">
        <v>397</v>
      </c>
      <c r="H1135" t="s">
        <v>397</v>
      </c>
      <c r="I1135" t="s">
        <v>397</v>
      </c>
      <c r="J1135" t="s">
        <v>397</v>
      </c>
      <c r="K1135" t="s">
        <v>397</v>
      </c>
      <c r="L1135">
        <v>250</v>
      </c>
      <c r="M1135">
        <v>0.56000000000000005</v>
      </c>
    </row>
    <row r="1136" spans="1:13">
      <c r="A1136" s="28">
        <v>126700</v>
      </c>
      <c r="B1136" t="s">
        <v>1276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>
      <c r="A1137" s="28">
        <v>67370</v>
      </c>
      <c r="B1137" t="s">
        <v>1277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397</v>
      </c>
      <c r="I1137" t="s">
        <v>397</v>
      </c>
      <c r="J1137">
        <v>1937</v>
      </c>
      <c r="K1137">
        <v>4.57</v>
      </c>
      <c r="L1137">
        <v>50</v>
      </c>
      <c r="M1137">
        <v>0.56000000000000005</v>
      </c>
    </row>
    <row r="1138" spans="1:13">
      <c r="A1138" s="28">
        <v>12450</v>
      </c>
      <c r="B1138" t="s">
        <v>1278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>
      <c r="A1139" s="28">
        <v>6370</v>
      </c>
      <c r="B1139" t="s">
        <v>1279</v>
      </c>
      <c r="C1139">
        <v>8980</v>
      </c>
      <c r="D1139">
        <v>-10</v>
      </c>
      <c r="E1139">
        <v>-0.11</v>
      </c>
      <c r="F1139" t="s">
        <v>397</v>
      </c>
      <c r="G1139" t="s">
        <v>397</v>
      </c>
      <c r="H1139" t="s">
        <v>397</v>
      </c>
      <c r="I1139" t="s">
        <v>397</v>
      </c>
      <c r="J1139">
        <v>27810</v>
      </c>
      <c r="K1139">
        <v>0.32</v>
      </c>
      <c r="L1139">
        <v>50</v>
      </c>
      <c r="M1139">
        <v>0.56000000000000005</v>
      </c>
    </row>
    <row r="1140" spans="1:13">
      <c r="A1140" s="28">
        <v>265560</v>
      </c>
      <c r="B1140" t="s">
        <v>1280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397</v>
      </c>
      <c r="I1140" t="s">
        <v>397</v>
      </c>
      <c r="J1140">
        <v>5326</v>
      </c>
      <c r="K1140">
        <v>1.69</v>
      </c>
      <c r="L1140">
        <v>50</v>
      </c>
      <c r="M1140">
        <v>0.56000000000000005</v>
      </c>
    </row>
    <row r="1141" spans="1:13">
      <c r="A1141" s="28">
        <v>71280</v>
      </c>
      <c r="B1141" t="s">
        <v>1281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397</v>
      </c>
      <c r="I1141" t="s">
        <v>397</v>
      </c>
      <c r="J1141">
        <v>7003</v>
      </c>
      <c r="K1141">
        <v>1.31</v>
      </c>
      <c r="L1141">
        <v>50</v>
      </c>
      <c r="M1141">
        <v>0.55000000000000004</v>
      </c>
    </row>
    <row r="1142" spans="1:13">
      <c r="A1142" s="28">
        <v>2700</v>
      </c>
      <c r="B1142" t="s">
        <v>1282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397</v>
      </c>
      <c r="I1142" t="s">
        <v>397</v>
      </c>
      <c r="J1142">
        <v>1165</v>
      </c>
      <c r="K1142">
        <v>1.56</v>
      </c>
      <c r="L1142">
        <v>10</v>
      </c>
      <c r="M1142">
        <v>0.55000000000000004</v>
      </c>
    </row>
    <row r="1143" spans="1:13">
      <c r="A1143" s="28">
        <v>322780</v>
      </c>
      <c r="B1143" t="s">
        <v>1283</v>
      </c>
      <c r="C1143">
        <v>1839</v>
      </c>
      <c r="D1143">
        <v>0</v>
      </c>
      <c r="E1143">
        <v>0</v>
      </c>
      <c r="F1143" t="s">
        <v>397</v>
      </c>
      <c r="G1143" t="s">
        <v>397</v>
      </c>
      <c r="H1143" t="s">
        <v>397</v>
      </c>
      <c r="I1143" t="s">
        <v>397</v>
      </c>
      <c r="J1143">
        <v>1367</v>
      </c>
      <c r="K1143">
        <v>1.35</v>
      </c>
      <c r="L1143">
        <v>10</v>
      </c>
      <c r="M1143">
        <v>0.54</v>
      </c>
    </row>
    <row r="1144" spans="1:13">
      <c r="A1144" s="28">
        <v>100</v>
      </c>
      <c r="B1144" t="s">
        <v>1284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>
      <c r="A1145" s="28">
        <v>83450</v>
      </c>
      <c r="B1145" t="s">
        <v>1285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>
      <c r="A1146" s="28">
        <v>35900</v>
      </c>
      <c r="B1146" t="s">
        <v>1286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>
      <c r="A1147" s="28">
        <v>307280</v>
      </c>
      <c r="B1147" t="s">
        <v>1287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397</v>
      </c>
      <c r="I1147" t="s">
        <v>397</v>
      </c>
      <c r="J1147">
        <v>768</v>
      </c>
      <c r="K1147">
        <v>2.4</v>
      </c>
      <c r="L1147">
        <v>10</v>
      </c>
      <c r="M1147">
        <v>0.54</v>
      </c>
    </row>
    <row r="1148" spans="1:13">
      <c r="A1148" s="28">
        <v>217190</v>
      </c>
      <c r="B1148" t="s">
        <v>1288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397</v>
      </c>
      <c r="I1148" t="s">
        <v>397</v>
      </c>
      <c r="J1148">
        <v>4588</v>
      </c>
      <c r="K1148">
        <v>3.1</v>
      </c>
      <c r="L1148">
        <v>75</v>
      </c>
      <c r="M1148">
        <v>0.53</v>
      </c>
    </row>
    <row r="1149" spans="1:13">
      <c r="A1149" s="28">
        <v>294570</v>
      </c>
      <c r="B1149" t="s">
        <v>1289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>
      <c r="A1150" s="28">
        <v>2690</v>
      </c>
      <c r="B1150" t="s">
        <v>1290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397</v>
      </c>
      <c r="I1150" t="s">
        <v>397</v>
      </c>
      <c r="J1150">
        <v>7970</v>
      </c>
      <c r="K1150">
        <v>0.24</v>
      </c>
      <c r="L1150">
        <v>10</v>
      </c>
      <c r="M1150">
        <v>0.53</v>
      </c>
    </row>
    <row r="1151" spans="1:13">
      <c r="A1151" s="28">
        <v>69620</v>
      </c>
      <c r="B1151" t="s">
        <v>1291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>
      <c r="A1152" s="28">
        <v>11500</v>
      </c>
      <c r="B1152" t="s">
        <v>1292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397</v>
      </c>
      <c r="I1152" t="s">
        <v>397</v>
      </c>
      <c r="J1152">
        <v>9977</v>
      </c>
      <c r="K1152">
        <v>2.27</v>
      </c>
      <c r="L1152">
        <v>120</v>
      </c>
      <c r="M1152">
        <v>0.53</v>
      </c>
    </row>
    <row r="1153" spans="1:13">
      <c r="A1153" s="28">
        <v>12860</v>
      </c>
      <c r="B1153" t="s">
        <v>1293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397</v>
      </c>
      <c r="I1153" t="s">
        <v>397</v>
      </c>
      <c r="J1153">
        <v>2532</v>
      </c>
      <c r="K1153">
        <v>0.75</v>
      </c>
      <c r="L1153">
        <v>10</v>
      </c>
      <c r="M1153">
        <v>0.53</v>
      </c>
    </row>
    <row r="1154" spans="1:13">
      <c r="A1154" s="28">
        <v>107600</v>
      </c>
      <c r="B1154" t="s">
        <v>1294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397</v>
      </c>
      <c r="I1154" t="s">
        <v>397</v>
      </c>
      <c r="J1154">
        <v>12989</v>
      </c>
      <c r="K1154">
        <v>4.47</v>
      </c>
      <c r="L1154">
        <v>300</v>
      </c>
      <c r="M1154">
        <v>0.52</v>
      </c>
    </row>
    <row r="1155" spans="1:13">
      <c r="A1155" s="28">
        <v>68330</v>
      </c>
      <c r="B1155" t="s">
        <v>1295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397</v>
      </c>
      <c r="I1155" t="s">
        <v>397</v>
      </c>
      <c r="J1155">
        <v>1256</v>
      </c>
      <c r="K1155">
        <v>1.07</v>
      </c>
      <c r="L1155">
        <v>7</v>
      </c>
      <c r="M1155">
        <v>0.52</v>
      </c>
    </row>
    <row r="1156" spans="1:13">
      <c r="A1156" s="28">
        <v>74600</v>
      </c>
      <c r="B1156" t="s">
        <v>1296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>
      <c r="A1157" s="28">
        <v>94480</v>
      </c>
      <c r="B1157" t="s">
        <v>1297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397</v>
      </c>
      <c r="I1157" t="s">
        <v>397</v>
      </c>
      <c r="J1157">
        <v>2934</v>
      </c>
      <c r="K1157">
        <v>2.93</v>
      </c>
      <c r="L1157">
        <v>45</v>
      </c>
      <c r="M1157">
        <v>0.52</v>
      </c>
    </row>
    <row r="1158" spans="1:13">
      <c r="A1158" s="28">
        <v>3090</v>
      </c>
      <c r="B1158" t="s">
        <v>1298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397</v>
      </c>
      <c r="I1158" t="s">
        <v>397</v>
      </c>
      <c r="J1158">
        <v>19933</v>
      </c>
      <c r="K1158">
        <v>0.98</v>
      </c>
      <c r="L1158">
        <v>100</v>
      </c>
      <c r="M1158">
        <v>0.51</v>
      </c>
    </row>
    <row r="1159" spans="1:13">
      <c r="A1159" s="28">
        <v>24940</v>
      </c>
      <c r="B1159" t="s">
        <v>1299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397</v>
      </c>
      <c r="I1159" t="s">
        <v>397</v>
      </c>
      <c r="J1159">
        <v>4921</v>
      </c>
      <c r="K1159">
        <v>1</v>
      </c>
      <c r="L1159">
        <v>25</v>
      </c>
      <c r="M1159">
        <v>0.51</v>
      </c>
    </row>
    <row r="1160" spans="1:13">
      <c r="A1160" s="28">
        <v>108670</v>
      </c>
      <c r="B1160" t="s">
        <v>1300</v>
      </c>
      <c r="C1160">
        <v>39250</v>
      </c>
      <c r="D1160">
        <v>-650</v>
      </c>
      <c r="E1160">
        <v>-1.63</v>
      </c>
      <c r="F1160" t="s">
        <v>397</v>
      </c>
      <c r="G1160" t="s">
        <v>397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>
      <c r="A1161" s="28">
        <v>87600</v>
      </c>
      <c r="B1161" t="s">
        <v>1301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397</v>
      </c>
      <c r="I1161" t="s">
        <v>397</v>
      </c>
      <c r="J1161">
        <v>13297</v>
      </c>
      <c r="K1161">
        <v>0.73</v>
      </c>
      <c r="L1161">
        <v>50</v>
      </c>
      <c r="M1161">
        <v>0.51</v>
      </c>
    </row>
    <row r="1162" spans="1:13">
      <c r="A1162" s="28">
        <v>23900</v>
      </c>
      <c r="B1162" t="s">
        <v>1302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397</v>
      </c>
      <c r="I1162" t="s">
        <v>397</v>
      </c>
      <c r="J1162">
        <v>11716</v>
      </c>
      <c r="K1162">
        <v>1.02</v>
      </c>
      <c r="L1162">
        <v>60</v>
      </c>
      <c r="M1162">
        <v>0.5</v>
      </c>
    </row>
    <row r="1163" spans="1:13">
      <c r="A1163" s="28">
        <v>131370</v>
      </c>
      <c r="B1163" t="s">
        <v>1303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397</v>
      </c>
      <c r="I1163" t="s">
        <v>397</v>
      </c>
      <c r="J1163">
        <v>1648</v>
      </c>
      <c r="K1163">
        <v>2.4500000000000002</v>
      </c>
      <c r="L1163">
        <v>20</v>
      </c>
      <c r="M1163">
        <v>0.5</v>
      </c>
    </row>
    <row r="1164" spans="1:13">
      <c r="A1164" s="28">
        <v>8930</v>
      </c>
      <c r="B1164" t="s">
        <v>1304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397</v>
      </c>
      <c r="I1164" t="s">
        <v>397</v>
      </c>
      <c r="J1164">
        <v>10673</v>
      </c>
      <c r="K1164">
        <v>3.73</v>
      </c>
      <c r="L1164">
        <v>200</v>
      </c>
      <c r="M1164">
        <v>0.5</v>
      </c>
    </row>
    <row r="1165" spans="1:13">
      <c r="A1165" s="28">
        <v>1770</v>
      </c>
      <c r="B1165" t="s">
        <v>1305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397</v>
      </c>
      <c r="I1165" t="s">
        <v>397</v>
      </c>
      <c r="J1165">
        <v>42355</v>
      </c>
      <c r="K1165">
        <v>0.47</v>
      </c>
      <c r="L1165">
        <v>100</v>
      </c>
      <c r="M1165">
        <v>0.5</v>
      </c>
    </row>
    <row r="1166" spans="1:13">
      <c r="A1166" s="28">
        <v>104460</v>
      </c>
      <c r="B1166" t="s">
        <v>1306</v>
      </c>
      <c r="C1166">
        <v>20500</v>
      </c>
      <c r="D1166">
        <v>-100</v>
      </c>
      <c r="E1166">
        <v>-0.49</v>
      </c>
      <c r="F1166" t="s">
        <v>397</v>
      </c>
      <c r="G1166" t="s">
        <v>397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>
      <c r="A1167" s="28">
        <v>173130</v>
      </c>
      <c r="B1167" t="s">
        <v>1307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397</v>
      </c>
      <c r="I1167" t="s">
        <v>397</v>
      </c>
      <c r="J1167">
        <v>2733</v>
      </c>
      <c r="K1167">
        <v>3.74</v>
      </c>
      <c r="L1167">
        <v>50</v>
      </c>
      <c r="M1167">
        <v>0.49</v>
      </c>
    </row>
    <row r="1168" spans="1:13">
      <c r="A1168" s="28">
        <v>4560</v>
      </c>
      <c r="B1168" t="s">
        <v>1308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397</v>
      </c>
      <c r="I1168" t="s">
        <v>397</v>
      </c>
      <c r="J1168">
        <v>34806</v>
      </c>
      <c r="K1168">
        <v>0.59</v>
      </c>
      <c r="L1168">
        <v>100</v>
      </c>
      <c r="M1168">
        <v>0.49</v>
      </c>
    </row>
    <row r="1169" spans="1:13">
      <c r="A1169" s="28">
        <v>35420</v>
      </c>
      <c r="B1169" t="s">
        <v>1309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>
      <c r="A1170" s="28">
        <v>47810</v>
      </c>
      <c r="B1170" t="s">
        <v>1310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>
      <c r="A1171" s="28">
        <v>17550</v>
      </c>
      <c r="B1171" t="s">
        <v>1311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397</v>
      </c>
      <c r="I1171" t="s">
        <v>397</v>
      </c>
      <c r="J1171">
        <v>2566</v>
      </c>
      <c r="K1171">
        <v>0.82</v>
      </c>
      <c r="L1171">
        <v>10</v>
      </c>
      <c r="M1171">
        <v>0.48</v>
      </c>
    </row>
    <row r="1172" spans="1:13">
      <c r="A1172" s="28">
        <v>10660</v>
      </c>
      <c r="B1172" t="s">
        <v>1312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397</v>
      </c>
      <c r="I1172" t="s">
        <v>397</v>
      </c>
      <c r="J1172">
        <v>6506</v>
      </c>
      <c r="K1172">
        <v>0.96</v>
      </c>
      <c r="L1172">
        <v>30</v>
      </c>
      <c r="M1172">
        <v>0.48</v>
      </c>
    </row>
    <row r="1173" spans="1:13">
      <c r="A1173" s="28">
        <v>172670</v>
      </c>
      <c r="B1173" t="s">
        <v>1313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397</v>
      </c>
      <c r="I1173" t="s">
        <v>397</v>
      </c>
      <c r="J1173">
        <v>9071</v>
      </c>
      <c r="K1173">
        <v>2.36</v>
      </c>
      <c r="L1173">
        <v>100</v>
      </c>
      <c r="M1173">
        <v>0.47</v>
      </c>
    </row>
    <row r="1174" spans="1:13">
      <c r="A1174" s="28">
        <v>20710</v>
      </c>
      <c r="B1174" t="s">
        <v>1314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>
      <c r="A1175" s="28">
        <v>277070</v>
      </c>
      <c r="B1175" t="s">
        <v>1315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397</v>
      </c>
      <c r="I1175" t="s">
        <v>397</v>
      </c>
      <c r="J1175">
        <v>4210</v>
      </c>
      <c r="K1175">
        <v>1.43</v>
      </c>
      <c r="L1175">
        <v>28</v>
      </c>
      <c r="M1175">
        <v>0.46</v>
      </c>
    </row>
    <row r="1176" spans="1:13">
      <c r="A1176" s="28">
        <v>158430</v>
      </c>
      <c r="B1176" t="s">
        <v>1316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397</v>
      </c>
      <c r="I1176" t="s">
        <v>397</v>
      </c>
      <c r="J1176">
        <v>3159</v>
      </c>
      <c r="K1176">
        <v>1.38</v>
      </c>
      <c r="L1176">
        <v>20</v>
      </c>
      <c r="M1176">
        <v>0.46</v>
      </c>
    </row>
    <row r="1177" spans="1:13">
      <c r="A1177" s="28">
        <v>83310</v>
      </c>
      <c r="B1177" t="s">
        <v>1317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397</v>
      </c>
      <c r="I1177" t="s">
        <v>397</v>
      </c>
      <c r="J1177">
        <v>12896</v>
      </c>
      <c r="K1177">
        <v>1.68</v>
      </c>
      <c r="L1177">
        <v>100</v>
      </c>
      <c r="M1177">
        <v>0.46</v>
      </c>
    </row>
    <row r="1178" spans="1:13">
      <c r="A1178" s="28">
        <v>17890</v>
      </c>
      <c r="B1178" t="s">
        <v>1318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397</v>
      </c>
      <c r="I1178" t="s">
        <v>397</v>
      </c>
      <c r="J1178">
        <v>21988</v>
      </c>
      <c r="K1178">
        <v>0.49</v>
      </c>
      <c r="L1178">
        <v>50</v>
      </c>
      <c r="M1178">
        <v>0.46</v>
      </c>
    </row>
    <row r="1179" spans="1:13">
      <c r="A1179" s="28">
        <v>2620</v>
      </c>
      <c r="B1179" t="s">
        <v>1319</v>
      </c>
      <c r="C1179">
        <v>10830</v>
      </c>
      <c r="D1179">
        <v>-90</v>
      </c>
      <c r="E1179">
        <v>-0.82</v>
      </c>
      <c r="F1179" t="s">
        <v>397</v>
      </c>
      <c r="G1179" t="s">
        <v>397</v>
      </c>
      <c r="H1179" t="s">
        <v>397</v>
      </c>
      <c r="I1179" t="s">
        <v>397</v>
      </c>
      <c r="J1179">
        <v>22003</v>
      </c>
      <c r="K1179">
        <v>0.49</v>
      </c>
      <c r="L1179">
        <v>50</v>
      </c>
      <c r="M1179">
        <v>0.46</v>
      </c>
    </row>
    <row r="1180" spans="1:13">
      <c r="A1180" s="28">
        <v>33100</v>
      </c>
      <c r="B1180" t="s">
        <v>1320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397</v>
      </c>
      <c r="I1180" t="s">
        <v>397</v>
      </c>
      <c r="J1180">
        <v>4410</v>
      </c>
      <c r="K1180">
        <v>7.36</v>
      </c>
      <c r="L1180">
        <v>150</v>
      </c>
      <c r="M1180">
        <v>0.46</v>
      </c>
    </row>
    <row r="1181" spans="1:13">
      <c r="A1181" s="28">
        <v>54450</v>
      </c>
      <c r="B1181" t="s">
        <v>1321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>
      <c r="A1182" s="28">
        <v>1515</v>
      </c>
      <c r="B1182" t="s">
        <v>1322</v>
      </c>
      <c r="C1182">
        <v>2245</v>
      </c>
      <c r="D1182">
        <v>-15</v>
      </c>
      <c r="E1182">
        <v>-0.66</v>
      </c>
      <c r="F1182" t="s">
        <v>397</v>
      </c>
      <c r="G1182" t="s">
        <v>397</v>
      </c>
      <c r="H1182" t="s">
        <v>397</v>
      </c>
      <c r="I1182" t="s">
        <v>397</v>
      </c>
      <c r="J1182" t="s">
        <v>397</v>
      </c>
      <c r="K1182" t="s">
        <v>397</v>
      </c>
      <c r="L1182">
        <v>10</v>
      </c>
      <c r="M1182">
        <v>0.45</v>
      </c>
    </row>
    <row r="1183" spans="1:13">
      <c r="A1183" s="28">
        <v>59210</v>
      </c>
      <c r="B1183" t="s">
        <v>1323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397</v>
      </c>
      <c r="I1183" t="s">
        <v>397</v>
      </c>
      <c r="J1183">
        <v>2649</v>
      </c>
      <c r="K1183">
        <v>1.73</v>
      </c>
      <c r="L1183">
        <v>20</v>
      </c>
      <c r="M1183">
        <v>0.44</v>
      </c>
    </row>
    <row r="1184" spans="1:13">
      <c r="A1184" s="28">
        <v>30960</v>
      </c>
      <c r="B1184" t="s">
        <v>1324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397</v>
      </c>
      <c r="I1184" t="s">
        <v>397</v>
      </c>
      <c r="J1184">
        <v>13503</v>
      </c>
      <c r="K1184">
        <v>0.84</v>
      </c>
      <c r="L1184">
        <v>50</v>
      </c>
      <c r="M1184">
        <v>0.44</v>
      </c>
    </row>
    <row r="1185" spans="1:13">
      <c r="A1185" s="28">
        <v>78140</v>
      </c>
      <c r="B1185" t="s">
        <v>1325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397</v>
      </c>
      <c r="I1185" t="s">
        <v>397</v>
      </c>
      <c r="J1185">
        <v>10701</v>
      </c>
      <c r="K1185">
        <v>1.05</v>
      </c>
      <c r="L1185">
        <v>50</v>
      </c>
      <c r="M1185">
        <v>0.44</v>
      </c>
    </row>
    <row r="1186" spans="1:13">
      <c r="A1186" s="28">
        <v>91120</v>
      </c>
      <c r="B1186" t="s">
        <v>1326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397</v>
      </c>
      <c r="I1186" t="s">
        <v>397</v>
      </c>
      <c r="J1186">
        <v>15775</v>
      </c>
      <c r="K1186">
        <v>2.16</v>
      </c>
      <c r="L1186">
        <v>150</v>
      </c>
      <c r="M1186">
        <v>0.44</v>
      </c>
    </row>
    <row r="1187" spans="1:13">
      <c r="A1187" s="28">
        <v>6405</v>
      </c>
      <c r="B1187" t="s">
        <v>1327</v>
      </c>
      <c r="C1187">
        <v>243000</v>
      </c>
      <c r="D1187">
        <v>-9500</v>
      </c>
      <c r="E1187">
        <v>-3.76</v>
      </c>
      <c r="F1187" t="s">
        <v>397</v>
      </c>
      <c r="G1187" t="s">
        <v>397</v>
      </c>
      <c r="H1187" t="s">
        <v>397</v>
      </c>
      <c r="I1187" t="s">
        <v>397</v>
      </c>
      <c r="J1187" t="s">
        <v>397</v>
      </c>
      <c r="K1187" t="s">
        <v>397</v>
      </c>
      <c r="L1187">
        <v>1080</v>
      </c>
      <c r="M1187">
        <v>0.44</v>
      </c>
    </row>
    <row r="1188" spans="1:13">
      <c r="A1188" s="28">
        <v>89030</v>
      </c>
      <c r="B1188" t="s">
        <v>1328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>
      <c r="A1189" s="28">
        <v>36810</v>
      </c>
      <c r="B1189" t="s">
        <v>1329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397</v>
      </c>
      <c r="I1189" t="s">
        <v>397</v>
      </c>
      <c r="J1189">
        <v>12460</v>
      </c>
      <c r="K1189">
        <v>1.88</v>
      </c>
      <c r="L1189">
        <v>100</v>
      </c>
      <c r="M1189">
        <v>0.43</v>
      </c>
    </row>
    <row r="1190" spans="1:13">
      <c r="A1190" s="28">
        <v>11390</v>
      </c>
      <c r="B1190" t="s">
        <v>1330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397</v>
      </c>
      <c r="I1190" t="s">
        <v>397</v>
      </c>
      <c r="J1190">
        <v>55020</v>
      </c>
      <c r="K1190">
        <v>1.05</v>
      </c>
      <c r="L1190">
        <v>250</v>
      </c>
      <c r="M1190">
        <v>0.43</v>
      </c>
    </row>
    <row r="1191" spans="1:13">
      <c r="A1191" s="28">
        <v>211270</v>
      </c>
      <c r="B1191" t="s">
        <v>1331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397</v>
      </c>
      <c r="I1191" t="s">
        <v>397</v>
      </c>
      <c r="J1191">
        <v>5997</v>
      </c>
      <c r="K1191">
        <v>2.69</v>
      </c>
      <c r="L1191">
        <v>70</v>
      </c>
      <c r="M1191">
        <v>0.43</v>
      </c>
    </row>
    <row r="1192" spans="1:13">
      <c r="A1192" s="28">
        <v>17040</v>
      </c>
      <c r="B1192" t="s">
        <v>1332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397</v>
      </c>
      <c r="I1192" t="s">
        <v>397</v>
      </c>
      <c r="J1192">
        <v>2621</v>
      </c>
      <c r="K1192">
        <v>0.92</v>
      </c>
      <c r="L1192">
        <v>10</v>
      </c>
      <c r="M1192">
        <v>0.42</v>
      </c>
    </row>
    <row r="1193" spans="1:13">
      <c r="A1193" s="28">
        <v>18310</v>
      </c>
      <c r="B1193" t="s">
        <v>1333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397</v>
      </c>
      <c r="I1193" t="s">
        <v>397</v>
      </c>
      <c r="J1193">
        <v>33446</v>
      </c>
      <c r="K1193">
        <v>0.71</v>
      </c>
      <c r="L1193">
        <v>100</v>
      </c>
      <c r="M1193">
        <v>0.42</v>
      </c>
    </row>
    <row r="1194" spans="1:13">
      <c r="A1194" s="28">
        <v>3350</v>
      </c>
      <c r="B1194" t="s">
        <v>1334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397</v>
      </c>
      <c r="I1194" t="s">
        <v>397</v>
      </c>
      <c r="J1194">
        <v>13033</v>
      </c>
      <c r="K1194">
        <v>1.82</v>
      </c>
      <c r="L1194">
        <v>100</v>
      </c>
      <c r="M1194">
        <v>0.42</v>
      </c>
    </row>
    <row r="1195" spans="1:13">
      <c r="A1195" s="28">
        <v>4835</v>
      </c>
      <c r="B1195" t="s">
        <v>1335</v>
      </c>
      <c r="C1195">
        <v>11980</v>
      </c>
      <c r="D1195">
        <v>140</v>
      </c>
      <c r="E1195">
        <v>1.18</v>
      </c>
      <c r="F1195" t="s">
        <v>397</v>
      </c>
      <c r="G1195" t="s">
        <v>397</v>
      </c>
      <c r="H1195" t="s">
        <v>397</v>
      </c>
      <c r="I1195" t="s">
        <v>397</v>
      </c>
      <c r="J1195" t="s">
        <v>397</v>
      </c>
      <c r="K1195" t="s">
        <v>397</v>
      </c>
      <c r="L1195">
        <v>50</v>
      </c>
      <c r="M1195">
        <v>0.42</v>
      </c>
    </row>
    <row r="1196" spans="1:13">
      <c r="A1196" s="28">
        <v>13360</v>
      </c>
      <c r="B1196" t="s">
        <v>1336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397</v>
      </c>
      <c r="I1196" t="s">
        <v>397</v>
      </c>
      <c r="J1196">
        <v>2224</v>
      </c>
      <c r="K1196">
        <v>0.55000000000000004</v>
      </c>
      <c r="L1196">
        <v>5</v>
      </c>
      <c r="M1196">
        <v>0.41</v>
      </c>
    </row>
    <row r="1197" spans="1:13">
      <c r="A1197" s="28">
        <v>7540</v>
      </c>
      <c r="B1197" t="s">
        <v>1337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397</v>
      </c>
      <c r="I1197" t="s">
        <v>397</v>
      </c>
      <c r="J1197">
        <v>92028</v>
      </c>
      <c r="K1197">
        <v>0.54</v>
      </c>
      <c r="L1197">
        <v>200</v>
      </c>
      <c r="M1197">
        <v>0.41</v>
      </c>
    </row>
    <row r="1198" spans="1:13">
      <c r="A1198" s="28">
        <v>52690</v>
      </c>
      <c r="B1198" t="s">
        <v>1338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>
      <c r="A1199" s="28">
        <v>120</v>
      </c>
      <c r="B1199" t="s">
        <v>1339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>
      <c r="A1200" s="28">
        <v>8830</v>
      </c>
      <c r="B1200" t="s">
        <v>1340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397</v>
      </c>
      <c r="I1200" t="s">
        <v>397</v>
      </c>
      <c r="J1200">
        <v>8267</v>
      </c>
      <c r="K1200">
        <v>1.23</v>
      </c>
      <c r="L1200">
        <v>40</v>
      </c>
      <c r="M1200">
        <v>0.39</v>
      </c>
    </row>
    <row r="1201" spans="1:13">
      <c r="A1201" s="28">
        <v>53160</v>
      </c>
      <c r="B1201" t="s">
        <v>1341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397</v>
      </c>
      <c r="I1201" t="s">
        <v>397</v>
      </c>
      <c r="J1201">
        <v>10692</v>
      </c>
      <c r="K1201">
        <v>1.2</v>
      </c>
      <c r="L1201">
        <v>50</v>
      </c>
      <c r="M1201">
        <v>0.39</v>
      </c>
    </row>
    <row r="1202" spans="1:13">
      <c r="A1202" s="28">
        <v>282880</v>
      </c>
      <c r="B1202" t="s">
        <v>1342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>
      <c r="A1203" s="28">
        <v>92870</v>
      </c>
      <c r="B1203" t="s">
        <v>1343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397</v>
      </c>
      <c r="I1203" t="s">
        <v>397</v>
      </c>
      <c r="J1203">
        <v>13912</v>
      </c>
      <c r="K1203">
        <v>1.96</v>
      </c>
      <c r="L1203">
        <v>100</v>
      </c>
      <c r="M1203">
        <v>0.37</v>
      </c>
    </row>
    <row r="1204" spans="1:13">
      <c r="A1204" s="28">
        <v>17370</v>
      </c>
      <c r="B1204" t="s">
        <v>1344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>
      <c r="A1205" s="28">
        <v>114840</v>
      </c>
      <c r="B1205" t="s">
        <v>1345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>
      <c r="A1206" s="28">
        <v>79940</v>
      </c>
      <c r="B1206" t="s">
        <v>1346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397</v>
      </c>
      <c r="I1206" t="s">
        <v>397</v>
      </c>
      <c r="J1206">
        <v>9245</v>
      </c>
      <c r="K1206">
        <v>2.1</v>
      </c>
      <c r="L1206">
        <v>70</v>
      </c>
      <c r="M1206">
        <v>0.36</v>
      </c>
    </row>
    <row r="1207" spans="1:13">
      <c r="A1207" s="28">
        <v>207760</v>
      </c>
      <c r="B1207" t="s">
        <v>1347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397</v>
      </c>
      <c r="I1207" t="s">
        <v>397</v>
      </c>
      <c r="J1207">
        <v>912</v>
      </c>
      <c r="K1207">
        <v>3.06</v>
      </c>
      <c r="L1207">
        <v>10</v>
      </c>
      <c r="M1207">
        <v>0.36</v>
      </c>
    </row>
    <row r="1208" spans="1:13">
      <c r="A1208" s="28">
        <v>131970</v>
      </c>
      <c r="B1208" t="s">
        <v>1348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>
      <c r="A1209" s="28">
        <v>267260</v>
      </c>
      <c r="B1209" t="s">
        <v>1349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>
      <c r="A1210" s="28">
        <v>214150</v>
      </c>
      <c r="B1210" t="s">
        <v>1350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>
      <c r="A1211" s="28">
        <v>24830</v>
      </c>
      <c r="B1211" t="s">
        <v>1351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397</v>
      </c>
      <c r="I1211" t="s">
        <v>397</v>
      </c>
      <c r="J1211">
        <v>29139</v>
      </c>
      <c r="K1211">
        <v>0.25</v>
      </c>
      <c r="L1211">
        <v>25</v>
      </c>
      <c r="M1211">
        <v>0.34</v>
      </c>
    </row>
    <row r="1212" spans="1:13">
      <c r="A1212" s="28">
        <v>5290</v>
      </c>
      <c r="B1212" t="s">
        <v>1352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397</v>
      </c>
      <c r="I1212" t="s">
        <v>397</v>
      </c>
      <c r="J1212">
        <v>13553</v>
      </c>
      <c r="K1212">
        <v>2.85</v>
      </c>
      <c r="L1212">
        <v>130</v>
      </c>
      <c r="M1212">
        <v>0.34</v>
      </c>
    </row>
    <row r="1213" spans="1:13">
      <c r="A1213" s="28">
        <v>8770</v>
      </c>
      <c r="B1213" t="s">
        <v>1353</v>
      </c>
      <c r="C1213">
        <v>58000</v>
      </c>
      <c r="D1213">
        <v>-200</v>
      </c>
      <c r="E1213">
        <v>-0.34</v>
      </c>
      <c r="F1213" t="s">
        <v>397</v>
      </c>
      <c r="G1213" t="s">
        <v>397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>
      <c r="A1214" s="28">
        <v>288620</v>
      </c>
      <c r="B1214" t="s">
        <v>1354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397</v>
      </c>
      <c r="I1214" t="s">
        <v>397</v>
      </c>
      <c r="J1214">
        <v>10231</v>
      </c>
      <c r="K1214">
        <v>1.5</v>
      </c>
      <c r="L1214">
        <v>50</v>
      </c>
      <c r="M1214">
        <v>0.33</v>
      </c>
    </row>
    <row r="1215" spans="1:13">
      <c r="A1215" s="28">
        <v>14910</v>
      </c>
      <c r="B1215" t="s">
        <v>1355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397</v>
      </c>
      <c r="I1215" t="s">
        <v>397</v>
      </c>
      <c r="J1215">
        <v>1756</v>
      </c>
      <c r="K1215">
        <v>0.85</v>
      </c>
      <c r="L1215">
        <v>5</v>
      </c>
      <c r="M1215">
        <v>0.33</v>
      </c>
    </row>
    <row r="1216" spans="1:13">
      <c r="A1216" s="28">
        <v>64800</v>
      </c>
      <c r="B1216" t="s">
        <v>1356</v>
      </c>
      <c r="C1216">
        <v>3080</v>
      </c>
      <c r="D1216">
        <v>30</v>
      </c>
      <c r="E1216">
        <v>0.98</v>
      </c>
      <c r="F1216" t="s">
        <v>397</v>
      </c>
      <c r="G1216" t="s">
        <v>397</v>
      </c>
      <c r="H1216" t="s">
        <v>397</v>
      </c>
      <c r="I1216" t="s">
        <v>397</v>
      </c>
      <c r="J1216">
        <v>2023</v>
      </c>
      <c r="K1216">
        <v>1.52</v>
      </c>
      <c r="L1216">
        <v>10</v>
      </c>
      <c r="M1216">
        <v>0.32</v>
      </c>
    </row>
    <row r="1217" spans="1:13">
      <c r="A1217" s="28">
        <v>43150</v>
      </c>
      <c r="B1217" t="s">
        <v>1357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>
      <c r="A1218" s="28">
        <v>101490</v>
      </c>
      <c r="B1218" t="s">
        <v>1358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>
      <c r="A1219" s="28">
        <v>95500</v>
      </c>
      <c r="B1219" t="s">
        <v>1359</v>
      </c>
      <c r="C1219">
        <v>18670</v>
      </c>
      <c r="D1219">
        <v>-370</v>
      </c>
      <c r="E1219">
        <v>-1.94</v>
      </c>
      <c r="F1219" t="s">
        <v>397</v>
      </c>
      <c r="G1219" t="s">
        <v>397</v>
      </c>
      <c r="H1219" t="s">
        <v>397</v>
      </c>
      <c r="I1219" t="s">
        <v>397</v>
      </c>
      <c r="J1219">
        <v>8218</v>
      </c>
      <c r="K1219">
        <v>2.27</v>
      </c>
      <c r="L1219">
        <v>60</v>
      </c>
      <c r="M1219">
        <v>0.32</v>
      </c>
    </row>
    <row r="1220" spans="1:13">
      <c r="A1220" s="28">
        <v>60370</v>
      </c>
      <c r="B1220" t="s">
        <v>1360</v>
      </c>
      <c r="C1220">
        <v>9370</v>
      </c>
      <c r="D1220">
        <v>150</v>
      </c>
      <c r="E1220">
        <v>1.63</v>
      </c>
      <c r="F1220" t="s">
        <v>397</v>
      </c>
      <c r="G1220" t="s">
        <v>397</v>
      </c>
      <c r="H1220" t="s">
        <v>397</v>
      </c>
      <c r="I1220" t="s">
        <v>397</v>
      </c>
      <c r="J1220">
        <v>4569</v>
      </c>
      <c r="K1220">
        <v>2.0499999999999998</v>
      </c>
      <c r="L1220">
        <v>30</v>
      </c>
      <c r="M1220">
        <v>0.32</v>
      </c>
    </row>
    <row r="1221" spans="1:13">
      <c r="A1221" s="28">
        <v>11320</v>
      </c>
      <c r="B1221" t="s">
        <v>1361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397</v>
      </c>
      <c r="I1221" t="s">
        <v>397</v>
      </c>
      <c r="J1221">
        <v>5828</v>
      </c>
      <c r="K1221">
        <v>0.83</v>
      </c>
      <c r="L1221">
        <v>15</v>
      </c>
      <c r="M1221">
        <v>0.31</v>
      </c>
    </row>
    <row r="1222" spans="1:13">
      <c r="A1222" s="28">
        <v>66970</v>
      </c>
      <c r="B1222" t="s">
        <v>1362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>
      <c r="A1223" s="28">
        <v>32960</v>
      </c>
      <c r="B1223" t="s">
        <v>1363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397</v>
      </c>
      <c r="I1223" t="s">
        <v>397</v>
      </c>
      <c r="J1223">
        <v>16585</v>
      </c>
      <c r="K1223">
        <v>0.7</v>
      </c>
      <c r="L1223">
        <v>35</v>
      </c>
      <c r="M1223">
        <v>0.3</v>
      </c>
    </row>
    <row r="1224" spans="1:13">
      <c r="A1224" s="28">
        <v>271980</v>
      </c>
      <c r="B1224" t="s">
        <v>1364</v>
      </c>
      <c r="C1224">
        <v>16640</v>
      </c>
      <c r="D1224">
        <v>30</v>
      </c>
      <c r="E1224">
        <v>0.18</v>
      </c>
      <c r="F1224" t="s">
        <v>397</v>
      </c>
      <c r="G1224" t="s">
        <v>397</v>
      </c>
      <c r="H1224" t="s">
        <v>397</v>
      </c>
      <c r="I1224" t="s">
        <v>397</v>
      </c>
      <c r="J1224">
        <v>10837</v>
      </c>
      <c r="K1224">
        <v>1.54</v>
      </c>
      <c r="L1224">
        <v>50</v>
      </c>
      <c r="M1224">
        <v>0.3</v>
      </c>
    </row>
    <row r="1225" spans="1:13">
      <c r="A1225" s="28">
        <v>7660</v>
      </c>
      <c r="B1225" t="s">
        <v>1365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>
      <c r="A1226" s="28">
        <v>361390</v>
      </c>
      <c r="B1226" t="s">
        <v>1366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397</v>
      </c>
      <c r="I1226" t="s">
        <v>397</v>
      </c>
      <c r="J1226">
        <v>4508</v>
      </c>
      <c r="K1226">
        <v>3.66</v>
      </c>
      <c r="L1226">
        <v>50</v>
      </c>
      <c r="M1226">
        <v>0.3</v>
      </c>
    </row>
    <row r="1227" spans="1:13">
      <c r="A1227" s="28">
        <v>180640</v>
      </c>
      <c r="B1227" t="s">
        <v>1367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397</v>
      </c>
      <c r="I1227" t="s">
        <v>397</v>
      </c>
      <c r="J1227">
        <v>37047</v>
      </c>
      <c r="K1227">
        <v>1.6</v>
      </c>
      <c r="L1227">
        <v>170</v>
      </c>
      <c r="M1227">
        <v>0.28999999999999998</v>
      </c>
    </row>
    <row r="1228" spans="1:13">
      <c r="A1228" s="28">
        <v>403870</v>
      </c>
      <c r="B1228" t="s">
        <v>1368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>
      <c r="A1229" s="28">
        <v>36830</v>
      </c>
      <c r="B1229" t="s">
        <v>1369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397</v>
      </c>
      <c r="I1229" t="s">
        <v>397</v>
      </c>
      <c r="J1229">
        <v>55592</v>
      </c>
      <c r="K1229">
        <v>1.05</v>
      </c>
      <c r="L1229">
        <v>170</v>
      </c>
      <c r="M1229">
        <v>0.28999999999999998</v>
      </c>
    </row>
    <row r="1230" spans="1:13">
      <c r="A1230" s="28">
        <v>323410</v>
      </c>
      <c r="B1230" t="s">
        <v>1370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>
      <c r="A1231" s="28">
        <v>6110</v>
      </c>
      <c r="B1231" t="s">
        <v>1371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397</v>
      </c>
      <c r="I1231" t="s">
        <v>397</v>
      </c>
      <c r="J1231">
        <v>12540</v>
      </c>
      <c r="K1231">
        <v>7.26</v>
      </c>
      <c r="L1231">
        <v>250</v>
      </c>
      <c r="M1231">
        <v>0.27</v>
      </c>
    </row>
    <row r="1232" spans="1:13">
      <c r="A1232" s="28">
        <v>12510</v>
      </c>
      <c r="B1232" t="s">
        <v>1372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>
      <c r="A1233" s="28">
        <v>86710</v>
      </c>
      <c r="B1233" t="s">
        <v>1373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397</v>
      </c>
      <c r="I1233" t="s">
        <v>397</v>
      </c>
      <c r="J1233">
        <v>5376</v>
      </c>
      <c r="K1233">
        <v>1.42</v>
      </c>
      <c r="L1233">
        <v>20</v>
      </c>
      <c r="M1233">
        <v>0.26</v>
      </c>
    </row>
    <row r="1234" spans="1:13">
      <c r="A1234" s="28">
        <v>3925</v>
      </c>
      <c r="B1234" t="s">
        <v>1374</v>
      </c>
      <c r="C1234">
        <v>425500</v>
      </c>
      <c r="D1234">
        <v>10500</v>
      </c>
      <c r="E1234">
        <v>2.5299999999999998</v>
      </c>
      <c r="F1234" t="s">
        <v>397</v>
      </c>
      <c r="G1234" t="s">
        <v>397</v>
      </c>
      <c r="H1234" t="s">
        <v>397</v>
      </c>
      <c r="I1234" t="s">
        <v>397</v>
      </c>
      <c r="J1234" t="s">
        <v>397</v>
      </c>
      <c r="K1234" t="s">
        <v>397</v>
      </c>
      <c r="L1234">
        <v>1050</v>
      </c>
      <c r="M1234">
        <v>0.25</v>
      </c>
    </row>
    <row r="1235" spans="1:13">
      <c r="A1235" s="28">
        <v>140860</v>
      </c>
      <c r="B1235" t="s">
        <v>1375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>
      <c r="A1236" s="28">
        <v>32300</v>
      </c>
      <c r="B1236" t="s">
        <v>1376</v>
      </c>
      <c r="C1236">
        <v>21100</v>
      </c>
      <c r="D1236">
        <v>-550</v>
      </c>
      <c r="E1236">
        <v>-2.54</v>
      </c>
      <c r="F1236" t="s">
        <v>397</v>
      </c>
      <c r="G1236" t="s">
        <v>397</v>
      </c>
      <c r="H1236" t="s">
        <v>397</v>
      </c>
      <c r="I1236" t="s">
        <v>397</v>
      </c>
      <c r="J1236">
        <v>5484</v>
      </c>
      <c r="K1236">
        <v>3.85</v>
      </c>
      <c r="L1236">
        <v>50</v>
      </c>
      <c r="M1236">
        <v>0.24</v>
      </c>
    </row>
    <row r="1237" spans="1:13">
      <c r="A1237" s="28">
        <v>6400</v>
      </c>
      <c r="B1237" t="s">
        <v>1377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>
      <c r="A1238" s="28">
        <v>99320</v>
      </c>
      <c r="B1238" t="s">
        <v>1378</v>
      </c>
      <c r="C1238">
        <v>33900</v>
      </c>
      <c r="D1238">
        <v>-650</v>
      </c>
      <c r="E1238">
        <v>-1.88</v>
      </c>
      <c r="F1238" t="s">
        <v>397</v>
      </c>
      <c r="G1238" t="s">
        <v>397</v>
      </c>
      <c r="H1238" t="s">
        <v>397</v>
      </c>
      <c r="I1238" t="s">
        <v>397</v>
      </c>
      <c r="J1238">
        <v>13307</v>
      </c>
      <c r="K1238">
        <v>2.5499999999999998</v>
      </c>
      <c r="L1238">
        <v>80</v>
      </c>
      <c r="M1238">
        <v>0.24</v>
      </c>
    </row>
    <row r="1239" spans="1:13">
      <c r="A1239" s="28">
        <v>265740</v>
      </c>
      <c r="B1239" t="s">
        <v>1379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397</v>
      </c>
      <c r="I1239" t="s">
        <v>397</v>
      </c>
      <c r="J1239">
        <v>6412</v>
      </c>
      <c r="K1239">
        <v>1.3</v>
      </c>
      <c r="L1239">
        <v>20</v>
      </c>
      <c r="M1239">
        <v>0.24</v>
      </c>
    </row>
    <row r="1240" spans="1:13">
      <c r="A1240" s="28">
        <v>93370</v>
      </c>
      <c r="B1240" t="s">
        <v>1380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397</v>
      </c>
      <c r="I1240" t="s">
        <v>397</v>
      </c>
      <c r="J1240">
        <v>3791</v>
      </c>
      <c r="K1240">
        <v>2.25</v>
      </c>
      <c r="L1240">
        <v>20</v>
      </c>
      <c r="M1240">
        <v>0.23</v>
      </c>
    </row>
    <row r="1241" spans="1:13">
      <c r="A1241" s="28">
        <v>452300</v>
      </c>
      <c r="B1241" t="s">
        <v>1381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397</v>
      </c>
      <c r="I1241" t="s">
        <v>397</v>
      </c>
      <c r="J1241">
        <v>1936</v>
      </c>
      <c r="K1241">
        <v>2.2599999999999998</v>
      </c>
      <c r="L1241">
        <v>10</v>
      </c>
      <c r="M1241">
        <v>0.23</v>
      </c>
    </row>
    <row r="1242" spans="1:13">
      <c r="A1242" s="28">
        <v>3240</v>
      </c>
      <c r="B1242" t="s">
        <v>1382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397</v>
      </c>
      <c r="I1242" t="s">
        <v>397</v>
      </c>
      <c r="J1242">
        <v>4906107</v>
      </c>
      <c r="K1242">
        <v>0.15</v>
      </c>
      <c r="L1242">
        <v>1750</v>
      </c>
      <c r="M1242">
        <v>0.23</v>
      </c>
    </row>
    <row r="1243" spans="1:13">
      <c r="A1243" s="28">
        <v>94940</v>
      </c>
      <c r="B1243" t="s">
        <v>1383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397</v>
      </c>
      <c r="I1243" t="s">
        <v>397</v>
      </c>
      <c r="J1243">
        <v>4150</v>
      </c>
      <c r="K1243">
        <v>2.09</v>
      </c>
      <c r="L1243">
        <v>20</v>
      </c>
      <c r="M1243">
        <v>0.23</v>
      </c>
    </row>
    <row r="1244" spans="1:13">
      <c r="A1244" s="28">
        <v>137400</v>
      </c>
      <c r="B1244" t="s">
        <v>1384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>
      <c r="A1245" s="28">
        <v>253590</v>
      </c>
      <c r="B1245" t="s">
        <v>1385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397</v>
      </c>
      <c r="I1245" t="s">
        <v>397</v>
      </c>
      <c r="J1245">
        <v>1714</v>
      </c>
      <c r="K1245">
        <v>9.36</v>
      </c>
      <c r="L1245">
        <v>35</v>
      </c>
      <c r="M1245">
        <v>0.22</v>
      </c>
    </row>
    <row r="1246" spans="1:13">
      <c r="A1246" s="28">
        <v>161580</v>
      </c>
      <c r="B1246" t="s">
        <v>1386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397</v>
      </c>
      <c r="I1246" t="s">
        <v>397</v>
      </c>
      <c r="J1246">
        <v>4402</v>
      </c>
      <c r="K1246">
        <v>3.65</v>
      </c>
      <c r="L1246">
        <v>35</v>
      </c>
      <c r="M1246">
        <v>0.22</v>
      </c>
    </row>
    <row r="1247" spans="1:13">
      <c r="A1247" s="28">
        <v>145720</v>
      </c>
      <c r="B1247" t="s">
        <v>1387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>
      <c r="A1248" s="28">
        <v>101160</v>
      </c>
      <c r="B1248" t="s">
        <v>1388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397</v>
      </c>
      <c r="I1248" t="s">
        <v>397</v>
      </c>
      <c r="J1248">
        <v>11274</v>
      </c>
      <c r="K1248">
        <v>2.0299999999999998</v>
      </c>
      <c r="L1248">
        <v>50</v>
      </c>
      <c r="M1248">
        <v>0.22</v>
      </c>
    </row>
    <row r="1249" spans="1:13">
      <c r="A1249" s="28">
        <v>290650</v>
      </c>
      <c r="B1249" t="s">
        <v>1389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397</v>
      </c>
      <c r="I1249" t="s">
        <v>397</v>
      </c>
      <c r="J1249">
        <v>4318</v>
      </c>
      <c r="K1249">
        <v>5.37</v>
      </c>
      <c r="L1249">
        <v>50</v>
      </c>
      <c r="M1249">
        <v>0.22</v>
      </c>
    </row>
    <row r="1250" spans="1:13">
      <c r="A1250" s="28">
        <v>42700</v>
      </c>
      <c r="B1250" t="s">
        <v>1390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>
      <c r="A1251" s="28">
        <v>68270</v>
      </c>
      <c r="B1251" t="s">
        <v>1391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>
      <c r="A1252" s="28">
        <v>39290</v>
      </c>
      <c r="B1252" t="s">
        <v>1392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397</v>
      </c>
      <c r="I1252" t="s">
        <v>397</v>
      </c>
      <c r="J1252">
        <v>7237</v>
      </c>
      <c r="K1252">
        <v>1.35</v>
      </c>
      <c r="L1252">
        <v>20</v>
      </c>
      <c r="M1252">
        <v>0.2</v>
      </c>
    </row>
    <row r="1253" spans="1:13">
      <c r="A1253" s="28">
        <v>4100</v>
      </c>
      <c r="B1253" t="s">
        <v>1393</v>
      </c>
      <c r="C1253">
        <v>2690</v>
      </c>
      <c r="D1253">
        <v>-25</v>
      </c>
      <c r="E1253">
        <v>-0.92</v>
      </c>
      <c r="F1253" t="s">
        <v>397</v>
      </c>
      <c r="G1253" t="s">
        <v>397</v>
      </c>
      <c r="H1253" t="s">
        <v>397</v>
      </c>
      <c r="I1253" t="s">
        <v>397</v>
      </c>
      <c r="J1253">
        <v>3058</v>
      </c>
      <c r="K1253">
        <v>0.88</v>
      </c>
      <c r="L1253">
        <v>5</v>
      </c>
      <c r="M1253">
        <v>0.19</v>
      </c>
    </row>
    <row r="1254" spans="1:13">
      <c r="A1254" s="28">
        <v>2710</v>
      </c>
      <c r="B1254" t="s">
        <v>1394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>
      <c r="A1255" s="28">
        <v>11700</v>
      </c>
      <c r="B1255" t="s">
        <v>1395</v>
      </c>
      <c r="C1255">
        <v>5240</v>
      </c>
      <c r="D1255">
        <v>-160</v>
      </c>
      <c r="E1255">
        <v>-2.96</v>
      </c>
      <c r="F1255" t="s">
        <v>397</v>
      </c>
      <c r="G1255" t="s">
        <v>397</v>
      </c>
      <c r="H1255" t="s">
        <v>397</v>
      </c>
      <c r="I1255" t="s">
        <v>397</v>
      </c>
      <c r="J1255">
        <v>2861</v>
      </c>
      <c r="K1255">
        <v>1.83</v>
      </c>
      <c r="L1255">
        <v>10</v>
      </c>
      <c r="M1255">
        <v>0.19</v>
      </c>
    </row>
    <row r="1256" spans="1:13">
      <c r="A1256" s="28">
        <v>189300</v>
      </c>
      <c r="B1256" t="s">
        <v>1396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>
      <c r="A1257" s="28">
        <v>67310</v>
      </c>
      <c r="B1257" t="s">
        <v>1397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>
      <c r="A1258" s="28">
        <v>247540</v>
      </c>
      <c r="B1258" t="s">
        <v>1398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>
      <c r="A1259" s="28">
        <v>4105</v>
      </c>
      <c r="B1259" t="s">
        <v>1399</v>
      </c>
      <c r="C1259">
        <v>5470</v>
      </c>
      <c r="D1259">
        <v>80</v>
      </c>
      <c r="E1259">
        <v>1.48</v>
      </c>
      <c r="F1259" t="s">
        <v>397</v>
      </c>
      <c r="G1259" t="s">
        <v>397</v>
      </c>
      <c r="H1259" t="s">
        <v>397</v>
      </c>
      <c r="I1259" t="s">
        <v>397</v>
      </c>
      <c r="J1259" t="s">
        <v>397</v>
      </c>
      <c r="K1259" t="s">
        <v>397</v>
      </c>
      <c r="L1259">
        <v>10</v>
      </c>
      <c r="M1259">
        <v>0.18</v>
      </c>
    </row>
    <row r="1260" spans="1:13">
      <c r="A1260" s="28">
        <v>500</v>
      </c>
      <c r="B1260" t="s">
        <v>1400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397</v>
      </c>
      <c r="I1260" t="s">
        <v>397</v>
      </c>
      <c r="J1260">
        <v>47277</v>
      </c>
      <c r="K1260">
        <v>0.6</v>
      </c>
      <c r="L1260">
        <v>50</v>
      </c>
      <c r="M1260">
        <v>0.18</v>
      </c>
    </row>
    <row r="1261" spans="1:13">
      <c r="A1261" s="28">
        <v>417200</v>
      </c>
      <c r="B1261" t="s">
        <v>1401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397</v>
      </c>
      <c r="I1261" t="s">
        <v>397</v>
      </c>
      <c r="J1261">
        <v>1877</v>
      </c>
      <c r="K1261">
        <v>13.53</v>
      </c>
      <c r="L1261">
        <v>45</v>
      </c>
      <c r="M1261">
        <v>0.18</v>
      </c>
    </row>
    <row r="1262" spans="1:13">
      <c r="A1262" s="28">
        <v>121600</v>
      </c>
      <c r="B1262" t="s">
        <v>1402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>
      <c r="A1263" s="28">
        <v>3920</v>
      </c>
      <c r="B1263" t="s">
        <v>1403</v>
      </c>
      <c r="C1263">
        <v>600000</v>
      </c>
      <c r="D1263">
        <v>12000</v>
      </c>
      <c r="E1263">
        <v>2.04</v>
      </c>
      <c r="F1263" t="s">
        <v>397</v>
      </c>
      <c r="G1263" t="s">
        <v>397</v>
      </c>
      <c r="H1263" t="s">
        <v>397</v>
      </c>
      <c r="I1263" t="s">
        <v>397</v>
      </c>
      <c r="J1263">
        <v>1079345</v>
      </c>
      <c r="K1263">
        <v>0.56000000000000005</v>
      </c>
      <c r="L1263">
        <v>1000</v>
      </c>
      <c r="M1263">
        <v>0.17</v>
      </c>
    </row>
    <row r="1264" spans="1:13">
      <c r="A1264" s="28">
        <v>372170</v>
      </c>
      <c r="B1264" t="s">
        <v>1404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397</v>
      </c>
      <c r="I1264" t="s">
        <v>397</v>
      </c>
      <c r="J1264">
        <v>17264</v>
      </c>
      <c r="K1264">
        <v>5.23</v>
      </c>
      <c r="L1264">
        <v>150</v>
      </c>
      <c r="M1264">
        <v>0.17</v>
      </c>
    </row>
    <row r="1265" spans="1:13">
      <c r="A1265" s="28">
        <v>9520</v>
      </c>
      <c r="B1265" t="s">
        <v>1405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397</v>
      </c>
      <c r="I1265" t="s">
        <v>397</v>
      </c>
      <c r="J1265">
        <v>2752</v>
      </c>
      <c r="K1265">
        <v>8.58</v>
      </c>
      <c r="L1265">
        <v>37</v>
      </c>
      <c r="M1265">
        <v>0.16</v>
      </c>
    </row>
    <row r="1266" spans="1:13">
      <c r="A1266" s="28">
        <v>128940</v>
      </c>
      <c r="B1266" t="s">
        <v>1406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>
      <c r="A1267" s="28">
        <v>14915</v>
      </c>
      <c r="B1267" t="s">
        <v>1407</v>
      </c>
      <c r="C1267">
        <v>6220</v>
      </c>
      <c r="D1267">
        <v>-120</v>
      </c>
      <c r="E1267">
        <v>-1.89</v>
      </c>
      <c r="F1267" t="s">
        <v>397</v>
      </c>
      <c r="G1267" t="s">
        <v>397</v>
      </c>
      <c r="H1267" t="s">
        <v>397</v>
      </c>
      <c r="I1267" t="s">
        <v>397</v>
      </c>
      <c r="J1267" t="s">
        <v>397</v>
      </c>
      <c r="K1267" t="s">
        <v>397</v>
      </c>
      <c r="L1267">
        <v>10</v>
      </c>
      <c r="M1267">
        <v>0.16</v>
      </c>
    </row>
    <row r="1268" spans="1:13">
      <c r="A1268" s="28">
        <v>22100</v>
      </c>
      <c r="B1268" t="s">
        <v>1408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397</v>
      </c>
      <c r="I1268" t="s">
        <v>397</v>
      </c>
      <c r="J1268">
        <v>2715</v>
      </c>
      <c r="K1268">
        <v>20</v>
      </c>
      <c r="L1268">
        <v>75</v>
      </c>
      <c r="M1268">
        <v>0.14000000000000001</v>
      </c>
    </row>
    <row r="1269" spans="1:13">
      <c r="A1269" s="28">
        <v>138040</v>
      </c>
      <c r="B1269" t="s">
        <v>1409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>
      <c r="A1270" s="28">
        <v>65350</v>
      </c>
      <c r="B1270" t="s">
        <v>1410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397</v>
      </c>
      <c r="I1270" t="s">
        <v>397</v>
      </c>
      <c r="J1270">
        <v>6076</v>
      </c>
      <c r="K1270">
        <v>16.690000000000001</v>
      </c>
      <c r="L1270">
        <v>120</v>
      </c>
      <c r="M1270">
        <v>0.12</v>
      </c>
    </row>
    <row r="1271" spans="1:13">
      <c r="A1271" s="28">
        <v>35720</v>
      </c>
      <c r="B1271" t="s">
        <v>1411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>
      <c r="A1272" s="28">
        <v>78600</v>
      </c>
      <c r="B1272" t="s">
        <v>1412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>
      <c r="A1273" s="28">
        <v>335890</v>
      </c>
      <c r="B1273" t="s">
        <v>1413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>
      <c r="A1274" s="28">
        <v>3670</v>
      </c>
      <c r="B1274" t="s">
        <v>1414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>
      <c r="A1275" s="28">
        <v>86520</v>
      </c>
      <c r="B1275" t="s">
        <v>1415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397</v>
      </c>
      <c r="I1275" t="s">
        <v>397</v>
      </c>
      <c r="J1275">
        <v>50778</v>
      </c>
      <c r="K1275">
        <v>11.84</v>
      </c>
      <c r="L1275">
        <v>500</v>
      </c>
      <c r="M1275">
        <v>0.08</v>
      </c>
    </row>
    <row r="1276" spans="1:13">
      <c r="A1276" s="28">
        <v>101140</v>
      </c>
      <c r="B1276" t="s">
        <v>1416</v>
      </c>
      <c r="C1276">
        <v>9340</v>
      </c>
      <c r="D1276">
        <v>0</v>
      </c>
      <c r="E1276">
        <v>0</v>
      </c>
      <c r="F1276" t="s">
        <v>397</v>
      </c>
      <c r="G1276" t="s">
        <v>397</v>
      </c>
      <c r="H1276" t="s">
        <v>397</v>
      </c>
      <c r="I1276" t="s">
        <v>397</v>
      </c>
      <c r="J1276">
        <v>14940</v>
      </c>
      <c r="K1276">
        <v>0.63</v>
      </c>
      <c r="L1276">
        <v>0</v>
      </c>
      <c r="M1276">
        <v>0</v>
      </c>
    </row>
    <row r="1277" spans="1:13">
      <c r="A1277" s="28">
        <v>96040</v>
      </c>
      <c r="B1277" t="s">
        <v>1417</v>
      </c>
      <c r="C1277">
        <v>271</v>
      </c>
      <c r="D1277">
        <v>0</v>
      </c>
      <c r="E1277">
        <v>0</v>
      </c>
      <c r="F1277" t="s">
        <v>397</v>
      </c>
      <c r="G1277" t="s">
        <v>397</v>
      </c>
      <c r="H1277" t="s">
        <v>397</v>
      </c>
      <c r="I1277" t="s">
        <v>397</v>
      </c>
      <c r="J1277">
        <v>113</v>
      </c>
      <c r="K1277">
        <v>2.4</v>
      </c>
      <c r="L1277">
        <v>0</v>
      </c>
      <c r="M1277">
        <v>0</v>
      </c>
    </row>
    <row r="1278" spans="1:13">
      <c r="A1278" s="28">
        <v>134060</v>
      </c>
      <c r="B1278" t="s">
        <v>1418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397</v>
      </c>
      <c r="I1278" t="s">
        <v>397</v>
      </c>
      <c r="J1278">
        <v>5208</v>
      </c>
      <c r="K1278">
        <v>0.96</v>
      </c>
      <c r="L1278">
        <v>0</v>
      </c>
      <c r="M1278">
        <v>0</v>
      </c>
    </row>
    <row r="1279" spans="1:13">
      <c r="A1279" s="28">
        <v>44060</v>
      </c>
      <c r="B1279" t="s">
        <v>1419</v>
      </c>
      <c r="C1279">
        <v>732</v>
      </c>
      <c r="D1279">
        <v>0</v>
      </c>
      <c r="E1279">
        <v>0</v>
      </c>
      <c r="F1279" t="s">
        <v>397</v>
      </c>
      <c r="G1279" t="s">
        <v>397</v>
      </c>
      <c r="H1279" t="s">
        <v>397</v>
      </c>
      <c r="I1279" t="s">
        <v>397</v>
      </c>
      <c r="J1279">
        <v>961</v>
      </c>
      <c r="K1279">
        <v>0.76</v>
      </c>
      <c r="L1279">
        <v>0</v>
      </c>
      <c r="M1279">
        <v>0</v>
      </c>
    </row>
    <row r="1280" spans="1:13">
      <c r="A1280" s="28">
        <v>1840</v>
      </c>
      <c r="B1280" t="s">
        <v>1420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397</v>
      </c>
      <c r="I1280" t="s">
        <v>397</v>
      </c>
      <c r="J1280">
        <v>2371</v>
      </c>
      <c r="K1280">
        <v>1.22</v>
      </c>
      <c r="L1280">
        <v>0</v>
      </c>
      <c r="M1280">
        <v>0</v>
      </c>
    </row>
    <row r="1281" spans="1:13">
      <c r="A1281" s="28">
        <v>760</v>
      </c>
      <c r="B1281" t="s">
        <v>1421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397</v>
      </c>
      <c r="I1281" t="s">
        <v>397</v>
      </c>
      <c r="J1281">
        <v>54787</v>
      </c>
      <c r="K1281">
        <v>0.28000000000000003</v>
      </c>
      <c r="L1281">
        <v>0</v>
      </c>
      <c r="M1281">
        <v>0</v>
      </c>
    </row>
    <row r="1282" spans="1:13">
      <c r="A1282" s="28">
        <v>79950</v>
      </c>
      <c r="B1282" t="s">
        <v>1422</v>
      </c>
      <c r="C1282">
        <v>1059</v>
      </c>
      <c r="D1282">
        <v>29</v>
      </c>
      <c r="E1282">
        <v>2.82</v>
      </c>
      <c r="F1282" t="s">
        <v>397</v>
      </c>
      <c r="G1282" t="s">
        <v>397</v>
      </c>
      <c r="H1282" t="s">
        <v>397</v>
      </c>
      <c r="I1282" t="s">
        <v>397</v>
      </c>
      <c r="J1282">
        <v>2407</v>
      </c>
      <c r="K1282">
        <v>0.44</v>
      </c>
      <c r="L1282">
        <v>0</v>
      </c>
      <c r="M1282">
        <v>0</v>
      </c>
    </row>
    <row r="1283" spans="1:13">
      <c r="A1283" s="28">
        <v>24810</v>
      </c>
      <c r="B1283" t="s">
        <v>1423</v>
      </c>
      <c r="C1283">
        <v>899</v>
      </c>
      <c r="D1283">
        <v>0</v>
      </c>
      <c r="E1283">
        <v>0</v>
      </c>
      <c r="F1283" t="s">
        <v>397</v>
      </c>
      <c r="G1283" t="s">
        <v>397</v>
      </c>
      <c r="H1283" t="s">
        <v>397</v>
      </c>
      <c r="I1283" t="s">
        <v>397</v>
      </c>
      <c r="J1283">
        <v>1779</v>
      </c>
      <c r="K1283">
        <v>0.51</v>
      </c>
      <c r="L1283">
        <v>0</v>
      </c>
      <c r="M1283">
        <v>0</v>
      </c>
    </row>
    <row r="1284" spans="1:13">
      <c r="A1284" s="28">
        <v>263050</v>
      </c>
      <c r="B1284" t="s">
        <v>1424</v>
      </c>
      <c r="C1284">
        <v>2770</v>
      </c>
      <c r="D1284">
        <v>-65</v>
      </c>
      <c r="E1284">
        <v>-2.29</v>
      </c>
      <c r="F1284" t="s">
        <v>397</v>
      </c>
      <c r="G1284" t="s">
        <v>397</v>
      </c>
      <c r="H1284" t="s">
        <v>397</v>
      </c>
      <c r="I1284" t="s">
        <v>397</v>
      </c>
      <c r="J1284">
        <v>2387</v>
      </c>
      <c r="K1284">
        <v>1.1599999999999999</v>
      </c>
      <c r="L1284">
        <v>0</v>
      </c>
      <c r="M1284">
        <v>0</v>
      </c>
    </row>
    <row r="1285" spans="1:13">
      <c r="A1285" s="28">
        <v>352940</v>
      </c>
      <c r="B1285" t="s">
        <v>1425</v>
      </c>
      <c r="C1285">
        <v>3015</v>
      </c>
      <c r="D1285">
        <v>-10</v>
      </c>
      <c r="E1285">
        <v>-0.33</v>
      </c>
      <c r="F1285" t="s">
        <v>397</v>
      </c>
      <c r="G1285" t="s">
        <v>397</v>
      </c>
      <c r="H1285" t="s">
        <v>397</v>
      </c>
      <c r="I1285" t="s">
        <v>397</v>
      </c>
      <c r="J1285">
        <v>4278</v>
      </c>
      <c r="K1285">
        <v>0.7</v>
      </c>
      <c r="L1285">
        <v>0</v>
      </c>
      <c r="M1285">
        <v>0</v>
      </c>
    </row>
    <row r="1286" spans="1:13">
      <c r="A1286" s="28">
        <v>14990</v>
      </c>
      <c r="B1286" t="s">
        <v>1426</v>
      </c>
      <c r="C1286">
        <v>732</v>
      </c>
      <c r="D1286">
        <v>-5</v>
      </c>
      <c r="E1286">
        <v>-0.68</v>
      </c>
      <c r="F1286" t="s">
        <v>397</v>
      </c>
      <c r="G1286" t="s">
        <v>397</v>
      </c>
      <c r="H1286" t="s">
        <v>397</v>
      </c>
      <c r="I1286" t="s">
        <v>397</v>
      </c>
      <c r="J1286">
        <v>537</v>
      </c>
      <c r="K1286">
        <v>1.36</v>
      </c>
      <c r="L1286">
        <v>0</v>
      </c>
      <c r="M1286">
        <v>0</v>
      </c>
    </row>
    <row r="1287" spans="1:13">
      <c r="A1287" s="28">
        <v>271940</v>
      </c>
      <c r="B1287" t="s">
        <v>1427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>
      <c r="A1288" s="28">
        <v>389020</v>
      </c>
      <c r="B1288" t="s">
        <v>1428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>
      <c r="A1289" s="28">
        <v>4700</v>
      </c>
      <c r="B1289" t="s">
        <v>1429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397</v>
      </c>
      <c r="I1289" t="s">
        <v>397</v>
      </c>
      <c r="J1289">
        <v>106403</v>
      </c>
      <c r="K1289">
        <v>0.49</v>
      </c>
      <c r="L1289">
        <v>0</v>
      </c>
      <c r="M1289">
        <v>0</v>
      </c>
    </row>
    <row r="1290" spans="1:13">
      <c r="A1290" s="28">
        <v>49550</v>
      </c>
      <c r="B1290" t="s">
        <v>1430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397</v>
      </c>
      <c r="I1290" t="s">
        <v>397</v>
      </c>
      <c r="J1290">
        <v>3570</v>
      </c>
      <c r="K1290">
        <v>1.03</v>
      </c>
      <c r="L1290">
        <v>0</v>
      </c>
      <c r="M1290">
        <v>0</v>
      </c>
    </row>
    <row r="1291" spans="1:13">
      <c r="A1291" s="28">
        <v>389470</v>
      </c>
      <c r="B1291" t="s">
        <v>1431</v>
      </c>
      <c r="C1291">
        <v>12850</v>
      </c>
      <c r="D1291">
        <v>-170</v>
      </c>
      <c r="E1291">
        <v>-1.31</v>
      </c>
      <c r="F1291" t="s">
        <v>397</v>
      </c>
      <c r="G1291" t="s">
        <v>397</v>
      </c>
      <c r="H1291" t="s">
        <v>397</v>
      </c>
      <c r="I1291" t="s">
        <v>397</v>
      </c>
      <c r="J1291">
        <v>3644</v>
      </c>
      <c r="K1291">
        <v>3.53</v>
      </c>
      <c r="L1291">
        <v>0</v>
      </c>
      <c r="M1291">
        <v>0</v>
      </c>
    </row>
    <row r="1292" spans="1:13">
      <c r="A1292" s="28">
        <v>19540</v>
      </c>
      <c r="B1292" t="s">
        <v>1432</v>
      </c>
      <c r="C1292">
        <v>4650</v>
      </c>
      <c r="D1292">
        <v>-65</v>
      </c>
      <c r="E1292">
        <v>-1.38</v>
      </c>
      <c r="F1292" t="s">
        <v>397</v>
      </c>
      <c r="G1292" t="s">
        <v>397</v>
      </c>
      <c r="H1292" t="s">
        <v>397</v>
      </c>
      <c r="I1292" t="s">
        <v>397</v>
      </c>
      <c r="J1292">
        <v>7050</v>
      </c>
      <c r="K1292">
        <v>0.66</v>
      </c>
      <c r="L1292">
        <v>0</v>
      </c>
      <c r="M1292">
        <v>0</v>
      </c>
    </row>
    <row r="1293" spans="1:13">
      <c r="A1293" s="28">
        <v>1550</v>
      </c>
      <c r="B1293" t="s">
        <v>1433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397</v>
      </c>
      <c r="I1293" t="s">
        <v>397</v>
      </c>
      <c r="J1293">
        <v>11842</v>
      </c>
      <c r="K1293">
        <v>1.0900000000000001</v>
      </c>
      <c r="L1293">
        <v>0</v>
      </c>
      <c r="M1293">
        <v>0</v>
      </c>
    </row>
    <row r="1294" spans="1:13">
      <c r="A1294" s="28">
        <v>48530</v>
      </c>
      <c r="B1294" t="s">
        <v>1434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397</v>
      </c>
      <c r="I1294" t="s">
        <v>397</v>
      </c>
      <c r="J1294">
        <v>3199</v>
      </c>
      <c r="K1294">
        <v>2.25</v>
      </c>
      <c r="L1294">
        <v>0</v>
      </c>
      <c r="M1294">
        <v>0</v>
      </c>
    </row>
    <row r="1295" spans="1:13">
      <c r="A1295" s="28">
        <v>101930</v>
      </c>
      <c r="B1295" t="s">
        <v>1435</v>
      </c>
      <c r="C1295">
        <v>12280</v>
      </c>
      <c r="D1295">
        <v>-20</v>
      </c>
      <c r="E1295">
        <v>-0.16</v>
      </c>
      <c r="F1295" t="s">
        <v>397</v>
      </c>
      <c r="G1295" t="s">
        <v>397</v>
      </c>
      <c r="H1295" t="s">
        <v>397</v>
      </c>
      <c r="I1295" t="s">
        <v>397</v>
      </c>
      <c r="J1295">
        <v>18255</v>
      </c>
      <c r="K1295">
        <v>0.67</v>
      </c>
      <c r="L1295">
        <v>0</v>
      </c>
      <c r="M1295">
        <v>0</v>
      </c>
    </row>
    <row r="1296" spans="1:13">
      <c r="A1296" s="28">
        <v>249420</v>
      </c>
      <c r="B1296" t="s">
        <v>1436</v>
      </c>
      <c r="C1296">
        <v>15890</v>
      </c>
      <c r="D1296">
        <v>10</v>
      </c>
      <c r="E1296">
        <v>0.06</v>
      </c>
      <c r="F1296" t="s">
        <v>397</v>
      </c>
      <c r="G1296" t="s">
        <v>397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>
      <c r="A1297" s="28">
        <v>56080</v>
      </c>
      <c r="B1297" t="s">
        <v>1437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397</v>
      </c>
      <c r="I1297" t="s">
        <v>397</v>
      </c>
      <c r="J1297">
        <v>1175</v>
      </c>
      <c r="K1297">
        <v>8.0299999999999994</v>
      </c>
      <c r="L1297">
        <v>0</v>
      </c>
      <c r="M1297">
        <v>0</v>
      </c>
    </row>
    <row r="1298" spans="1:13">
      <c r="A1298" s="28">
        <v>63160</v>
      </c>
      <c r="B1298" t="s">
        <v>1438</v>
      </c>
      <c r="C1298">
        <v>24150</v>
      </c>
      <c r="D1298">
        <v>-200</v>
      </c>
      <c r="E1298">
        <v>-0.82</v>
      </c>
      <c r="F1298" t="s">
        <v>397</v>
      </c>
      <c r="G1298" t="s">
        <v>397</v>
      </c>
      <c r="H1298" t="s">
        <v>397</v>
      </c>
      <c r="I1298" t="s">
        <v>397</v>
      </c>
      <c r="J1298">
        <v>26941</v>
      </c>
      <c r="K1298">
        <v>0.9</v>
      </c>
      <c r="L1298">
        <v>0</v>
      </c>
      <c r="M1298">
        <v>0</v>
      </c>
    </row>
    <row r="1299" spans="1:13">
      <c r="A1299" s="28">
        <v>468760</v>
      </c>
      <c r="B1299" t="s">
        <v>1439</v>
      </c>
      <c r="C1299">
        <v>2150</v>
      </c>
      <c r="D1299">
        <v>25</v>
      </c>
      <c r="E1299">
        <v>1.18</v>
      </c>
      <c r="F1299" t="s">
        <v>397</v>
      </c>
      <c r="G1299" t="s">
        <v>397</v>
      </c>
      <c r="H1299" t="s">
        <v>397</v>
      </c>
      <c r="I1299" t="s">
        <v>397</v>
      </c>
      <c r="J1299" t="s">
        <v>397</v>
      </c>
      <c r="K1299" t="s">
        <v>397</v>
      </c>
      <c r="L1299">
        <v>0</v>
      </c>
      <c r="M1299">
        <v>0</v>
      </c>
    </row>
    <row r="1300" spans="1:13">
      <c r="A1300" s="28">
        <v>71200</v>
      </c>
      <c r="B1300" t="s">
        <v>1440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397</v>
      </c>
      <c r="I1300" t="s">
        <v>397</v>
      </c>
      <c r="J1300">
        <v>4723</v>
      </c>
      <c r="K1300">
        <v>1.1399999999999999</v>
      </c>
      <c r="L1300">
        <v>0</v>
      </c>
      <c r="M1300">
        <v>0</v>
      </c>
    </row>
    <row r="1301" spans="1:13">
      <c r="A1301" s="28">
        <v>388800</v>
      </c>
      <c r="B1301" t="s">
        <v>1441</v>
      </c>
      <c r="C1301">
        <v>2440</v>
      </c>
      <c r="D1301">
        <v>0</v>
      </c>
      <c r="E1301">
        <v>0</v>
      </c>
      <c r="F1301" t="s">
        <v>397</v>
      </c>
      <c r="G1301" t="s">
        <v>397</v>
      </c>
      <c r="H1301" t="s">
        <v>397</v>
      </c>
      <c r="I1301" t="s">
        <v>397</v>
      </c>
      <c r="J1301" t="s">
        <v>397</v>
      </c>
      <c r="K1301" t="s">
        <v>397</v>
      </c>
      <c r="L1301">
        <v>0</v>
      </c>
      <c r="M1301">
        <v>0</v>
      </c>
    </row>
    <row r="1302" spans="1:13">
      <c r="A1302" s="28">
        <v>413630</v>
      </c>
      <c r="B1302" t="s">
        <v>1442</v>
      </c>
      <c r="C1302">
        <v>3710</v>
      </c>
      <c r="D1302">
        <v>-35</v>
      </c>
      <c r="E1302">
        <v>-0.93</v>
      </c>
      <c r="F1302" t="s">
        <v>397</v>
      </c>
      <c r="G1302" t="s">
        <v>397</v>
      </c>
      <c r="H1302" t="s">
        <v>397</v>
      </c>
      <c r="I1302" t="s">
        <v>397</v>
      </c>
      <c r="J1302" t="s">
        <v>397</v>
      </c>
      <c r="K1302" t="s">
        <v>397</v>
      </c>
      <c r="L1302">
        <v>0</v>
      </c>
      <c r="M1302">
        <v>0</v>
      </c>
    </row>
    <row r="1303" spans="1:13">
      <c r="A1303" s="28">
        <v>442130</v>
      </c>
      <c r="B1303" t="s">
        <v>1443</v>
      </c>
      <c r="C1303">
        <v>2390</v>
      </c>
      <c r="D1303">
        <v>50</v>
      </c>
      <c r="E1303">
        <v>2.14</v>
      </c>
      <c r="F1303" t="s">
        <v>397</v>
      </c>
      <c r="G1303" t="s">
        <v>397</v>
      </c>
      <c r="H1303" t="s">
        <v>397</v>
      </c>
      <c r="I1303" t="s">
        <v>397</v>
      </c>
      <c r="J1303" t="s">
        <v>397</v>
      </c>
      <c r="K1303" t="s">
        <v>397</v>
      </c>
      <c r="L1303">
        <v>0</v>
      </c>
      <c r="M1303">
        <v>0</v>
      </c>
    </row>
    <row r="1304" spans="1:13">
      <c r="A1304" s="28">
        <v>333430</v>
      </c>
      <c r="B1304" t="s">
        <v>1444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397</v>
      </c>
      <c r="I1304" t="s">
        <v>397</v>
      </c>
      <c r="J1304">
        <v>1091</v>
      </c>
      <c r="K1304">
        <v>2.86</v>
      </c>
      <c r="L1304">
        <v>0</v>
      </c>
      <c r="M1304">
        <v>0</v>
      </c>
    </row>
    <row r="1305" spans="1:13">
      <c r="A1305" s="28">
        <v>175140</v>
      </c>
      <c r="B1305" t="s">
        <v>1445</v>
      </c>
      <c r="C1305">
        <v>4015</v>
      </c>
      <c r="D1305">
        <v>-15</v>
      </c>
      <c r="E1305">
        <v>-0.37</v>
      </c>
      <c r="F1305" t="s">
        <v>397</v>
      </c>
      <c r="G1305" t="s">
        <v>397</v>
      </c>
      <c r="H1305" t="s">
        <v>397</v>
      </c>
      <c r="I1305" t="s">
        <v>397</v>
      </c>
      <c r="J1305">
        <v>2927</v>
      </c>
      <c r="K1305">
        <v>1.37</v>
      </c>
      <c r="L1305">
        <v>0</v>
      </c>
      <c r="M1305">
        <v>0</v>
      </c>
    </row>
    <row r="1306" spans="1:13">
      <c r="A1306" s="28">
        <v>240600</v>
      </c>
      <c r="B1306" t="s">
        <v>1446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397</v>
      </c>
      <c r="I1306" t="s">
        <v>397</v>
      </c>
      <c r="J1306">
        <v>3483</v>
      </c>
      <c r="K1306">
        <v>3.91</v>
      </c>
      <c r="L1306">
        <v>0</v>
      </c>
      <c r="M1306">
        <v>0</v>
      </c>
    </row>
    <row r="1307" spans="1:13">
      <c r="A1307" s="28">
        <v>18470</v>
      </c>
      <c r="B1307" t="s">
        <v>1447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397</v>
      </c>
      <c r="I1307" t="s">
        <v>397</v>
      </c>
      <c r="J1307">
        <v>1476</v>
      </c>
      <c r="K1307">
        <v>1.38</v>
      </c>
      <c r="L1307">
        <v>0</v>
      </c>
      <c r="M1307">
        <v>0</v>
      </c>
    </row>
    <row r="1308" spans="1:13">
      <c r="A1308" s="28">
        <v>67000</v>
      </c>
      <c r="B1308" t="s">
        <v>1448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>
      <c r="A1309" s="28">
        <v>7110</v>
      </c>
      <c r="B1309" t="s">
        <v>1449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397</v>
      </c>
      <c r="I1309" t="s">
        <v>397</v>
      </c>
      <c r="J1309">
        <v>713</v>
      </c>
      <c r="K1309">
        <v>1.52</v>
      </c>
      <c r="L1309">
        <v>0</v>
      </c>
      <c r="M1309">
        <v>0</v>
      </c>
    </row>
    <row r="1310" spans="1:13">
      <c r="A1310" s="28">
        <v>60150</v>
      </c>
      <c r="B1310" t="s">
        <v>1450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397</v>
      </c>
      <c r="I1310" t="s">
        <v>397</v>
      </c>
      <c r="J1310">
        <v>7627</v>
      </c>
      <c r="K1310">
        <v>0.89</v>
      </c>
      <c r="L1310">
        <v>0</v>
      </c>
      <c r="M1310">
        <v>0</v>
      </c>
    </row>
    <row r="1311" spans="1:13">
      <c r="A1311" s="28">
        <v>150840</v>
      </c>
      <c r="B1311" t="s">
        <v>1451</v>
      </c>
      <c r="C1311">
        <v>5850</v>
      </c>
      <c r="D1311">
        <v>0</v>
      </c>
      <c r="E1311">
        <v>0</v>
      </c>
      <c r="F1311" t="s">
        <v>397</v>
      </c>
      <c r="G1311" t="s">
        <v>397</v>
      </c>
      <c r="H1311" t="s">
        <v>397</v>
      </c>
      <c r="I1311" t="s">
        <v>397</v>
      </c>
      <c r="J1311">
        <v>396</v>
      </c>
      <c r="K1311">
        <v>14.77</v>
      </c>
      <c r="L1311">
        <v>0</v>
      </c>
      <c r="M1311">
        <v>0</v>
      </c>
    </row>
    <row r="1312" spans="1:13">
      <c r="A1312" s="28">
        <v>51370</v>
      </c>
      <c r="B1312" t="s">
        <v>1452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>
      <c r="A1313" s="28">
        <v>17250</v>
      </c>
      <c r="B1313" t="s">
        <v>1453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397</v>
      </c>
      <c r="I1313" t="s">
        <v>397</v>
      </c>
      <c r="J1313">
        <v>1549</v>
      </c>
      <c r="K1313">
        <v>0.8</v>
      </c>
      <c r="L1313">
        <v>0</v>
      </c>
      <c r="M1313">
        <v>0</v>
      </c>
    </row>
    <row r="1314" spans="1:13">
      <c r="A1314" s="28">
        <v>179900</v>
      </c>
      <c r="B1314" t="s">
        <v>1454</v>
      </c>
      <c r="C1314">
        <v>34500</v>
      </c>
      <c r="D1314">
        <v>2500</v>
      </c>
      <c r="E1314">
        <v>7.81</v>
      </c>
      <c r="F1314" t="s">
        <v>397</v>
      </c>
      <c r="G1314" t="s">
        <v>397</v>
      </c>
      <c r="H1314" t="s">
        <v>397</v>
      </c>
      <c r="I1314" t="s">
        <v>397</v>
      </c>
      <c r="J1314">
        <v>2987</v>
      </c>
      <c r="K1314">
        <v>11.55</v>
      </c>
      <c r="L1314">
        <v>0</v>
      </c>
      <c r="M1314">
        <v>0</v>
      </c>
    </row>
    <row r="1315" spans="1:13">
      <c r="A1315" s="28">
        <v>83640</v>
      </c>
      <c r="B1315" t="s">
        <v>1455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397</v>
      </c>
      <c r="I1315" t="s">
        <v>397</v>
      </c>
      <c r="J1315">
        <v>1870</v>
      </c>
      <c r="K1315">
        <v>0.26</v>
      </c>
      <c r="L1315">
        <v>0</v>
      </c>
      <c r="M1315">
        <v>0</v>
      </c>
    </row>
    <row r="1316" spans="1:13">
      <c r="A1316" s="28">
        <v>178780</v>
      </c>
      <c r="B1316" t="s">
        <v>1456</v>
      </c>
      <c r="C1316">
        <v>8650</v>
      </c>
      <c r="D1316">
        <v>0</v>
      </c>
      <c r="E1316">
        <v>0</v>
      </c>
      <c r="F1316" t="s">
        <v>397</v>
      </c>
      <c r="G1316" t="s">
        <v>397</v>
      </c>
      <c r="H1316" t="s">
        <v>397</v>
      </c>
      <c r="I1316" t="s">
        <v>397</v>
      </c>
      <c r="J1316">
        <v>181</v>
      </c>
      <c r="K1316">
        <v>47.79</v>
      </c>
      <c r="L1316">
        <v>0</v>
      </c>
      <c r="M1316">
        <v>0</v>
      </c>
    </row>
    <row r="1317" spans="1:13">
      <c r="A1317" s="28">
        <v>34940</v>
      </c>
      <c r="B1317" t="s">
        <v>1457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397</v>
      </c>
      <c r="I1317" t="s">
        <v>397</v>
      </c>
      <c r="J1317">
        <v>1706</v>
      </c>
      <c r="K1317">
        <v>1.02</v>
      </c>
      <c r="L1317">
        <v>0</v>
      </c>
      <c r="M1317">
        <v>0</v>
      </c>
    </row>
    <row r="1318" spans="1:13">
      <c r="A1318" s="28">
        <v>8500</v>
      </c>
      <c r="B1318" t="s">
        <v>1458</v>
      </c>
      <c r="C1318">
        <v>12900</v>
      </c>
      <c r="D1318">
        <v>0</v>
      </c>
      <c r="E1318">
        <v>0</v>
      </c>
      <c r="F1318" t="s">
        <v>397</v>
      </c>
      <c r="G1318" t="s">
        <v>397</v>
      </c>
      <c r="H1318" t="s">
        <v>397</v>
      </c>
      <c r="I1318" t="s">
        <v>397</v>
      </c>
      <c r="J1318">
        <v>3682</v>
      </c>
      <c r="K1318">
        <v>3.5</v>
      </c>
      <c r="L1318">
        <v>0</v>
      </c>
      <c r="M1318">
        <v>0</v>
      </c>
    </row>
    <row r="1319" spans="1:13">
      <c r="A1319" s="28">
        <v>82270</v>
      </c>
      <c r="B1319" t="s">
        <v>1459</v>
      </c>
      <c r="C1319">
        <v>11800</v>
      </c>
      <c r="D1319">
        <v>-470</v>
      </c>
      <c r="E1319">
        <v>-3.83</v>
      </c>
      <c r="F1319" t="s">
        <v>397</v>
      </c>
      <c r="G1319" t="s">
        <v>397</v>
      </c>
      <c r="H1319" t="s">
        <v>397</v>
      </c>
      <c r="I1319" t="s">
        <v>397</v>
      </c>
      <c r="J1319">
        <v>3420</v>
      </c>
      <c r="K1319">
        <v>3.45</v>
      </c>
      <c r="L1319">
        <v>0</v>
      </c>
      <c r="M1319">
        <v>0</v>
      </c>
    </row>
    <row r="1320" spans="1:13">
      <c r="A1320" s="28">
        <v>6490</v>
      </c>
      <c r="B1320" t="s">
        <v>1460</v>
      </c>
      <c r="C1320">
        <v>1149</v>
      </c>
      <c r="D1320">
        <v>2</v>
      </c>
      <c r="E1320">
        <v>0.17</v>
      </c>
      <c r="F1320" t="s">
        <v>397</v>
      </c>
      <c r="G1320" t="s">
        <v>397</v>
      </c>
      <c r="H1320" t="s">
        <v>397</v>
      </c>
      <c r="I1320" t="s">
        <v>397</v>
      </c>
      <c r="J1320">
        <v>567</v>
      </c>
      <c r="K1320">
        <v>2.0299999999999998</v>
      </c>
      <c r="L1320">
        <v>0</v>
      </c>
      <c r="M1320">
        <v>0</v>
      </c>
    </row>
    <row r="1321" spans="1:13">
      <c r="A1321" s="28">
        <v>450520</v>
      </c>
      <c r="B1321" t="s">
        <v>1461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397</v>
      </c>
      <c r="I1321" t="s">
        <v>397</v>
      </c>
      <c r="J1321">
        <v>3829</v>
      </c>
      <c r="K1321">
        <v>4.45</v>
      </c>
      <c r="L1321">
        <v>0</v>
      </c>
      <c r="M1321">
        <v>0</v>
      </c>
    </row>
    <row r="1322" spans="1:13">
      <c r="A1322" s="28">
        <v>462520</v>
      </c>
      <c r="B1322" t="s">
        <v>1462</v>
      </c>
      <c r="C1322">
        <v>18120</v>
      </c>
      <c r="D1322">
        <v>-30</v>
      </c>
      <c r="E1322">
        <v>-0.17</v>
      </c>
      <c r="F1322" t="s">
        <v>397</v>
      </c>
      <c r="G1322" t="s">
        <v>397</v>
      </c>
      <c r="H1322" t="s">
        <v>397</v>
      </c>
      <c r="I1322" t="s">
        <v>397</v>
      </c>
      <c r="J1322" t="s">
        <v>397</v>
      </c>
      <c r="K1322" t="s">
        <v>397</v>
      </c>
      <c r="L1322">
        <v>0</v>
      </c>
      <c r="M1322">
        <v>0</v>
      </c>
    </row>
    <row r="1323" spans="1:13">
      <c r="A1323" s="28">
        <v>33230</v>
      </c>
      <c r="B1323" t="s">
        <v>1463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397</v>
      </c>
      <c r="I1323" t="s">
        <v>397</v>
      </c>
      <c r="J1323">
        <v>1911</v>
      </c>
      <c r="K1323">
        <v>2.33</v>
      </c>
      <c r="L1323">
        <v>0</v>
      </c>
      <c r="M1323">
        <v>0</v>
      </c>
    </row>
    <row r="1324" spans="1:13">
      <c r="A1324" s="28">
        <v>20760</v>
      </c>
      <c r="B1324" t="s">
        <v>1464</v>
      </c>
      <c r="C1324">
        <v>904</v>
      </c>
      <c r="D1324">
        <v>5</v>
      </c>
      <c r="E1324">
        <v>0.56000000000000005</v>
      </c>
      <c r="F1324" t="s">
        <v>397</v>
      </c>
      <c r="G1324" t="s">
        <v>397</v>
      </c>
      <c r="H1324" t="s">
        <v>397</v>
      </c>
      <c r="I1324" t="s">
        <v>397</v>
      </c>
      <c r="J1324">
        <v>562</v>
      </c>
      <c r="K1324">
        <v>1.61</v>
      </c>
      <c r="L1324">
        <v>0</v>
      </c>
      <c r="M1324">
        <v>0</v>
      </c>
    </row>
    <row r="1325" spans="1:13">
      <c r="A1325" s="28">
        <v>254120</v>
      </c>
      <c r="B1325" t="s">
        <v>1465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397</v>
      </c>
      <c r="I1325" t="s">
        <v>397</v>
      </c>
      <c r="J1325">
        <v>413</v>
      </c>
      <c r="K1325">
        <v>5.9</v>
      </c>
      <c r="L1325">
        <v>0</v>
      </c>
      <c r="M1325">
        <v>0</v>
      </c>
    </row>
    <row r="1326" spans="1:13">
      <c r="A1326" s="28">
        <v>417500</v>
      </c>
      <c r="B1326" t="s">
        <v>1466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397</v>
      </c>
      <c r="I1326" t="s">
        <v>397</v>
      </c>
      <c r="J1326">
        <v>1895</v>
      </c>
      <c r="K1326">
        <v>2.69</v>
      </c>
      <c r="L1326">
        <v>0</v>
      </c>
      <c r="M1326">
        <v>0</v>
      </c>
    </row>
    <row r="1327" spans="1:13">
      <c r="A1327" s="28">
        <v>229000</v>
      </c>
      <c r="B1327" t="s">
        <v>1467</v>
      </c>
      <c r="C1327">
        <v>3970</v>
      </c>
      <c r="D1327">
        <v>-165</v>
      </c>
      <c r="E1327">
        <v>-3.99</v>
      </c>
      <c r="F1327" t="s">
        <v>397</v>
      </c>
      <c r="G1327" t="s">
        <v>397</v>
      </c>
      <c r="H1327" t="s">
        <v>397</v>
      </c>
      <c r="I1327" t="s">
        <v>397</v>
      </c>
      <c r="J1327">
        <v>801</v>
      </c>
      <c r="K1327">
        <v>4.96</v>
      </c>
      <c r="L1327">
        <v>0</v>
      </c>
      <c r="M1327">
        <v>0</v>
      </c>
    </row>
    <row r="1328" spans="1:13">
      <c r="A1328" s="28">
        <v>56090</v>
      </c>
      <c r="B1328" t="s">
        <v>1468</v>
      </c>
      <c r="C1328">
        <v>1180</v>
      </c>
      <c r="D1328">
        <v>0</v>
      </c>
      <c r="E1328">
        <v>0</v>
      </c>
      <c r="F1328" t="s">
        <v>397</v>
      </c>
      <c r="G1328" t="s">
        <v>397</v>
      </c>
      <c r="H1328" t="s">
        <v>397</v>
      </c>
      <c r="I1328" t="s">
        <v>397</v>
      </c>
      <c r="J1328">
        <v>732</v>
      </c>
      <c r="K1328">
        <v>1.61</v>
      </c>
      <c r="L1328">
        <v>0</v>
      </c>
      <c r="M1328">
        <v>0</v>
      </c>
    </row>
    <row r="1329" spans="1:13">
      <c r="A1329" s="28">
        <v>187420</v>
      </c>
      <c r="B1329" t="s">
        <v>1469</v>
      </c>
      <c r="C1329">
        <v>4165</v>
      </c>
      <c r="D1329">
        <v>80</v>
      </c>
      <c r="E1329">
        <v>1.96</v>
      </c>
      <c r="F1329" t="s">
        <v>397</v>
      </c>
      <c r="G1329" t="s">
        <v>397</v>
      </c>
      <c r="H1329" t="s">
        <v>397</v>
      </c>
      <c r="I1329" t="s">
        <v>397</v>
      </c>
      <c r="J1329">
        <v>1061</v>
      </c>
      <c r="K1329">
        <v>3.93</v>
      </c>
      <c r="L1329">
        <v>0</v>
      </c>
      <c r="M1329">
        <v>0</v>
      </c>
    </row>
    <row r="1330" spans="1:13">
      <c r="A1330" s="28">
        <v>457190</v>
      </c>
      <c r="B1330" t="s">
        <v>1470</v>
      </c>
      <c r="C1330">
        <v>342500</v>
      </c>
      <c r="D1330">
        <v>10000</v>
      </c>
      <c r="E1330">
        <v>3.01</v>
      </c>
      <c r="F1330" t="s">
        <v>397</v>
      </c>
      <c r="G1330" t="s">
        <v>397</v>
      </c>
      <c r="H1330" t="s">
        <v>397</v>
      </c>
      <c r="I1330" t="s">
        <v>397</v>
      </c>
      <c r="J1330" t="s">
        <v>397</v>
      </c>
      <c r="K1330" t="s">
        <v>397</v>
      </c>
      <c r="L1330">
        <v>0</v>
      </c>
      <c r="M1330">
        <v>0</v>
      </c>
    </row>
    <row r="1331" spans="1:13">
      <c r="A1331" s="28">
        <v>225220</v>
      </c>
      <c r="B1331" t="s">
        <v>1471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397</v>
      </c>
      <c r="I1331" t="s">
        <v>397</v>
      </c>
      <c r="J1331">
        <v>5439</v>
      </c>
      <c r="K1331">
        <v>0.71</v>
      </c>
      <c r="L1331">
        <v>0</v>
      </c>
      <c r="M1331">
        <v>0</v>
      </c>
    </row>
    <row r="1332" spans="1:13">
      <c r="A1332" s="28">
        <v>89790</v>
      </c>
      <c r="B1332" t="s">
        <v>1472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397</v>
      </c>
      <c r="I1332" t="s">
        <v>397</v>
      </c>
      <c r="J1332">
        <v>5952</v>
      </c>
      <c r="K1332">
        <v>1.58</v>
      </c>
      <c r="L1332">
        <v>0</v>
      </c>
      <c r="M1332">
        <v>0</v>
      </c>
    </row>
    <row r="1333" spans="1:13">
      <c r="A1333" s="28">
        <v>25620</v>
      </c>
      <c r="B1333" t="s">
        <v>1473</v>
      </c>
      <c r="C1333">
        <v>6180</v>
      </c>
      <c r="D1333">
        <v>50</v>
      </c>
      <c r="E1333">
        <v>0.82</v>
      </c>
      <c r="F1333" t="s">
        <v>397</v>
      </c>
      <c r="G1333" t="s">
        <v>397</v>
      </c>
      <c r="H1333" t="s">
        <v>397</v>
      </c>
      <c r="I1333" t="s">
        <v>397</v>
      </c>
      <c r="J1333">
        <v>10836</v>
      </c>
      <c r="K1333">
        <v>0.56999999999999995</v>
      </c>
      <c r="L1333">
        <v>0</v>
      </c>
      <c r="M1333">
        <v>0</v>
      </c>
    </row>
    <row r="1334" spans="1:13">
      <c r="A1334" s="28">
        <v>418550</v>
      </c>
      <c r="B1334" t="s">
        <v>1474</v>
      </c>
      <c r="C1334">
        <v>28650</v>
      </c>
      <c r="D1334">
        <v>50</v>
      </c>
      <c r="E1334">
        <v>0.17</v>
      </c>
      <c r="F1334" t="s">
        <v>397</v>
      </c>
      <c r="G1334" t="s">
        <v>397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>
      <c r="A1335" s="28">
        <v>303530</v>
      </c>
      <c r="B1335" t="s">
        <v>1475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397</v>
      </c>
      <c r="I1335" t="s">
        <v>397</v>
      </c>
      <c r="J1335">
        <v>5515</v>
      </c>
      <c r="K1335">
        <v>2.3199999999999998</v>
      </c>
      <c r="L1335">
        <v>0</v>
      </c>
      <c r="M1335">
        <v>0</v>
      </c>
    </row>
    <row r="1336" spans="1:13">
      <c r="A1336" s="28">
        <v>302430</v>
      </c>
      <c r="B1336" t="s">
        <v>1476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397</v>
      </c>
      <c r="I1336" t="s">
        <v>397</v>
      </c>
      <c r="J1336">
        <v>5721</v>
      </c>
      <c r="K1336">
        <v>2.2400000000000002</v>
      </c>
      <c r="L1336">
        <v>0</v>
      </c>
      <c r="M1336">
        <v>0</v>
      </c>
    </row>
    <row r="1337" spans="1:13">
      <c r="A1337" s="28">
        <v>123330</v>
      </c>
      <c r="B1337" t="s">
        <v>1477</v>
      </c>
      <c r="C1337">
        <v>3900</v>
      </c>
      <c r="D1337">
        <v>5</v>
      </c>
      <c r="E1337">
        <v>0.13</v>
      </c>
      <c r="F1337" t="s">
        <v>397</v>
      </c>
      <c r="G1337" t="s">
        <v>397</v>
      </c>
      <c r="H1337" t="s">
        <v>397</v>
      </c>
      <c r="I1337" t="s">
        <v>397</v>
      </c>
      <c r="J1337">
        <v>2325</v>
      </c>
      <c r="K1337">
        <v>1.68</v>
      </c>
      <c r="L1337">
        <v>0</v>
      </c>
      <c r="M1337">
        <v>0</v>
      </c>
    </row>
    <row r="1338" spans="1:13">
      <c r="A1338" s="28">
        <v>33050</v>
      </c>
      <c r="B1338" t="s">
        <v>1478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397</v>
      </c>
      <c r="I1338" t="s">
        <v>397</v>
      </c>
      <c r="J1338">
        <v>1326</v>
      </c>
      <c r="K1338">
        <v>0.78</v>
      </c>
      <c r="L1338">
        <v>0</v>
      </c>
      <c r="M1338">
        <v>0</v>
      </c>
    </row>
    <row r="1339" spans="1:13">
      <c r="A1339" s="28">
        <v>322510</v>
      </c>
      <c r="B1339" t="s">
        <v>1479</v>
      </c>
      <c r="C1339">
        <v>13900</v>
      </c>
      <c r="D1339">
        <v>960</v>
      </c>
      <c r="E1339">
        <v>7.42</v>
      </c>
      <c r="F1339" t="s">
        <v>397</v>
      </c>
      <c r="G1339" t="s">
        <v>397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>
      <c r="A1340" s="28">
        <v>159580</v>
      </c>
      <c r="B1340" t="s">
        <v>1480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397</v>
      </c>
      <c r="I1340" t="s">
        <v>397</v>
      </c>
      <c r="J1340">
        <v>4005</v>
      </c>
      <c r="K1340">
        <v>1.58</v>
      </c>
      <c r="L1340">
        <v>0</v>
      </c>
      <c r="M1340">
        <v>0</v>
      </c>
    </row>
    <row r="1341" spans="1:13">
      <c r="A1341" s="28">
        <v>274400</v>
      </c>
      <c r="B1341" t="s">
        <v>1481</v>
      </c>
      <c r="C1341">
        <v>11420</v>
      </c>
      <c r="D1341">
        <v>-320</v>
      </c>
      <c r="E1341">
        <v>-2.73</v>
      </c>
      <c r="F1341" t="s">
        <v>397</v>
      </c>
      <c r="G1341" t="s">
        <v>397</v>
      </c>
      <c r="H1341" t="s">
        <v>397</v>
      </c>
      <c r="I1341" t="s">
        <v>397</v>
      </c>
      <c r="J1341">
        <v>2166</v>
      </c>
      <c r="K1341">
        <v>5.27</v>
      </c>
      <c r="L1341">
        <v>0</v>
      </c>
      <c r="M1341">
        <v>0</v>
      </c>
    </row>
    <row r="1342" spans="1:13">
      <c r="A1342" s="28">
        <v>215790</v>
      </c>
      <c r="B1342" t="s">
        <v>1482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397</v>
      </c>
      <c r="I1342" t="s">
        <v>397</v>
      </c>
      <c r="J1342">
        <v>2424</v>
      </c>
      <c r="K1342">
        <v>0.33</v>
      </c>
      <c r="L1342">
        <v>0</v>
      </c>
      <c r="M1342">
        <v>0</v>
      </c>
    </row>
    <row r="1343" spans="1:13">
      <c r="A1343" s="28">
        <v>72520</v>
      </c>
      <c r="B1343" t="s">
        <v>1483</v>
      </c>
      <c r="C1343">
        <v>401</v>
      </c>
      <c r="D1343">
        <v>0</v>
      </c>
      <c r="E1343">
        <v>0</v>
      </c>
      <c r="F1343" t="s">
        <v>397</v>
      </c>
      <c r="G1343" t="s">
        <v>397</v>
      </c>
      <c r="H1343" t="s">
        <v>397</v>
      </c>
      <c r="I1343" t="s">
        <v>397</v>
      </c>
      <c r="J1343">
        <v>1458</v>
      </c>
      <c r="K1343">
        <v>0.28000000000000003</v>
      </c>
      <c r="L1343">
        <v>0</v>
      </c>
      <c r="M1343">
        <v>0</v>
      </c>
    </row>
    <row r="1344" spans="1:13">
      <c r="A1344" s="28">
        <v>452160</v>
      </c>
      <c r="B1344" t="s">
        <v>1484</v>
      </c>
      <c r="C1344">
        <v>11610</v>
      </c>
      <c r="D1344">
        <v>-860</v>
      </c>
      <c r="E1344">
        <v>-6.9</v>
      </c>
      <c r="F1344" t="s">
        <v>397</v>
      </c>
      <c r="G1344" t="s">
        <v>397</v>
      </c>
      <c r="H1344" t="s">
        <v>397</v>
      </c>
      <c r="I1344" t="s">
        <v>397</v>
      </c>
      <c r="J1344" t="s">
        <v>397</v>
      </c>
      <c r="K1344" t="s">
        <v>397</v>
      </c>
      <c r="L1344">
        <v>0</v>
      </c>
      <c r="M1344">
        <v>0</v>
      </c>
    </row>
    <row r="1345" spans="1:13">
      <c r="A1345" s="28">
        <v>344860</v>
      </c>
      <c r="B1345" t="s">
        <v>1485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397</v>
      </c>
      <c r="I1345" t="s">
        <v>397</v>
      </c>
      <c r="J1345">
        <v>731</v>
      </c>
      <c r="K1345">
        <v>3.03</v>
      </c>
      <c r="L1345">
        <v>0</v>
      </c>
      <c r="M1345">
        <v>0</v>
      </c>
    </row>
    <row r="1346" spans="1:13">
      <c r="A1346" s="28">
        <v>246960</v>
      </c>
      <c r="B1346" t="s">
        <v>1486</v>
      </c>
      <c r="C1346">
        <v>8550</v>
      </c>
      <c r="D1346">
        <v>230</v>
      </c>
      <c r="E1346">
        <v>2.76</v>
      </c>
      <c r="F1346" t="s">
        <v>397</v>
      </c>
      <c r="G1346" t="s">
        <v>397</v>
      </c>
      <c r="H1346" t="s">
        <v>397</v>
      </c>
      <c r="I1346" t="s">
        <v>397</v>
      </c>
      <c r="J1346">
        <v>2330</v>
      </c>
      <c r="K1346">
        <v>3.67</v>
      </c>
      <c r="L1346">
        <v>0</v>
      </c>
      <c r="M1346">
        <v>0</v>
      </c>
    </row>
    <row r="1347" spans="1:13">
      <c r="A1347" s="28">
        <v>88390</v>
      </c>
      <c r="B1347" t="s">
        <v>1487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397</v>
      </c>
      <c r="I1347" t="s">
        <v>397</v>
      </c>
      <c r="J1347">
        <v>22873</v>
      </c>
      <c r="K1347">
        <v>1.02</v>
      </c>
      <c r="L1347">
        <v>0</v>
      </c>
      <c r="M1347">
        <v>0</v>
      </c>
    </row>
    <row r="1348" spans="1:13">
      <c r="A1348" s="28">
        <v>204270</v>
      </c>
      <c r="B1348" t="s">
        <v>1488</v>
      </c>
      <c r="C1348">
        <v>14060</v>
      </c>
      <c r="D1348">
        <v>-40</v>
      </c>
      <c r="E1348">
        <v>-0.28000000000000003</v>
      </c>
      <c r="F1348" t="s">
        <v>397</v>
      </c>
      <c r="G1348" t="s">
        <v>397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>
      <c r="A1349" s="28">
        <v>351330</v>
      </c>
      <c r="B1349" t="s">
        <v>1489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>
      <c r="A1350" s="28">
        <v>131400</v>
      </c>
      <c r="B1350" t="s">
        <v>1490</v>
      </c>
      <c r="C1350">
        <v>3265</v>
      </c>
      <c r="D1350">
        <v>155</v>
      </c>
      <c r="E1350">
        <v>4.9800000000000004</v>
      </c>
      <c r="F1350" t="s">
        <v>397</v>
      </c>
      <c r="G1350" t="s">
        <v>397</v>
      </c>
      <c r="H1350" t="s">
        <v>397</v>
      </c>
      <c r="I1350" t="s">
        <v>397</v>
      </c>
      <c r="J1350">
        <v>1953</v>
      </c>
      <c r="K1350">
        <v>1.67</v>
      </c>
      <c r="L1350">
        <v>0</v>
      </c>
      <c r="M1350">
        <v>0</v>
      </c>
    </row>
    <row r="1351" spans="1:13">
      <c r="A1351" s="28">
        <v>115610</v>
      </c>
      <c r="B1351" t="s">
        <v>1491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397</v>
      </c>
      <c r="I1351" t="s">
        <v>397</v>
      </c>
      <c r="J1351">
        <v>686</v>
      </c>
      <c r="K1351">
        <v>5.95</v>
      </c>
      <c r="L1351">
        <v>0</v>
      </c>
      <c r="M1351">
        <v>0</v>
      </c>
    </row>
    <row r="1352" spans="1:13">
      <c r="A1352" s="28">
        <v>23440</v>
      </c>
      <c r="B1352" t="s">
        <v>1492</v>
      </c>
      <c r="C1352">
        <v>1276</v>
      </c>
      <c r="D1352">
        <v>-45</v>
      </c>
      <c r="E1352">
        <v>-3.41</v>
      </c>
      <c r="F1352" t="s">
        <v>397</v>
      </c>
      <c r="G1352" t="s">
        <v>397</v>
      </c>
      <c r="H1352" t="s">
        <v>397</v>
      </c>
      <c r="I1352" t="s">
        <v>397</v>
      </c>
      <c r="J1352">
        <v>1575</v>
      </c>
      <c r="K1352">
        <v>0.81</v>
      </c>
      <c r="L1352">
        <v>0</v>
      </c>
      <c r="M1352">
        <v>0</v>
      </c>
    </row>
    <row r="1353" spans="1:13">
      <c r="A1353" s="28">
        <v>65440</v>
      </c>
      <c r="B1353" t="s">
        <v>1493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397</v>
      </c>
      <c r="I1353" t="s">
        <v>397</v>
      </c>
      <c r="J1353">
        <v>1583</v>
      </c>
      <c r="K1353">
        <v>1.1399999999999999</v>
      </c>
      <c r="L1353">
        <v>0</v>
      </c>
      <c r="M1353">
        <v>0</v>
      </c>
    </row>
    <row r="1354" spans="1:13">
      <c r="A1354" s="28">
        <v>287410</v>
      </c>
      <c r="B1354" t="s">
        <v>1494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>
      <c r="A1355" s="28">
        <v>164060</v>
      </c>
      <c r="B1355" t="s">
        <v>1495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397</v>
      </c>
      <c r="I1355" t="s">
        <v>397</v>
      </c>
      <c r="J1355">
        <v>2551</v>
      </c>
      <c r="K1355">
        <v>2.39</v>
      </c>
      <c r="L1355">
        <v>0</v>
      </c>
      <c r="M1355">
        <v>0</v>
      </c>
    </row>
    <row r="1356" spans="1:13">
      <c r="A1356" s="28">
        <v>33320</v>
      </c>
      <c r="B1356" t="s">
        <v>1496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397</v>
      </c>
      <c r="I1356" t="s">
        <v>397</v>
      </c>
      <c r="J1356">
        <v>5716</v>
      </c>
      <c r="K1356">
        <v>0.77</v>
      </c>
      <c r="L1356">
        <v>0</v>
      </c>
      <c r="M1356">
        <v>0</v>
      </c>
    </row>
    <row r="1357" spans="1:13">
      <c r="A1357" s="28">
        <v>86890</v>
      </c>
      <c r="B1357" t="s">
        <v>1497</v>
      </c>
      <c r="C1357">
        <v>6340</v>
      </c>
      <c r="D1357">
        <v>10</v>
      </c>
      <c r="E1357">
        <v>0.16</v>
      </c>
      <c r="F1357" t="s">
        <v>397</v>
      </c>
      <c r="G1357" t="s">
        <v>397</v>
      </c>
      <c r="H1357" t="s">
        <v>397</v>
      </c>
      <c r="I1357" t="s">
        <v>397</v>
      </c>
      <c r="J1357">
        <v>1941</v>
      </c>
      <c r="K1357">
        <v>3.27</v>
      </c>
      <c r="L1357">
        <v>0</v>
      </c>
      <c r="M1357">
        <v>0</v>
      </c>
    </row>
    <row r="1358" spans="1:13">
      <c r="A1358" s="28">
        <v>95700</v>
      </c>
      <c r="B1358" t="s">
        <v>1498</v>
      </c>
      <c r="C1358">
        <v>8290</v>
      </c>
      <c r="D1358">
        <v>-320</v>
      </c>
      <c r="E1358">
        <v>-3.72</v>
      </c>
      <c r="F1358" t="s">
        <v>397</v>
      </c>
      <c r="G1358" t="s">
        <v>397</v>
      </c>
      <c r="H1358" t="s">
        <v>397</v>
      </c>
      <c r="I1358" t="s">
        <v>397</v>
      </c>
      <c r="J1358">
        <v>7977</v>
      </c>
      <c r="K1358">
        <v>1.04</v>
      </c>
      <c r="L1358">
        <v>0</v>
      </c>
      <c r="M1358">
        <v>0</v>
      </c>
    </row>
    <row r="1359" spans="1:13">
      <c r="A1359" s="28">
        <v>160600</v>
      </c>
      <c r="B1359" t="s">
        <v>1499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397</v>
      </c>
      <c r="I1359" t="s">
        <v>397</v>
      </c>
      <c r="J1359">
        <v>1452</v>
      </c>
      <c r="K1359">
        <v>2.13</v>
      </c>
      <c r="L1359">
        <v>0</v>
      </c>
      <c r="M1359">
        <v>0</v>
      </c>
    </row>
    <row r="1360" spans="1:13">
      <c r="A1360" s="28">
        <v>174880</v>
      </c>
      <c r="B1360" t="s">
        <v>1500</v>
      </c>
      <c r="C1360">
        <v>2650</v>
      </c>
      <c r="D1360">
        <v>0</v>
      </c>
      <c r="E1360">
        <v>0</v>
      </c>
      <c r="F1360" t="s">
        <v>397</v>
      </c>
      <c r="G1360" t="s">
        <v>397</v>
      </c>
      <c r="H1360" t="s">
        <v>397</v>
      </c>
      <c r="I1360" t="s">
        <v>397</v>
      </c>
      <c r="J1360">
        <v>15730</v>
      </c>
      <c r="K1360">
        <v>0.17</v>
      </c>
      <c r="L1360">
        <v>0</v>
      </c>
      <c r="M1360">
        <v>0</v>
      </c>
    </row>
    <row r="1361" spans="1:13">
      <c r="A1361" s="28">
        <v>216080</v>
      </c>
      <c r="B1361" t="s">
        <v>1501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>
      <c r="A1362" s="28">
        <v>89590</v>
      </c>
      <c r="B1362" t="s">
        <v>1502</v>
      </c>
      <c r="C1362">
        <v>10690</v>
      </c>
      <c r="D1362">
        <v>-160</v>
      </c>
      <c r="E1362">
        <v>-1.47</v>
      </c>
      <c r="F1362" t="s">
        <v>397</v>
      </c>
      <c r="G1362" t="s">
        <v>397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>
      <c r="A1363" s="28">
        <v>43910</v>
      </c>
      <c r="B1363" t="s">
        <v>1503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397</v>
      </c>
      <c r="I1363" t="s">
        <v>397</v>
      </c>
      <c r="J1363">
        <v>838</v>
      </c>
      <c r="K1363">
        <v>1.24</v>
      </c>
      <c r="L1363">
        <v>0</v>
      </c>
      <c r="M1363">
        <v>0</v>
      </c>
    </row>
    <row r="1364" spans="1:13">
      <c r="A1364" s="28">
        <v>99750</v>
      </c>
      <c r="B1364" t="s">
        <v>1504</v>
      </c>
      <c r="C1364">
        <v>18080</v>
      </c>
      <c r="D1364">
        <v>-20</v>
      </c>
      <c r="E1364">
        <v>-0.11</v>
      </c>
      <c r="F1364" t="s">
        <v>397</v>
      </c>
      <c r="G1364" t="s">
        <v>397</v>
      </c>
      <c r="H1364" t="s">
        <v>397</v>
      </c>
      <c r="I1364" t="s">
        <v>397</v>
      </c>
      <c r="J1364">
        <v>5083</v>
      </c>
      <c r="K1364">
        <v>3.56</v>
      </c>
      <c r="L1364">
        <v>0</v>
      </c>
      <c r="M1364">
        <v>0</v>
      </c>
    </row>
    <row r="1365" spans="1:13">
      <c r="A1365" s="28">
        <v>181340</v>
      </c>
      <c r="B1365" t="s">
        <v>1505</v>
      </c>
      <c r="C1365">
        <v>2705</v>
      </c>
      <c r="D1365">
        <v>0</v>
      </c>
      <c r="E1365">
        <v>0</v>
      </c>
      <c r="F1365" t="s">
        <v>397</v>
      </c>
      <c r="G1365" t="s">
        <v>397</v>
      </c>
      <c r="H1365" t="s">
        <v>397</v>
      </c>
      <c r="I1365" t="s">
        <v>397</v>
      </c>
      <c r="J1365">
        <v>1416</v>
      </c>
      <c r="K1365">
        <v>1.91</v>
      </c>
      <c r="L1365">
        <v>0</v>
      </c>
      <c r="M1365">
        <v>0</v>
      </c>
    </row>
    <row r="1366" spans="1:13">
      <c r="A1366" s="28">
        <v>84680</v>
      </c>
      <c r="B1366" t="s">
        <v>1506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397</v>
      </c>
      <c r="I1366" t="s">
        <v>397</v>
      </c>
      <c r="J1366">
        <v>1742</v>
      </c>
      <c r="K1366">
        <v>1.17</v>
      </c>
      <c r="L1366">
        <v>0</v>
      </c>
      <c r="M1366">
        <v>0</v>
      </c>
    </row>
    <row r="1367" spans="1:13">
      <c r="A1367" s="28">
        <v>88290</v>
      </c>
      <c r="B1367" t="s">
        <v>1507</v>
      </c>
      <c r="C1367">
        <v>1470</v>
      </c>
      <c r="D1367">
        <v>0</v>
      </c>
      <c r="E1367">
        <v>0</v>
      </c>
      <c r="F1367" t="s">
        <v>397</v>
      </c>
      <c r="G1367" t="s">
        <v>397</v>
      </c>
      <c r="H1367" t="s">
        <v>397</v>
      </c>
      <c r="I1367" t="s">
        <v>397</v>
      </c>
      <c r="J1367">
        <v>2085</v>
      </c>
      <c r="K1367">
        <v>0.71</v>
      </c>
      <c r="L1367">
        <v>0</v>
      </c>
      <c r="M1367">
        <v>0</v>
      </c>
    </row>
    <row r="1368" spans="1:13">
      <c r="A1368" s="28">
        <v>234920</v>
      </c>
      <c r="B1368" t="s">
        <v>1508</v>
      </c>
      <c r="C1368">
        <v>8450</v>
      </c>
      <c r="D1368">
        <v>-450</v>
      </c>
      <c r="E1368">
        <v>-5.0599999999999996</v>
      </c>
      <c r="F1368" t="s">
        <v>397</v>
      </c>
      <c r="G1368" t="s">
        <v>397</v>
      </c>
      <c r="H1368" t="s">
        <v>397</v>
      </c>
      <c r="I1368" t="s">
        <v>397</v>
      </c>
      <c r="J1368">
        <v>3107</v>
      </c>
      <c r="K1368">
        <v>2.72</v>
      </c>
      <c r="L1368">
        <v>0</v>
      </c>
      <c r="M1368">
        <v>0</v>
      </c>
    </row>
    <row r="1369" spans="1:13">
      <c r="A1369" s="28">
        <v>289220</v>
      </c>
      <c r="B1369" t="s">
        <v>1509</v>
      </c>
      <c r="C1369">
        <v>10640</v>
      </c>
      <c r="D1369">
        <v>-660</v>
      </c>
      <c r="E1369">
        <v>-5.84</v>
      </c>
      <c r="F1369" t="s">
        <v>397</v>
      </c>
      <c r="G1369" t="s">
        <v>397</v>
      </c>
      <c r="H1369" t="s">
        <v>397</v>
      </c>
      <c r="I1369" t="s">
        <v>397</v>
      </c>
      <c r="J1369">
        <v>5387</v>
      </c>
      <c r="K1369">
        <v>1.98</v>
      </c>
      <c r="L1369">
        <v>0</v>
      </c>
      <c r="M1369">
        <v>0</v>
      </c>
    </row>
    <row r="1370" spans="1:13">
      <c r="A1370" s="28">
        <v>294090</v>
      </c>
      <c r="B1370" t="s">
        <v>1510</v>
      </c>
      <c r="C1370">
        <v>4725</v>
      </c>
      <c r="D1370">
        <v>85</v>
      </c>
      <c r="E1370">
        <v>1.83</v>
      </c>
      <c r="F1370" t="s">
        <v>397</v>
      </c>
      <c r="G1370" t="s">
        <v>397</v>
      </c>
      <c r="H1370" t="s">
        <v>397</v>
      </c>
      <c r="I1370" t="s">
        <v>397</v>
      </c>
      <c r="J1370">
        <v>3253</v>
      </c>
      <c r="K1370">
        <v>1.45</v>
      </c>
      <c r="L1370">
        <v>0</v>
      </c>
      <c r="M1370">
        <v>0</v>
      </c>
    </row>
    <row r="1371" spans="1:13">
      <c r="A1371" s="28">
        <v>191410</v>
      </c>
      <c r="B1371" t="s">
        <v>1511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397</v>
      </c>
      <c r="I1371" t="s">
        <v>397</v>
      </c>
      <c r="J1371">
        <v>2214</v>
      </c>
      <c r="K1371">
        <v>0.9</v>
      </c>
      <c r="L1371">
        <v>0</v>
      </c>
      <c r="M1371">
        <v>0</v>
      </c>
    </row>
    <row r="1372" spans="1:13">
      <c r="A1372" s="28">
        <v>80220</v>
      </c>
      <c r="B1372" t="s">
        <v>1512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397</v>
      </c>
      <c r="I1372" t="s">
        <v>397</v>
      </c>
      <c r="J1372">
        <v>4234</v>
      </c>
      <c r="K1372">
        <v>5.96</v>
      </c>
      <c r="L1372">
        <v>0</v>
      </c>
      <c r="M1372">
        <v>0</v>
      </c>
    </row>
    <row r="1373" spans="1:13">
      <c r="A1373" s="28">
        <v>33240</v>
      </c>
      <c r="B1373" t="s">
        <v>1513</v>
      </c>
      <c r="C1373">
        <v>26100</v>
      </c>
      <c r="D1373">
        <v>250</v>
      </c>
      <c r="E1373">
        <v>0.97</v>
      </c>
      <c r="F1373" t="s">
        <v>397</v>
      </c>
      <c r="G1373" t="s">
        <v>397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>
      <c r="A1374" s="28">
        <v>49630</v>
      </c>
      <c r="B1374" t="s">
        <v>1514</v>
      </c>
      <c r="C1374">
        <v>615</v>
      </c>
      <c r="D1374">
        <v>-3</v>
      </c>
      <c r="E1374">
        <v>-0.49</v>
      </c>
      <c r="F1374" t="s">
        <v>397</v>
      </c>
      <c r="G1374" t="s">
        <v>397</v>
      </c>
      <c r="H1374" t="s">
        <v>397</v>
      </c>
      <c r="I1374" t="s">
        <v>397</v>
      </c>
      <c r="J1374">
        <v>761</v>
      </c>
      <c r="K1374">
        <v>0.81</v>
      </c>
      <c r="L1374">
        <v>0</v>
      </c>
      <c r="M1374">
        <v>0</v>
      </c>
    </row>
    <row r="1375" spans="1:13">
      <c r="A1375" s="28">
        <v>52670</v>
      </c>
      <c r="B1375" t="s">
        <v>1515</v>
      </c>
      <c r="C1375">
        <v>2080</v>
      </c>
      <c r="D1375">
        <v>0</v>
      </c>
      <c r="E1375">
        <v>0</v>
      </c>
      <c r="F1375" t="s">
        <v>397</v>
      </c>
      <c r="G1375" t="s">
        <v>397</v>
      </c>
      <c r="H1375" t="s">
        <v>397</v>
      </c>
      <c r="I1375" t="s">
        <v>397</v>
      </c>
      <c r="J1375">
        <v>1223</v>
      </c>
      <c r="K1375">
        <v>1.7</v>
      </c>
      <c r="L1375">
        <v>0</v>
      </c>
      <c r="M1375">
        <v>0</v>
      </c>
    </row>
    <row r="1376" spans="1:13">
      <c r="A1376" s="28">
        <v>276730</v>
      </c>
      <c r="B1376" t="s">
        <v>1516</v>
      </c>
      <c r="C1376">
        <v>1344</v>
      </c>
      <c r="D1376">
        <v>135</v>
      </c>
      <c r="E1376">
        <v>11.17</v>
      </c>
      <c r="F1376" t="s">
        <v>397</v>
      </c>
      <c r="G1376" t="s">
        <v>397</v>
      </c>
      <c r="H1376" t="s">
        <v>397</v>
      </c>
      <c r="I1376" t="s">
        <v>397</v>
      </c>
      <c r="J1376">
        <v>524</v>
      </c>
      <c r="K1376">
        <v>2.56</v>
      </c>
      <c r="L1376">
        <v>0</v>
      </c>
      <c r="M1376">
        <v>0</v>
      </c>
    </row>
    <row r="1377" spans="1:13">
      <c r="A1377" s="28">
        <v>417840</v>
      </c>
      <c r="B1377" t="s">
        <v>1517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397</v>
      </c>
      <c r="I1377" t="s">
        <v>397</v>
      </c>
      <c r="J1377">
        <v>7262</v>
      </c>
      <c r="K1377">
        <v>2.2200000000000002</v>
      </c>
      <c r="L1377">
        <v>0</v>
      </c>
      <c r="M1377">
        <v>0</v>
      </c>
    </row>
    <row r="1378" spans="1:13">
      <c r="A1378" s="28">
        <v>95190</v>
      </c>
      <c r="B1378" t="s">
        <v>1518</v>
      </c>
      <c r="C1378">
        <v>2450</v>
      </c>
      <c r="D1378">
        <v>-50</v>
      </c>
      <c r="E1378">
        <v>-2</v>
      </c>
      <c r="F1378" t="s">
        <v>397</v>
      </c>
      <c r="G1378" t="s">
        <v>397</v>
      </c>
      <c r="H1378" t="s">
        <v>397</v>
      </c>
      <c r="I1378" t="s">
        <v>397</v>
      </c>
      <c r="J1378">
        <v>1889</v>
      </c>
      <c r="K1378">
        <v>1.3</v>
      </c>
      <c r="L1378">
        <v>0</v>
      </c>
      <c r="M1378">
        <v>0</v>
      </c>
    </row>
    <row r="1379" spans="1:13">
      <c r="A1379" s="28">
        <v>83470</v>
      </c>
      <c r="B1379" t="s">
        <v>1519</v>
      </c>
      <c r="C1379">
        <v>1909</v>
      </c>
      <c r="D1379">
        <v>55</v>
      </c>
      <c r="E1379">
        <v>2.97</v>
      </c>
      <c r="F1379" t="s">
        <v>397</v>
      </c>
      <c r="G1379" t="s">
        <v>397</v>
      </c>
      <c r="H1379" t="s">
        <v>397</v>
      </c>
      <c r="I1379" t="s">
        <v>397</v>
      </c>
      <c r="J1379">
        <v>602</v>
      </c>
      <c r="K1379">
        <v>3.17</v>
      </c>
      <c r="L1379">
        <v>0</v>
      </c>
      <c r="M1379">
        <v>0</v>
      </c>
    </row>
    <row r="1380" spans="1:13">
      <c r="A1380" s="28">
        <v>74610</v>
      </c>
      <c r="B1380" t="s">
        <v>1520</v>
      </c>
      <c r="C1380">
        <v>2890</v>
      </c>
      <c r="D1380">
        <v>-80</v>
      </c>
      <c r="E1380">
        <v>-2.69</v>
      </c>
      <c r="F1380" t="s">
        <v>397</v>
      </c>
      <c r="G1380" t="s">
        <v>397</v>
      </c>
      <c r="H1380" t="s">
        <v>397</v>
      </c>
      <c r="I1380" t="s">
        <v>397</v>
      </c>
      <c r="J1380">
        <v>1107</v>
      </c>
      <c r="K1380">
        <v>2.61</v>
      </c>
      <c r="L1380">
        <v>0</v>
      </c>
      <c r="M1380">
        <v>0</v>
      </c>
    </row>
    <row r="1381" spans="1:13">
      <c r="A1381" s="28">
        <v>146060</v>
      </c>
      <c r="B1381" t="s">
        <v>1521</v>
      </c>
      <c r="C1381">
        <v>1830</v>
      </c>
      <c r="D1381">
        <v>12</v>
      </c>
      <c r="E1381">
        <v>0.66</v>
      </c>
      <c r="F1381" t="s">
        <v>397</v>
      </c>
      <c r="G1381" t="s">
        <v>397</v>
      </c>
      <c r="H1381" t="s">
        <v>397</v>
      </c>
      <c r="I1381" t="s">
        <v>397</v>
      </c>
      <c r="J1381" t="s">
        <v>397</v>
      </c>
      <c r="K1381" t="s">
        <v>397</v>
      </c>
      <c r="L1381">
        <v>0</v>
      </c>
      <c r="M1381">
        <v>0</v>
      </c>
    </row>
    <row r="1382" spans="1:13">
      <c r="A1382" s="28">
        <v>110020</v>
      </c>
      <c r="B1382" t="s">
        <v>1522</v>
      </c>
      <c r="C1382">
        <v>8010</v>
      </c>
      <c r="D1382">
        <v>10</v>
      </c>
      <c r="E1382">
        <v>0.13</v>
      </c>
      <c r="F1382" t="s">
        <v>397</v>
      </c>
      <c r="G1382" t="s">
        <v>397</v>
      </c>
      <c r="H1382" t="s">
        <v>397</v>
      </c>
      <c r="I1382" t="s">
        <v>397</v>
      </c>
      <c r="J1382">
        <v>1390</v>
      </c>
      <c r="K1382">
        <v>5.76</v>
      </c>
      <c r="L1382">
        <v>0</v>
      </c>
      <c r="M1382">
        <v>0</v>
      </c>
    </row>
    <row r="1383" spans="1:13">
      <c r="A1383" s="28">
        <v>72770</v>
      </c>
      <c r="B1383" t="s">
        <v>1523</v>
      </c>
      <c r="C1383">
        <v>2140</v>
      </c>
      <c r="D1383">
        <v>5</v>
      </c>
      <c r="E1383">
        <v>0.23</v>
      </c>
      <c r="F1383" t="s">
        <v>397</v>
      </c>
      <c r="G1383" t="s">
        <v>397</v>
      </c>
      <c r="H1383" t="s">
        <v>397</v>
      </c>
      <c r="I1383" t="s">
        <v>397</v>
      </c>
      <c r="J1383">
        <v>1001</v>
      </c>
      <c r="K1383">
        <v>2.14</v>
      </c>
      <c r="L1383">
        <v>0</v>
      </c>
      <c r="M1383">
        <v>0</v>
      </c>
    </row>
    <row r="1384" spans="1:13">
      <c r="A1384" s="28">
        <v>418620</v>
      </c>
      <c r="B1384" t="s">
        <v>1524</v>
      </c>
      <c r="C1384">
        <v>23000</v>
      </c>
      <c r="D1384">
        <v>300</v>
      </c>
      <c r="E1384">
        <v>1.32</v>
      </c>
      <c r="F1384" t="s">
        <v>397</v>
      </c>
      <c r="G1384" t="s">
        <v>397</v>
      </c>
      <c r="H1384" t="s">
        <v>397</v>
      </c>
      <c r="I1384" t="s">
        <v>397</v>
      </c>
      <c r="J1384" t="s">
        <v>397</v>
      </c>
      <c r="K1384" t="s">
        <v>397</v>
      </c>
      <c r="L1384">
        <v>0</v>
      </c>
      <c r="M1384">
        <v>0</v>
      </c>
    </row>
    <row r="1385" spans="1:13">
      <c r="A1385" s="28">
        <v>93230</v>
      </c>
      <c r="B1385" t="s">
        <v>1525</v>
      </c>
      <c r="C1385">
        <v>1392</v>
      </c>
      <c r="D1385">
        <v>0</v>
      </c>
      <c r="E1385">
        <v>0</v>
      </c>
      <c r="F1385" t="s">
        <v>397</v>
      </c>
      <c r="G1385" t="s">
        <v>397</v>
      </c>
      <c r="H1385" t="s">
        <v>397</v>
      </c>
      <c r="I1385" t="s">
        <v>397</v>
      </c>
      <c r="J1385">
        <v>1584</v>
      </c>
      <c r="K1385">
        <v>0.88</v>
      </c>
      <c r="L1385">
        <v>0</v>
      </c>
      <c r="M1385">
        <v>0</v>
      </c>
    </row>
    <row r="1386" spans="1:13">
      <c r="A1386" s="28">
        <v>45510</v>
      </c>
      <c r="B1386" t="s">
        <v>1526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397</v>
      </c>
      <c r="I1386" t="s">
        <v>397</v>
      </c>
      <c r="J1386">
        <v>1313</v>
      </c>
      <c r="K1386">
        <v>0.98</v>
      </c>
      <c r="L1386">
        <v>0</v>
      </c>
      <c r="M1386">
        <v>0</v>
      </c>
    </row>
    <row r="1387" spans="1:13">
      <c r="A1387" s="28">
        <v>47560</v>
      </c>
      <c r="B1387" t="s">
        <v>1527</v>
      </c>
      <c r="C1387">
        <v>28600</v>
      </c>
      <c r="D1387">
        <v>-2500</v>
      </c>
      <c r="E1387">
        <v>-8.0399999999999991</v>
      </c>
      <c r="F1387" t="s">
        <v>397</v>
      </c>
      <c r="G1387" t="s">
        <v>397</v>
      </c>
      <c r="H1387" t="s">
        <v>397</v>
      </c>
      <c r="I1387" t="s">
        <v>397</v>
      </c>
      <c r="J1387">
        <v>5228</v>
      </c>
      <c r="K1387">
        <v>5.47</v>
      </c>
      <c r="L1387">
        <v>0</v>
      </c>
      <c r="M1387">
        <v>0</v>
      </c>
    </row>
    <row r="1388" spans="1:13">
      <c r="A1388" s="28">
        <v>15020</v>
      </c>
      <c r="B1388" t="s">
        <v>1528</v>
      </c>
      <c r="C1388">
        <v>706</v>
      </c>
      <c r="D1388">
        <v>1</v>
      </c>
      <c r="E1388">
        <v>0.14000000000000001</v>
      </c>
      <c r="F1388" t="s">
        <v>397</v>
      </c>
      <c r="G1388" t="s">
        <v>397</v>
      </c>
      <c r="H1388" t="s">
        <v>397</v>
      </c>
      <c r="I1388" t="s">
        <v>397</v>
      </c>
      <c r="J1388">
        <v>1165</v>
      </c>
      <c r="K1388">
        <v>0.61</v>
      </c>
      <c r="L1388">
        <v>0</v>
      </c>
      <c r="M1388">
        <v>0</v>
      </c>
    </row>
    <row r="1389" spans="1:13">
      <c r="A1389" s="28">
        <v>33340</v>
      </c>
      <c r="B1389" t="s">
        <v>1529</v>
      </c>
      <c r="C1389">
        <v>2110</v>
      </c>
      <c r="D1389">
        <v>0</v>
      </c>
      <c r="E1389">
        <v>0</v>
      </c>
      <c r="F1389" t="s">
        <v>397</v>
      </c>
      <c r="G1389" t="s">
        <v>397</v>
      </c>
      <c r="H1389" t="s">
        <v>397</v>
      </c>
      <c r="I1389" t="s">
        <v>397</v>
      </c>
      <c r="J1389">
        <v>553</v>
      </c>
      <c r="K1389">
        <v>3.82</v>
      </c>
      <c r="L1389">
        <v>0</v>
      </c>
      <c r="M1389">
        <v>0</v>
      </c>
    </row>
    <row r="1390" spans="1:13">
      <c r="A1390" s="28">
        <v>60310</v>
      </c>
      <c r="B1390" t="s">
        <v>1530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397</v>
      </c>
      <c r="I1390" t="s">
        <v>397</v>
      </c>
      <c r="J1390">
        <v>947</v>
      </c>
      <c r="K1390">
        <v>3.05</v>
      </c>
      <c r="L1390">
        <v>0</v>
      </c>
      <c r="M1390">
        <v>0</v>
      </c>
    </row>
    <row r="1391" spans="1:13">
      <c r="A1391" s="28">
        <v>109070</v>
      </c>
      <c r="B1391" t="s">
        <v>1531</v>
      </c>
      <c r="C1391">
        <v>4100</v>
      </c>
      <c r="D1391">
        <v>0</v>
      </c>
      <c r="E1391">
        <v>0</v>
      </c>
      <c r="F1391" t="s">
        <v>397</v>
      </c>
      <c r="G1391" t="s">
        <v>397</v>
      </c>
      <c r="H1391" t="s">
        <v>397</v>
      </c>
      <c r="I1391" t="s">
        <v>397</v>
      </c>
      <c r="J1391">
        <v>402</v>
      </c>
      <c r="K1391">
        <v>10.199999999999999</v>
      </c>
      <c r="L1391">
        <v>0</v>
      </c>
      <c r="M1391">
        <v>0</v>
      </c>
    </row>
    <row r="1392" spans="1:13">
      <c r="A1392" s="28">
        <v>147760</v>
      </c>
      <c r="B1392" t="s">
        <v>1532</v>
      </c>
      <c r="C1392">
        <v>6680</v>
      </c>
      <c r="D1392">
        <v>0</v>
      </c>
      <c r="E1392">
        <v>0</v>
      </c>
      <c r="F1392" t="s">
        <v>397</v>
      </c>
      <c r="G1392" t="s">
        <v>397</v>
      </c>
      <c r="H1392" t="s">
        <v>397</v>
      </c>
      <c r="I1392" t="s">
        <v>397</v>
      </c>
      <c r="J1392">
        <v>4896</v>
      </c>
      <c r="K1392">
        <v>1.36</v>
      </c>
      <c r="L1392">
        <v>0</v>
      </c>
      <c r="M1392">
        <v>0</v>
      </c>
    </row>
    <row r="1393" spans="1:13">
      <c r="A1393" s="28">
        <v>446750</v>
      </c>
      <c r="B1393" t="s">
        <v>1533</v>
      </c>
      <c r="C1393">
        <v>2135</v>
      </c>
      <c r="D1393">
        <v>5</v>
      </c>
      <c r="E1393">
        <v>0.23</v>
      </c>
      <c r="F1393" t="s">
        <v>397</v>
      </c>
      <c r="G1393" t="s">
        <v>397</v>
      </c>
      <c r="H1393" t="s">
        <v>397</v>
      </c>
      <c r="I1393" t="s">
        <v>397</v>
      </c>
      <c r="J1393" t="s">
        <v>397</v>
      </c>
      <c r="K1393" t="s">
        <v>397</v>
      </c>
      <c r="L1393">
        <v>0</v>
      </c>
      <c r="M1393">
        <v>0</v>
      </c>
    </row>
    <row r="1394" spans="1:13">
      <c r="A1394" s="28">
        <v>417180</v>
      </c>
      <c r="B1394" t="s">
        <v>1534</v>
      </c>
      <c r="C1394">
        <v>3735</v>
      </c>
      <c r="D1394">
        <v>85</v>
      </c>
      <c r="E1394">
        <v>2.33</v>
      </c>
      <c r="F1394" t="s">
        <v>397</v>
      </c>
      <c r="G1394" t="s">
        <v>397</v>
      </c>
      <c r="H1394" t="s">
        <v>397</v>
      </c>
      <c r="I1394" t="s">
        <v>397</v>
      </c>
      <c r="J1394">
        <v>1083</v>
      </c>
      <c r="K1394">
        <v>3.45</v>
      </c>
      <c r="L1394">
        <v>0</v>
      </c>
      <c r="M1394">
        <v>0</v>
      </c>
    </row>
    <row r="1395" spans="1:13">
      <c r="A1395" s="28">
        <v>347770</v>
      </c>
      <c r="B1395" t="s">
        <v>1535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397</v>
      </c>
      <c r="I1395" t="s">
        <v>397</v>
      </c>
      <c r="J1395">
        <v>2476</v>
      </c>
      <c r="K1395">
        <v>1.6</v>
      </c>
      <c r="L1395">
        <v>0</v>
      </c>
      <c r="M1395">
        <v>0</v>
      </c>
    </row>
    <row r="1396" spans="1:13">
      <c r="A1396" s="28">
        <v>378340</v>
      </c>
      <c r="B1396" t="s">
        <v>1536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397</v>
      </c>
      <c r="I1396" t="s">
        <v>397</v>
      </c>
      <c r="J1396">
        <v>1637</v>
      </c>
      <c r="K1396">
        <v>17.350000000000001</v>
      </c>
      <c r="L1396">
        <v>0</v>
      </c>
      <c r="M1396">
        <v>0</v>
      </c>
    </row>
    <row r="1397" spans="1:13">
      <c r="A1397" s="28">
        <v>291810</v>
      </c>
      <c r="B1397" t="s">
        <v>1537</v>
      </c>
      <c r="C1397">
        <v>3595</v>
      </c>
      <c r="D1397">
        <v>-20</v>
      </c>
      <c r="E1397">
        <v>-0.55000000000000004</v>
      </c>
      <c r="F1397" t="s">
        <v>397</v>
      </c>
      <c r="G1397" t="s">
        <v>397</v>
      </c>
      <c r="H1397" t="s">
        <v>397</v>
      </c>
      <c r="I1397" t="s">
        <v>397</v>
      </c>
      <c r="J1397">
        <v>1915</v>
      </c>
      <c r="K1397">
        <v>1.88</v>
      </c>
      <c r="L1397">
        <v>0</v>
      </c>
      <c r="M1397">
        <v>0</v>
      </c>
    </row>
    <row r="1398" spans="1:13">
      <c r="A1398" s="28">
        <v>62970</v>
      </c>
      <c r="B1398" t="s">
        <v>1538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397</v>
      </c>
      <c r="I1398" t="s">
        <v>397</v>
      </c>
      <c r="J1398">
        <v>513</v>
      </c>
      <c r="K1398">
        <v>3.42</v>
      </c>
      <c r="L1398">
        <v>0</v>
      </c>
      <c r="M1398">
        <v>0</v>
      </c>
    </row>
    <row r="1399" spans="1:13">
      <c r="A1399" s="28">
        <v>304840</v>
      </c>
      <c r="B1399" t="s">
        <v>1539</v>
      </c>
      <c r="C1399">
        <v>2945</v>
      </c>
      <c r="D1399">
        <v>-15</v>
      </c>
      <c r="E1399">
        <v>-0.51</v>
      </c>
      <c r="F1399" t="s">
        <v>397</v>
      </c>
      <c r="G1399" t="s">
        <v>397</v>
      </c>
      <c r="H1399" t="s">
        <v>397</v>
      </c>
      <c r="I1399" t="s">
        <v>397</v>
      </c>
      <c r="J1399">
        <v>264</v>
      </c>
      <c r="K1399">
        <v>11.16</v>
      </c>
      <c r="L1399">
        <v>0</v>
      </c>
      <c r="M1399">
        <v>0</v>
      </c>
    </row>
    <row r="1400" spans="1:13">
      <c r="A1400" s="28">
        <v>376180</v>
      </c>
      <c r="B1400" t="s">
        <v>1540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397</v>
      </c>
      <c r="I1400" t="s">
        <v>397</v>
      </c>
      <c r="J1400">
        <v>1716</v>
      </c>
      <c r="K1400">
        <v>2.33</v>
      </c>
      <c r="L1400">
        <v>0</v>
      </c>
      <c r="M1400">
        <v>0</v>
      </c>
    </row>
    <row r="1401" spans="1:13">
      <c r="A1401" s="28">
        <v>257370</v>
      </c>
      <c r="B1401" t="s">
        <v>1541</v>
      </c>
      <c r="C1401">
        <v>9210</v>
      </c>
      <c r="D1401">
        <v>0</v>
      </c>
      <c r="E1401">
        <v>0</v>
      </c>
      <c r="F1401" t="s">
        <v>397</v>
      </c>
      <c r="G1401" t="s">
        <v>397</v>
      </c>
      <c r="H1401" t="s">
        <v>397</v>
      </c>
      <c r="I1401" t="s">
        <v>397</v>
      </c>
      <c r="J1401">
        <v>2120</v>
      </c>
      <c r="K1401">
        <v>4.34</v>
      </c>
      <c r="L1401">
        <v>0</v>
      </c>
      <c r="M1401">
        <v>0</v>
      </c>
    </row>
    <row r="1402" spans="1:13">
      <c r="A1402" s="28">
        <v>454750</v>
      </c>
      <c r="B1402" t="s">
        <v>1542</v>
      </c>
      <c r="C1402">
        <v>2110</v>
      </c>
      <c r="D1402">
        <v>5</v>
      </c>
      <c r="E1402">
        <v>0.24</v>
      </c>
      <c r="F1402" t="s">
        <v>397</v>
      </c>
      <c r="G1402" t="s">
        <v>397</v>
      </c>
      <c r="H1402" t="s">
        <v>397</v>
      </c>
      <c r="I1402" t="s">
        <v>397</v>
      </c>
      <c r="J1402" t="s">
        <v>397</v>
      </c>
      <c r="K1402" t="s">
        <v>397</v>
      </c>
      <c r="L1402">
        <v>0</v>
      </c>
      <c r="M1402">
        <v>0</v>
      </c>
    </row>
    <row r="1403" spans="1:13">
      <c r="A1403" s="28">
        <v>239890</v>
      </c>
      <c r="B1403" t="s">
        <v>1543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>
      <c r="A1404" s="28">
        <v>57880</v>
      </c>
      <c r="B1404" t="s">
        <v>1544</v>
      </c>
      <c r="C1404">
        <v>17570</v>
      </c>
      <c r="D1404">
        <v>0</v>
      </c>
      <c r="E1404">
        <v>0</v>
      </c>
      <c r="F1404" t="s">
        <v>397</v>
      </c>
      <c r="G1404" t="s">
        <v>397</v>
      </c>
      <c r="H1404" t="s">
        <v>397</v>
      </c>
      <c r="I1404" t="s">
        <v>397</v>
      </c>
      <c r="J1404">
        <v>1616</v>
      </c>
      <c r="K1404">
        <v>10.87</v>
      </c>
      <c r="L1404">
        <v>0</v>
      </c>
      <c r="M1404">
        <v>0</v>
      </c>
    </row>
    <row r="1405" spans="1:13">
      <c r="A1405" s="28">
        <v>237750</v>
      </c>
      <c r="B1405" t="s">
        <v>1545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397</v>
      </c>
      <c r="I1405" t="s">
        <v>397</v>
      </c>
      <c r="J1405">
        <v>10577</v>
      </c>
      <c r="K1405">
        <v>0.51</v>
      </c>
      <c r="L1405">
        <v>0</v>
      </c>
      <c r="M1405">
        <v>0</v>
      </c>
    </row>
    <row r="1406" spans="1:13">
      <c r="A1406" s="28">
        <v>241820</v>
      </c>
      <c r="B1406" t="s">
        <v>1546</v>
      </c>
      <c r="C1406">
        <v>1324</v>
      </c>
      <c r="D1406">
        <v>-31</v>
      </c>
      <c r="E1406">
        <v>-2.29</v>
      </c>
      <c r="F1406" t="s">
        <v>397</v>
      </c>
      <c r="G1406" t="s">
        <v>397</v>
      </c>
      <c r="H1406" t="s">
        <v>397</v>
      </c>
      <c r="I1406" t="s">
        <v>397</v>
      </c>
      <c r="J1406">
        <v>786</v>
      </c>
      <c r="K1406">
        <v>1.68</v>
      </c>
      <c r="L1406">
        <v>0</v>
      </c>
      <c r="M1406">
        <v>0</v>
      </c>
    </row>
    <row r="1407" spans="1:13">
      <c r="A1407" s="28">
        <v>32580</v>
      </c>
      <c r="B1407" t="s">
        <v>1547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397</v>
      </c>
      <c r="I1407" t="s">
        <v>397</v>
      </c>
      <c r="J1407">
        <v>1482</v>
      </c>
      <c r="K1407">
        <v>1.06</v>
      </c>
      <c r="L1407">
        <v>0</v>
      </c>
      <c r="M1407">
        <v>0</v>
      </c>
    </row>
    <row r="1408" spans="1:13">
      <c r="A1408" s="28">
        <v>300080</v>
      </c>
      <c r="B1408" t="s">
        <v>1548</v>
      </c>
      <c r="C1408">
        <v>27500</v>
      </c>
      <c r="D1408">
        <v>-700</v>
      </c>
      <c r="E1408">
        <v>-2.48</v>
      </c>
      <c r="F1408" t="s">
        <v>397</v>
      </c>
      <c r="G1408" t="s">
        <v>397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>
      <c r="A1409" s="28">
        <v>23770</v>
      </c>
      <c r="B1409" t="s">
        <v>1549</v>
      </c>
      <c r="C1409">
        <v>5810</v>
      </c>
      <c r="D1409">
        <v>80</v>
      </c>
      <c r="E1409">
        <v>1.4</v>
      </c>
      <c r="F1409" t="s">
        <v>397</v>
      </c>
      <c r="G1409" t="s">
        <v>397</v>
      </c>
      <c r="H1409" t="s">
        <v>397</v>
      </c>
      <c r="I1409" t="s">
        <v>397</v>
      </c>
      <c r="J1409">
        <v>3213</v>
      </c>
      <c r="K1409">
        <v>1.81</v>
      </c>
      <c r="L1409">
        <v>0</v>
      </c>
      <c r="M1409">
        <v>0</v>
      </c>
    </row>
    <row r="1410" spans="1:13">
      <c r="A1410" s="28">
        <v>237820</v>
      </c>
      <c r="B1410" t="s">
        <v>1550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397</v>
      </c>
      <c r="I1410" t="s">
        <v>397</v>
      </c>
      <c r="J1410">
        <v>6161</v>
      </c>
      <c r="K1410">
        <v>1.2</v>
      </c>
      <c r="L1410">
        <v>0</v>
      </c>
      <c r="M1410">
        <v>0</v>
      </c>
    </row>
    <row r="1411" spans="1:13">
      <c r="A1411" s="28">
        <v>448370</v>
      </c>
      <c r="B1411" t="s">
        <v>1551</v>
      </c>
      <c r="C1411">
        <v>2150</v>
      </c>
      <c r="D1411">
        <v>5</v>
      </c>
      <c r="E1411">
        <v>0.23</v>
      </c>
      <c r="F1411" t="s">
        <v>397</v>
      </c>
      <c r="G1411" t="s">
        <v>397</v>
      </c>
      <c r="H1411" t="s">
        <v>397</v>
      </c>
      <c r="I1411" t="s">
        <v>397</v>
      </c>
      <c r="J1411" t="s">
        <v>397</v>
      </c>
      <c r="K1411" t="s">
        <v>397</v>
      </c>
      <c r="L1411">
        <v>0</v>
      </c>
      <c r="M1411">
        <v>0</v>
      </c>
    </row>
    <row r="1412" spans="1:13">
      <c r="A1412" s="28">
        <v>454640</v>
      </c>
      <c r="B1412" t="s">
        <v>1552</v>
      </c>
      <c r="C1412">
        <v>2180</v>
      </c>
      <c r="D1412">
        <v>5</v>
      </c>
      <c r="E1412">
        <v>0.23</v>
      </c>
      <c r="F1412" t="s">
        <v>397</v>
      </c>
      <c r="G1412" t="s">
        <v>397</v>
      </c>
      <c r="H1412" t="s">
        <v>397</v>
      </c>
      <c r="I1412" t="s">
        <v>397</v>
      </c>
      <c r="J1412" t="s">
        <v>397</v>
      </c>
      <c r="K1412" t="s">
        <v>397</v>
      </c>
      <c r="L1412">
        <v>0</v>
      </c>
      <c r="M1412">
        <v>0</v>
      </c>
    </row>
    <row r="1413" spans="1:13">
      <c r="A1413" s="28">
        <v>367000</v>
      </c>
      <c r="B1413" t="s">
        <v>1553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397</v>
      </c>
      <c r="I1413" t="s">
        <v>397</v>
      </c>
      <c r="J1413">
        <v>5752</v>
      </c>
      <c r="K1413">
        <v>1.36</v>
      </c>
      <c r="L1413">
        <v>0</v>
      </c>
      <c r="M1413">
        <v>0</v>
      </c>
    </row>
    <row r="1414" spans="1:13">
      <c r="A1414" s="28">
        <v>149980</v>
      </c>
      <c r="B1414" t="s">
        <v>1554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397</v>
      </c>
      <c r="I1414" t="s">
        <v>397</v>
      </c>
      <c r="J1414">
        <v>3715</v>
      </c>
      <c r="K1414">
        <v>1.98</v>
      </c>
      <c r="L1414">
        <v>0</v>
      </c>
      <c r="M1414">
        <v>0</v>
      </c>
    </row>
    <row r="1415" spans="1:13">
      <c r="A1415" s="28">
        <v>5430</v>
      </c>
      <c r="B1415" t="s">
        <v>1555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397</v>
      </c>
      <c r="I1415" t="s">
        <v>397</v>
      </c>
      <c r="J1415">
        <v>110940</v>
      </c>
      <c r="K1415">
        <v>0.47</v>
      </c>
      <c r="L1415">
        <v>0</v>
      </c>
      <c r="M1415">
        <v>0</v>
      </c>
    </row>
    <row r="1416" spans="1:13">
      <c r="A1416" s="28">
        <v>36460</v>
      </c>
      <c r="B1416" t="s">
        <v>1556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>
      <c r="A1417" s="28">
        <v>19490</v>
      </c>
      <c r="B1417" t="s">
        <v>1557</v>
      </c>
      <c r="C1417">
        <v>981</v>
      </c>
      <c r="D1417">
        <v>10</v>
      </c>
      <c r="E1417">
        <v>1.03</v>
      </c>
      <c r="F1417" t="s">
        <v>397</v>
      </c>
      <c r="G1417" t="s">
        <v>397</v>
      </c>
      <c r="H1417" t="s">
        <v>397</v>
      </c>
      <c r="I1417" t="s">
        <v>397</v>
      </c>
      <c r="J1417">
        <v>1353</v>
      </c>
      <c r="K1417">
        <v>0.73</v>
      </c>
      <c r="L1417">
        <v>0</v>
      </c>
      <c r="M1417">
        <v>0</v>
      </c>
    </row>
    <row r="1418" spans="1:13">
      <c r="A1418" s="28">
        <v>221840</v>
      </c>
      <c r="B1418" t="s">
        <v>1558</v>
      </c>
      <c r="C1418">
        <v>2310</v>
      </c>
      <c r="D1418">
        <v>0</v>
      </c>
      <c r="E1418">
        <v>0</v>
      </c>
      <c r="F1418" t="s">
        <v>397</v>
      </c>
      <c r="G1418" t="s">
        <v>397</v>
      </c>
      <c r="H1418" t="s">
        <v>397</v>
      </c>
      <c r="I1418" t="s">
        <v>397</v>
      </c>
      <c r="J1418">
        <v>3108</v>
      </c>
      <c r="K1418">
        <v>0.74</v>
      </c>
      <c r="L1418">
        <v>0</v>
      </c>
      <c r="M1418">
        <v>0</v>
      </c>
    </row>
    <row r="1419" spans="1:13">
      <c r="A1419" s="28">
        <v>450050</v>
      </c>
      <c r="B1419" t="s">
        <v>1559</v>
      </c>
      <c r="C1419">
        <v>2145</v>
      </c>
      <c r="D1419">
        <v>0</v>
      </c>
      <c r="E1419">
        <v>0</v>
      </c>
      <c r="F1419" t="s">
        <v>397</v>
      </c>
      <c r="G1419" t="s">
        <v>397</v>
      </c>
      <c r="H1419" t="s">
        <v>397</v>
      </c>
      <c r="I1419" t="s">
        <v>397</v>
      </c>
      <c r="J1419" t="s">
        <v>397</v>
      </c>
      <c r="K1419" t="s">
        <v>397</v>
      </c>
      <c r="L1419">
        <v>0</v>
      </c>
      <c r="M1419">
        <v>0</v>
      </c>
    </row>
    <row r="1420" spans="1:13">
      <c r="A1420" s="28">
        <v>400840</v>
      </c>
      <c r="B1420" t="s">
        <v>1560</v>
      </c>
      <c r="C1420">
        <v>2100</v>
      </c>
      <c r="D1420">
        <v>5</v>
      </c>
      <c r="E1420">
        <v>0.24</v>
      </c>
      <c r="F1420" t="s">
        <v>397</v>
      </c>
      <c r="G1420" t="s">
        <v>397</v>
      </c>
      <c r="H1420" t="s">
        <v>397</v>
      </c>
      <c r="I1420" t="s">
        <v>397</v>
      </c>
      <c r="J1420" t="s">
        <v>397</v>
      </c>
      <c r="K1420" t="s">
        <v>397</v>
      </c>
      <c r="L1420">
        <v>0</v>
      </c>
      <c r="M1420">
        <v>0</v>
      </c>
    </row>
    <row r="1421" spans="1:13">
      <c r="A1421" s="28">
        <v>106080</v>
      </c>
      <c r="B1421" t="s">
        <v>1561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397</v>
      </c>
      <c r="I1421" t="s">
        <v>397</v>
      </c>
      <c r="J1421">
        <v>1109</v>
      </c>
      <c r="K1421">
        <v>4.57</v>
      </c>
      <c r="L1421">
        <v>0</v>
      </c>
      <c r="M1421">
        <v>0</v>
      </c>
    </row>
    <row r="1422" spans="1:13">
      <c r="A1422" s="28">
        <v>352820</v>
      </c>
      <c r="B1422" t="s">
        <v>1562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>
      <c r="A1423" s="28">
        <v>365590</v>
      </c>
      <c r="B1423" t="s">
        <v>1563</v>
      </c>
      <c r="C1423">
        <v>1423</v>
      </c>
      <c r="D1423">
        <v>-18</v>
      </c>
      <c r="E1423">
        <v>-1.25</v>
      </c>
      <c r="F1423" t="s">
        <v>397</v>
      </c>
      <c r="G1423" t="s">
        <v>397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>
      <c r="A1424" s="28">
        <v>469880</v>
      </c>
      <c r="B1424" t="s">
        <v>1564</v>
      </c>
      <c r="C1424">
        <v>2065</v>
      </c>
      <c r="D1424">
        <v>10</v>
      </c>
      <c r="E1424">
        <v>0.49</v>
      </c>
      <c r="F1424" t="s">
        <v>397</v>
      </c>
      <c r="G1424" t="s">
        <v>397</v>
      </c>
      <c r="H1424" t="s">
        <v>397</v>
      </c>
      <c r="I1424" t="s">
        <v>397</v>
      </c>
      <c r="J1424" t="s">
        <v>397</v>
      </c>
      <c r="K1424" t="s">
        <v>397</v>
      </c>
      <c r="L1424">
        <v>0</v>
      </c>
      <c r="M1424">
        <v>0</v>
      </c>
    </row>
    <row r="1425" spans="1:13">
      <c r="A1425" s="28">
        <v>101670</v>
      </c>
      <c r="B1425" t="s">
        <v>1565</v>
      </c>
      <c r="C1425">
        <v>6190</v>
      </c>
      <c r="D1425">
        <v>-80</v>
      </c>
      <c r="E1425">
        <v>-1.28</v>
      </c>
      <c r="F1425" t="s">
        <v>397</v>
      </c>
      <c r="G1425" t="s">
        <v>397</v>
      </c>
      <c r="H1425" t="s">
        <v>397</v>
      </c>
      <c r="I1425" t="s">
        <v>397</v>
      </c>
      <c r="J1425">
        <v>2675</v>
      </c>
      <c r="K1425">
        <v>2.31</v>
      </c>
      <c r="L1425">
        <v>0</v>
      </c>
      <c r="M1425">
        <v>0</v>
      </c>
    </row>
    <row r="1426" spans="1:13">
      <c r="A1426" s="28">
        <v>39130</v>
      </c>
      <c r="B1426" t="s">
        <v>1566</v>
      </c>
      <c r="C1426">
        <v>67500</v>
      </c>
      <c r="D1426">
        <v>1100</v>
      </c>
      <c r="E1426">
        <v>1.66</v>
      </c>
      <c r="F1426" t="s">
        <v>397</v>
      </c>
      <c r="G1426" t="s">
        <v>397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>
      <c r="A1427" s="28">
        <v>299030</v>
      </c>
      <c r="B1427" t="s">
        <v>1567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397</v>
      </c>
      <c r="I1427" t="s">
        <v>397</v>
      </c>
      <c r="J1427">
        <v>9997</v>
      </c>
      <c r="K1427">
        <v>6.35</v>
      </c>
      <c r="L1427">
        <v>0</v>
      </c>
      <c r="M1427">
        <v>0</v>
      </c>
    </row>
    <row r="1428" spans="1:13">
      <c r="A1428" s="28">
        <v>435620</v>
      </c>
      <c r="B1428" t="s">
        <v>1568</v>
      </c>
      <c r="C1428">
        <v>9760</v>
      </c>
      <c r="D1428">
        <v>20</v>
      </c>
      <c r="E1428">
        <v>0.21</v>
      </c>
      <c r="F1428" t="s">
        <v>397</v>
      </c>
      <c r="G1428" t="s">
        <v>397</v>
      </c>
      <c r="H1428" t="s">
        <v>397</v>
      </c>
      <c r="I1428" t="s">
        <v>397</v>
      </c>
      <c r="J1428" t="s">
        <v>397</v>
      </c>
      <c r="K1428" t="s">
        <v>397</v>
      </c>
      <c r="L1428">
        <v>0</v>
      </c>
      <c r="M1428">
        <v>0</v>
      </c>
    </row>
    <row r="1429" spans="1:13">
      <c r="A1429" s="28">
        <v>430230</v>
      </c>
      <c r="B1429" t="s">
        <v>1569</v>
      </c>
      <c r="C1429">
        <v>2360</v>
      </c>
      <c r="D1429">
        <v>0</v>
      </c>
      <c r="E1429">
        <v>0</v>
      </c>
      <c r="F1429" t="s">
        <v>397</v>
      </c>
      <c r="G1429" t="s">
        <v>397</v>
      </c>
      <c r="H1429" t="s">
        <v>397</v>
      </c>
      <c r="I1429" t="s">
        <v>397</v>
      </c>
      <c r="J1429" t="s">
        <v>397</v>
      </c>
      <c r="K1429" t="s">
        <v>397</v>
      </c>
      <c r="L1429">
        <v>0</v>
      </c>
      <c r="M1429">
        <v>0</v>
      </c>
    </row>
    <row r="1430" spans="1:13">
      <c r="A1430" s="28">
        <v>418170</v>
      </c>
      <c r="B1430" t="s">
        <v>1570</v>
      </c>
      <c r="C1430">
        <v>2180</v>
      </c>
      <c r="D1430">
        <v>10</v>
      </c>
      <c r="E1430">
        <v>0.46</v>
      </c>
      <c r="F1430" t="s">
        <v>397</v>
      </c>
      <c r="G1430" t="s">
        <v>397</v>
      </c>
      <c r="H1430" t="s">
        <v>397</v>
      </c>
      <c r="I1430" t="s">
        <v>397</v>
      </c>
      <c r="J1430" t="s">
        <v>397</v>
      </c>
      <c r="K1430" t="s">
        <v>397</v>
      </c>
      <c r="L1430">
        <v>0</v>
      </c>
      <c r="M1430">
        <v>0</v>
      </c>
    </row>
    <row r="1431" spans="1:13">
      <c r="A1431" s="28">
        <v>406760</v>
      </c>
      <c r="B1431" t="s">
        <v>1571</v>
      </c>
      <c r="C1431">
        <v>2135</v>
      </c>
      <c r="D1431">
        <v>0</v>
      </c>
      <c r="E1431">
        <v>0</v>
      </c>
      <c r="F1431" t="s">
        <v>397</v>
      </c>
      <c r="G1431" t="s">
        <v>397</v>
      </c>
      <c r="H1431" t="s">
        <v>397</v>
      </c>
      <c r="I1431" t="s">
        <v>397</v>
      </c>
      <c r="J1431" t="s">
        <v>397</v>
      </c>
      <c r="K1431" t="s">
        <v>397</v>
      </c>
      <c r="L1431">
        <v>0</v>
      </c>
      <c r="M1431">
        <v>0</v>
      </c>
    </row>
    <row r="1432" spans="1:13">
      <c r="A1432" s="28">
        <v>469900</v>
      </c>
      <c r="B1432" t="s">
        <v>1572</v>
      </c>
      <c r="C1432">
        <v>2075</v>
      </c>
      <c r="D1432">
        <v>25</v>
      </c>
      <c r="E1432">
        <v>1.22</v>
      </c>
      <c r="F1432" t="s">
        <v>397</v>
      </c>
      <c r="G1432" t="s">
        <v>397</v>
      </c>
      <c r="H1432" t="s">
        <v>397</v>
      </c>
      <c r="I1432" t="s">
        <v>397</v>
      </c>
      <c r="J1432" t="s">
        <v>397</v>
      </c>
      <c r="K1432" t="s">
        <v>397</v>
      </c>
      <c r="L1432">
        <v>0</v>
      </c>
      <c r="M1432">
        <v>0</v>
      </c>
    </row>
    <row r="1433" spans="1:13">
      <c r="A1433" s="28">
        <v>9810</v>
      </c>
      <c r="B1433" t="s">
        <v>1573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397</v>
      </c>
      <c r="I1433" t="s">
        <v>397</v>
      </c>
      <c r="J1433">
        <v>685</v>
      </c>
      <c r="K1433">
        <v>0.83</v>
      </c>
      <c r="L1433">
        <v>0</v>
      </c>
      <c r="M1433">
        <v>0</v>
      </c>
    </row>
    <row r="1434" spans="1:13">
      <c r="A1434" s="28">
        <v>41590</v>
      </c>
      <c r="B1434" t="s">
        <v>1574</v>
      </c>
      <c r="C1434">
        <v>1128</v>
      </c>
      <c r="D1434">
        <v>-222</v>
      </c>
      <c r="E1434">
        <v>-16.440000000000001</v>
      </c>
      <c r="F1434" t="s">
        <v>397</v>
      </c>
      <c r="G1434" t="s">
        <v>397</v>
      </c>
      <c r="H1434" t="s">
        <v>397</v>
      </c>
      <c r="I1434" t="s">
        <v>397</v>
      </c>
      <c r="J1434">
        <v>555</v>
      </c>
      <c r="K1434">
        <v>2.0299999999999998</v>
      </c>
      <c r="L1434">
        <v>0</v>
      </c>
      <c r="M1434">
        <v>0</v>
      </c>
    </row>
    <row r="1435" spans="1:13">
      <c r="A1435" s="28">
        <v>256840</v>
      </c>
      <c r="B1435" t="s">
        <v>1575</v>
      </c>
      <c r="C1435">
        <v>7150</v>
      </c>
      <c r="D1435">
        <v>460</v>
      </c>
      <c r="E1435">
        <v>6.88</v>
      </c>
      <c r="F1435" t="s">
        <v>397</v>
      </c>
      <c r="G1435" t="s">
        <v>397</v>
      </c>
      <c r="H1435" t="s">
        <v>397</v>
      </c>
      <c r="I1435" t="s">
        <v>397</v>
      </c>
      <c r="J1435">
        <v>2786</v>
      </c>
      <c r="K1435">
        <v>2.57</v>
      </c>
      <c r="L1435">
        <v>0</v>
      </c>
      <c r="M1435">
        <v>0</v>
      </c>
    </row>
    <row r="1436" spans="1:13">
      <c r="A1436" s="28">
        <v>131760</v>
      </c>
      <c r="B1436" t="s">
        <v>1576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397</v>
      </c>
      <c r="I1436" t="s">
        <v>397</v>
      </c>
      <c r="J1436">
        <v>810</v>
      </c>
      <c r="K1436">
        <v>1.08</v>
      </c>
      <c r="L1436">
        <v>0</v>
      </c>
      <c r="M1436">
        <v>0</v>
      </c>
    </row>
    <row r="1437" spans="1:13">
      <c r="A1437" s="28">
        <v>271830</v>
      </c>
      <c r="B1437" t="s">
        <v>1577</v>
      </c>
      <c r="C1437">
        <v>3365</v>
      </c>
      <c r="D1437">
        <v>-35</v>
      </c>
      <c r="E1437">
        <v>-1.03</v>
      </c>
      <c r="F1437" t="s">
        <v>397</v>
      </c>
      <c r="G1437" t="s">
        <v>397</v>
      </c>
      <c r="H1437" t="s">
        <v>397</v>
      </c>
      <c r="I1437" t="s">
        <v>397</v>
      </c>
      <c r="J1437" t="s">
        <v>397</v>
      </c>
      <c r="K1437" t="s">
        <v>397</v>
      </c>
      <c r="L1437">
        <v>0</v>
      </c>
      <c r="M1437">
        <v>0</v>
      </c>
    </row>
    <row r="1438" spans="1:13">
      <c r="A1438" s="28">
        <v>222110</v>
      </c>
      <c r="B1438" t="s">
        <v>1578</v>
      </c>
      <c r="C1438">
        <v>6130</v>
      </c>
      <c r="D1438">
        <v>-80</v>
      </c>
      <c r="E1438">
        <v>-1.29</v>
      </c>
      <c r="F1438" t="s">
        <v>397</v>
      </c>
      <c r="G1438" t="s">
        <v>397</v>
      </c>
      <c r="H1438" t="s">
        <v>397</v>
      </c>
      <c r="I1438" t="s">
        <v>397</v>
      </c>
      <c r="J1438">
        <v>1613</v>
      </c>
      <c r="K1438">
        <v>3.8</v>
      </c>
      <c r="L1438">
        <v>0</v>
      </c>
      <c r="M1438">
        <v>0</v>
      </c>
    </row>
    <row r="1439" spans="1:13">
      <c r="A1439" s="28">
        <v>68050</v>
      </c>
      <c r="B1439" t="s">
        <v>1579</v>
      </c>
      <c r="C1439">
        <v>2975</v>
      </c>
      <c r="D1439">
        <v>-35</v>
      </c>
      <c r="E1439">
        <v>-1.1599999999999999</v>
      </c>
      <c r="F1439" t="s">
        <v>397</v>
      </c>
      <c r="G1439" t="s">
        <v>397</v>
      </c>
      <c r="H1439" t="s">
        <v>397</v>
      </c>
      <c r="I1439" t="s">
        <v>397</v>
      </c>
      <c r="J1439">
        <v>2656</v>
      </c>
      <c r="K1439">
        <v>1.1200000000000001</v>
      </c>
      <c r="L1439">
        <v>0</v>
      </c>
      <c r="M1439">
        <v>0</v>
      </c>
    </row>
    <row r="1440" spans="1:13">
      <c r="A1440" s="28">
        <v>54300</v>
      </c>
      <c r="B1440" t="s">
        <v>1580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397</v>
      </c>
      <c r="I1440" t="s">
        <v>397</v>
      </c>
      <c r="J1440">
        <v>804</v>
      </c>
      <c r="K1440">
        <v>0.85</v>
      </c>
      <c r="L1440">
        <v>0</v>
      </c>
      <c r="M1440">
        <v>0</v>
      </c>
    </row>
    <row r="1441" spans="1:13">
      <c r="A1441" s="28">
        <v>225590</v>
      </c>
      <c r="B1441" t="s">
        <v>1581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397</v>
      </c>
      <c r="I1441" t="s">
        <v>397</v>
      </c>
      <c r="J1441">
        <v>2612</v>
      </c>
      <c r="K1441">
        <v>0.41</v>
      </c>
      <c r="L1441">
        <v>0</v>
      </c>
      <c r="M1441">
        <v>0</v>
      </c>
    </row>
    <row r="1442" spans="1:13">
      <c r="A1442" s="28">
        <v>4720</v>
      </c>
      <c r="B1442" t="s">
        <v>1582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397</v>
      </c>
      <c r="I1442" t="s">
        <v>397</v>
      </c>
      <c r="J1442">
        <v>13118</v>
      </c>
      <c r="K1442">
        <v>0.43</v>
      </c>
      <c r="L1442">
        <v>0</v>
      </c>
      <c r="M1442">
        <v>0</v>
      </c>
    </row>
    <row r="1443" spans="1:13">
      <c r="A1443" s="28">
        <v>32800</v>
      </c>
      <c r="B1443" t="s">
        <v>1583</v>
      </c>
      <c r="C1443">
        <v>331</v>
      </c>
      <c r="D1443">
        <v>-27</v>
      </c>
      <c r="E1443">
        <v>-7.54</v>
      </c>
      <c r="F1443" t="s">
        <v>397</v>
      </c>
      <c r="G1443" t="s">
        <v>397</v>
      </c>
      <c r="H1443" t="s">
        <v>397</v>
      </c>
      <c r="I1443" t="s">
        <v>397</v>
      </c>
      <c r="J1443">
        <v>301</v>
      </c>
      <c r="K1443">
        <v>1.1000000000000001</v>
      </c>
      <c r="L1443">
        <v>0</v>
      </c>
      <c r="M1443">
        <v>0</v>
      </c>
    </row>
    <row r="1444" spans="1:13">
      <c r="A1444" s="28">
        <v>65690</v>
      </c>
      <c r="B1444" t="s">
        <v>1584</v>
      </c>
      <c r="C1444">
        <v>1218</v>
      </c>
      <c r="D1444">
        <v>13</v>
      </c>
      <c r="E1444">
        <v>1.08</v>
      </c>
      <c r="F1444" t="s">
        <v>397</v>
      </c>
      <c r="G1444" t="s">
        <v>397</v>
      </c>
      <c r="H1444" t="s">
        <v>397</v>
      </c>
      <c r="I1444" t="s">
        <v>397</v>
      </c>
      <c r="J1444">
        <v>5017</v>
      </c>
      <c r="K1444">
        <v>0.24</v>
      </c>
      <c r="L1444">
        <v>0</v>
      </c>
      <c r="M1444">
        <v>0</v>
      </c>
    </row>
    <row r="1445" spans="1:13">
      <c r="A1445" s="28">
        <v>106240</v>
      </c>
      <c r="B1445" t="s">
        <v>1585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397</v>
      </c>
      <c r="I1445" t="s">
        <v>397</v>
      </c>
      <c r="J1445">
        <v>5583</v>
      </c>
      <c r="K1445">
        <v>0.27</v>
      </c>
      <c r="L1445">
        <v>0</v>
      </c>
      <c r="M1445">
        <v>0</v>
      </c>
    </row>
    <row r="1446" spans="1:13">
      <c r="A1446" s="28">
        <v>263750</v>
      </c>
      <c r="B1446" t="s">
        <v>1586</v>
      </c>
      <c r="C1446">
        <v>28850</v>
      </c>
      <c r="D1446">
        <v>-400</v>
      </c>
      <c r="E1446">
        <v>-1.37</v>
      </c>
      <c r="F1446" t="s">
        <v>397</v>
      </c>
      <c r="G1446" t="s">
        <v>397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>
      <c r="A1447" s="28">
        <v>441270</v>
      </c>
      <c r="B1447" t="s">
        <v>1587</v>
      </c>
      <c r="C1447">
        <v>9290</v>
      </c>
      <c r="D1447">
        <v>-190</v>
      </c>
      <c r="E1447">
        <v>-2</v>
      </c>
      <c r="F1447" t="s">
        <v>397</v>
      </c>
      <c r="G1447" t="s">
        <v>397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>
      <c r="A1448" s="28">
        <v>49120</v>
      </c>
      <c r="B1448" t="s">
        <v>1588</v>
      </c>
      <c r="C1448">
        <v>1326</v>
      </c>
      <c r="D1448">
        <v>14</v>
      </c>
      <c r="E1448">
        <v>1.07</v>
      </c>
      <c r="F1448" t="s">
        <v>397</v>
      </c>
      <c r="G1448" t="s">
        <v>397</v>
      </c>
      <c r="H1448" t="s">
        <v>397</v>
      </c>
      <c r="I1448" t="s">
        <v>397</v>
      </c>
      <c r="J1448">
        <v>905</v>
      </c>
      <c r="K1448">
        <v>1.47</v>
      </c>
      <c r="L1448">
        <v>0</v>
      </c>
      <c r="M1448">
        <v>0</v>
      </c>
    </row>
    <row r="1449" spans="1:13">
      <c r="A1449" s="28">
        <v>368770</v>
      </c>
      <c r="B1449" t="s">
        <v>1589</v>
      </c>
      <c r="C1449">
        <v>3275</v>
      </c>
      <c r="D1449">
        <v>10</v>
      </c>
      <c r="E1449">
        <v>0.31</v>
      </c>
      <c r="F1449" t="s">
        <v>397</v>
      </c>
      <c r="G1449" t="s">
        <v>397</v>
      </c>
      <c r="H1449" t="s">
        <v>397</v>
      </c>
      <c r="I1449" t="s">
        <v>397</v>
      </c>
      <c r="J1449">
        <v>898</v>
      </c>
      <c r="K1449">
        <v>3.65</v>
      </c>
      <c r="L1449">
        <v>0</v>
      </c>
      <c r="M1449">
        <v>0</v>
      </c>
    </row>
    <row r="1450" spans="1:13">
      <c r="A1450" s="28">
        <v>47310</v>
      </c>
      <c r="B1450" t="s">
        <v>1590</v>
      </c>
      <c r="C1450">
        <v>9270</v>
      </c>
      <c r="D1450">
        <v>-110</v>
      </c>
      <c r="E1450">
        <v>-1.17</v>
      </c>
      <c r="F1450" t="s">
        <v>397</v>
      </c>
      <c r="G1450" t="s">
        <v>397</v>
      </c>
      <c r="H1450" t="s">
        <v>397</v>
      </c>
      <c r="I1450" t="s">
        <v>397</v>
      </c>
      <c r="J1450">
        <v>4861</v>
      </c>
      <c r="K1450">
        <v>1.91</v>
      </c>
      <c r="L1450">
        <v>0</v>
      </c>
      <c r="M1450">
        <v>0</v>
      </c>
    </row>
    <row r="1451" spans="1:13">
      <c r="A1451" s="28">
        <v>37030</v>
      </c>
      <c r="B1451" t="s">
        <v>1591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397</v>
      </c>
      <c r="I1451" t="s">
        <v>397</v>
      </c>
      <c r="J1451">
        <v>4665</v>
      </c>
      <c r="K1451">
        <v>0.61</v>
      </c>
      <c r="L1451">
        <v>0</v>
      </c>
      <c r="M1451">
        <v>0</v>
      </c>
    </row>
    <row r="1452" spans="1:13">
      <c r="A1452" s="28">
        <v>5690</v>
      </c>
      <c r="B1452" t="s">
        <v>1592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397</v>
      </c>
      <c r="I1452" t="s">
        <v>397</v>
      </c>
      <c r="J1452">
        <v>1328</v>
      </c>
      <c r="K1452">
        <v>4.4400000000000004</v>
      </c>
      <c r="L1452">
        <v>0</v>
      </c>
      <c r="M1452">
        <v>0</v>
      </c>
    </row>
    <row r="1453" spans="1:13">
      <c r="A1453" s="28">
        <v>208340</v>
      </c>
      <c r="B1453" t="s">
        <v>1593</v>
      </c>
      <c r="C1453">
        <v>2915</v>
      </c>
      <c r="D1453">
        <v>0</v>
      </c>
      <c r="E1453">
        <v>0</v>
      </c>
      <c r="F1453" t="s">
        <v>397</v>
      </c>
      <c r="G1453" t="s">
        <v>397</v>
      </c>
      <c r="H1453" t="s">
        <v>397</v>
      </c>
      <c r="I1453" t="s">
        <v>397</v>
      </c>
      <c r="J1453">
        <v>966</v>
      </c>
      <c r="K1453">
        <v>3.02</v>
      </c>
      <c r="L1453">
        <v>0</v>
      </c>
      <c r="M1453">
        <v>0</v>
      </c>
    </row>
    <row r="1454" spans="1:13">
      <c r="A1454" s="28">
        <v>43200</v>
      </c>
      <c r="B1454" t="s">
        <v>1594</v>
      </c>
      <c r="C1454">
        <v>642</v>
      </c>
      <c r="D1454">
        <v>31</v>
      </c>
      <c r="E1454">
        <v>5.07</v>
      </c>
      <c r="F1454" t="s">
        <v>397</v>
      </c>
      <c r="G1454" t="s">
        <v>397</v>
      </c>
      <c r="H1454" t="s">
        <v>397</v>
      </c>
      <c r="I1454" t="s">
        <v>397</v>
      </c>
      <c r="J1454">
        <v>564</v>
      </c>
      <c r="K1454">
        <v>1.1399999999999999</v>
      </c>
      <c r="L1454">
        <v>0</v>
      </c>
      <c r="M1454">
        <v>0</v>
      </c>
    </row>
    <row r="1455" spans="1:13">
      <c r="A1455" s="28">
        <v>10820</v>
      </c>
      <c r="B1455" t="s">
        <v>1595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397</v>
      </c>
      <c r="I1455" t="s">
        <v>397</v>
      </c>
      <c r="J1455">
        <v>1183</v>
      </c>
      <c r="K1455">
        <v>2.79</v>
      </c>
      <c r="L1455">
        <v>0</v>
      </c>
      <c r="M1455">
        <v>0</v>
      </c>
    </row>
    <row r="1456" spans="1:13">
      <c r="A1456" s="28">
        <v>1020</v>
      </c>
      <c r="B1456" t="s">
        <v>1596</v>
      </c>
      <c r="C1456">
        <v>888</v>
      </c>
      <c r="D1456">
        <v>-12</v>
      </c>
      <c r="E1456">
        <v>-1.33</v>
      </c>
      <c r="F1456" t="s">
        <v>397</v>
      </c>
      <c r="G1456" t="s">
        <v>397</v>
      </c>
      <c r="H1456" t="s">
        <v>397</v>
      </c>
      <c r="I1456" t="s">
        <v>397</v>
      </c>
      <c r="J1456">
        <v>1297</v>
      </c>
      <c r="K1456">
        <v>0.68</v>
      </c>
      <c r="L1456">
        <v>0</v>
      </c>
      <c r="M1456">
        <v>0</v>
      </c>
    </row>
    <row r="1457" spans="1:13">
      <c r="A1457" s="28">
        <v>405000</v>
      </c>
      <c r="B1457" t="s">
        <v>1597</v>
      </c>
      <c r="C1457">
        <v>2650</v>
      </c>
      <c r="D1457">
        <v>-120</v>
      </c>
      <c r="E1457">
        <v>-4.33</v>
      </c>
      <c r="F1457" t="s">
        <v>397</v>
      </c>
      <c r="G1457" t="s">
        <v>397</v>
      </c>
      <c r="H1457" t="s">
        <v>397</v>
      </c>
      <c r="I1457" t="s">
        <v>397</v>
      </c>
      <c r="J1457">
        <v>529</v>
      </c>
      <c r="K1457">
        <v>5.01</v>
      </c>
      <c r="L1457">
        <v>0</v>
      </c>
      <c r="M1457">
        <v>0</v>
      </c>
    </row>
    <row r="1458" spans="1:13">
      <c r="A1458" s="28">
        <v>114630</v>
      </c>
      <c r="B1458" t="s">
        <v>1598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397</v>
      </c>
      <c r="I1458" t="s">
        <v>397</v>
      </c>
      <c r="J1458">
        <v>1470</v>
      </c>
      <c r="K1458">
        <v>0.5</v>
      </c>
      <c r="L1458">
        <v>0</v>
      </c>
      <c r="M1458">
        <v>0</v>
      </c>
    </row>
    <row r="1459" spans="1:13">
      <c r="A1459" s="28">
        <v>335810</v>
      </c>
      <c r="B1459" t="s">
        <v>1599</v>
      </c>
      <c r="C1459">
        <v>4875</v>
      </c>
      <c r="D1459">
        <v>-55</v>
      </c>
      <c r="E1459">
        <v>-1.1200000000000001</v>
      </c>
      <c r="F1459" t="s">
        <v>397</v>
      </c>
      <c r="G1459" t="s">
        <v>397</v>
      </c>
      <c r="H1459" t="s">
        <v>397</v>
      </c>
      <c r="I1459" t="s">
        <v>397</v>
      </c>
      <c r="J1459">
        <v>2879</v>
      </c>
      <c r="K1459">
        <v>1.69</v>
      </c>
      <c r="L1459">
        <v>0</v>
      </c>
      <c r="M1459">
        <v>0</v>
      </c>
    </row>
    <row r="1460" spans="1:13">
      <c r="A1460" s="28">
        <v>377220</v>
      </c>
      <c r="B1460" t="s">
        <v>1600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397</v>
      </c>
      <c r="I1460" t="s">
        <v>397</v>
      </c>
      <c r="J1460">
        <v>3107</v>
      </c>
      <c r="K1460">
        <v>0.91</v>
      </c>
      <c r="L1460">
        <v>0</v>
      </c>
      <c r="M1460">
        <v>0</v>
      </c>
    </row>
    <row r="1461" spans="1:13">
      <c r="A1461" s="28">
        <v>303360</v>
      </c>
      <c r="B1461" t="s">
        <v>1601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397</v>
      </c>
      <c r="I1461" t="s">
        <v>397</v>
      </c>
      <c r="J1461">
        <v>1424</v>
      </c>
      <c r="K1461">
        <v>1.9</v>
      </c>
      <c r="L1461">
        <v>0</v>
      </c>
      <c r="M1461">
        <v>0</v>
      </c>
    </row>
    <row r="1462" spans="1:13">
      <c r="A1462" s="28">
        <v>334970</v>
      </c>
      <c r="B1462" t="s">
        <v>1602</v>
      </c>
      <c r="C1462">
        <v>4675</v>
      </c>
      <c r="D1462">
        <v>-115</v>
      </c>
      <c r="E1462">
        <v>-2.4</v>
      </c>
      <c r="F1462" t="s">
        <v>397</v>
      </c>
      <c r="G1462" t="s">
        <v>397</v>
      </c>
      <c r="H1462" t="s">
        <v>397</v>
      </c>
      <c r="I1462" t="s">
        <v>397</v>
      </c>
      <c r="J1462">
        <v>1633</v>
      </c>
      <c r="K1462">
        <v>2.86</v>
      </c>
      <c r="L1462">
        <v>0</v>
      </c>
      <c r="M1462">
        <v>0</v>
      </c>
    </row>
    <row r="1463" spans="1:13">
      <c r="A1463" s="28">
        <v>220100</v>
      </c>
      <c r="B1463" t="s">
        <v>1603</v>
      </c>
      <c r="C1463">
        <v>9540</v>
      </c>
      <c r="D1463">
        <v>-450</v>
      </c>
      <c r="E1463">
        <v>-4.5</v>
      </c>
      <c r="F1463" t="s">
        <v>397</v>
      </c>
      <c r="G1463" t="s">
        <v>397</v>
      </c>
      <c r="H1463" t="s">
        <v>397</v>
      </c>
      <c r="I1463" t="s">
        <v>397</v>
      </c>
      <c r="J1463">
        <v>3174</v>
      </c>
      <c r="K1463">
        <v>3.01</v>
      </c>
      <c r="L1463">
        <v>0</v>
      </c>
      <c r="M1463">
        <v>0</v>
      </c>
    </row>
    <row r="1464" spans="1:13">
      <c r="A1464" s="28">
        <v>445180</v>
      </c>
      <c r="B1464" t="s">
        <v>1604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>
      <c r="A1465" s="28">
        <v>370090</v>
      </c>
      <c r="B1465" t="s">
        <v>1605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>
      <c r="A1466" s="28">
        <v>371950</v>
      </c>
      <c r="B1466" t="s">
        <v>1606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397</v>
      </c>
      <c r="I1466" t="s">
        <v>397</v>
      </c>
      <c r="J1466">
        <v>3790</v>
      </c>
      <c r="K1466">
        <v>1.58</v>
      </c>
      <c r="L1466">
        <v>0</v>
      </c>
      <c r="M1466">
        <v>0</v>
      </c>
    </row>
    <row r="1467" spans="1:13">
      <c r="A1467" s="28">
        <v>41020</v>
      </c>
      <c r="B1467" t="s">
        <v>1607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397</v>
      </c>
      <c r="I1467" t="s">
        <v>397</v>
      </c>
      <c r="J1467">
        <v>1338</v>
      </c>
      <c r="K1467">
        <v>5.39</v>
      </c>
      <c r="L1467">
        <v>0</v>
      </c>
      <c r="M1467">
        <v>0</v>
      </c>
    </row>
    <row r="1468" spans="1:13">
      <c r="A1468" s="28">
        <v>168360</v>
      </c>
      <c r="B1468" t="s">
        <v>1608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>
      <c r="A1469" s="28">
        <v>234100</v>
      </c>
      <c r="B1469" t="s">
        <v>1609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397</v>
      </c>
      <c r="I1469" t="s">
        <v>397</v>
      </c>
      <c r="J1469">
        <v>2807</v>
      </c>
      <c r="K1469">
        <v>0.73</v>
      </c>
      <c r="L1469">
        <v>0</v>
      </c>
      <c r="M1469">
        <v>0</v>
      </c>
    </row>
    <row r="1470" spans="1:13">
      <c r="A1470" s="28">
        <v>39980</v>
      </c>
      <c r="B1470" t="s">
        <v>1610</v>
      </c>
      <c r="C1470">
        <v>2745</v>
      </c>
      <c r="D1470">
        <v>120</v>
      </c>
      <c r="E1470">
        <v>4.57</v>
      </c>
      <c r="F1470" t="s">
        <v>397</v>
      </c>
      <c r="G1470" t="s">
        <v>397</v>
      </c>
      <c r="H1470" t="s">
        <v>397</v>
      </c>
      <c r="I1470" t="s">
        <v>397</v>
      </c>
      <c r="J1470">
        <v>1554</v>
      </c>
      <c r="K1470">
        <v>1.77</v>
      </c>
      <c r="L1470">
        <v>0</v>
      </c>
      <c r="M1470">
        <v>0</v>
      </c>
    </row>
    <row r="1471" spans="1:13">
      <c r="A1471" s="28">
        <v>472850</v>
      </c>
      <c r="B1471" t="s">
        <v>1611</v>
      </c>
      <c r="C1471">
        <v>6220</v>
      </c>
      <c r="D1471">
        <v>-140</v>
      </c>
      <c r="E1471">
        <v>-2.2000000000000002</v>
      </c>
      <c r="F1471" t="s">
        <v>397</v>
      </c>
      <c r="G1471" t="s">
        <v>397</v>
      </c>
      <c r="H1471" t="s">
        <v>397</v>
      </c>
      <c r="I1471" t="s">
        <v>397</v>
      </c>
      <c r="J1471" t="s">
        <v>397</v>
      </c>
      <c r="K1471" t="s">
        <v>397</v>
      </c>
      <c r="L1471">
        <v>0</v>
      </c>
      <c r="M1471">
        <v>0</v>
      </c>
    </row>
    <row r="1472" spans="1:13">
      <c r="A1472" s="28">
        <v>318020</v>
      </c>
      <c r="B1472" t="s">
        <v>1612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397</v>
      </c>
      <c r="I1472" t="s">
        <v>397</v>
      </c>
      <c r="J1472">
        <v>3760</v>
      </c>
      <c r="K1472">
        <v>4.8099999999999996</v>
      </c>
      <c r="L1472">
        <v>0</v>
      </c>
      <c r="M1472">
        <v>0</v>
      </c>
    </row>
    <row r="1473" spans="1:13">
      <c r="A1473" s="28">
        <v>105760</v>
      </c>
      <c r="B1473" t="s">
        <v>1613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397</v>
      </c>
      <c r="I1473" t="s">
        <v>397</v>
      </c>
      <c r="J1473">
        <v>4223</v>
      </c>
      <c r="K1473">
        <v>3.32</v>
      </c>
      <c r="L1473">
        <v>0</v>
      </c>
      <c r="M1473">
        <v>0</v>
      </c>
    </row>
    <row r="1474" spans="1:13">
      <c r="A1474" s="28">
        <v>389140</v>
      </c>
      <c r="B1474" t="s">
        <v>1614</v>
      </c>
      <c r="C1474">
        <v>13860</v>
      </c>
      <c r="D1474">
        <v>-630</v>
      </c>
      <c r="E1474">
        <v>-4.3499999999999996</v>
      </c>
      <c r="F1474" t="s">
        <v>397</v>
      </c>
      <c r="G1474" t="s">
        <v>397</v>
      </c>
      <c r="H1474" t="s">
        <v>397</v>
      </c>
      <c r="I1474" t="s">
        <v>397</v>
      </c>
      <c r="J1474">
        <v>5491</v>
      </c>
      <c r="K1474">
        <v>2.52</v>
      </c>
      <c r="L1474">
        <v>0</v>
      </c>
      <c r="M1474">
        <v>0</v>
      </c>
    </row>
    <row r="1475" spans="1:13">
      <c r="A1475" s="28">
        <v>90080</v>
      </c>
      <c r="B1475" t="s">
        <v>1615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397</v>
      </c>
      <c r="I1475" t="s">
        <v>397</v>
      </c>
      <c r="J1475">
        <v>755</v>
      </c>
      <c r="K1475">
        <v>1.59</v>
      </c>
      <c r="L1475">
        <v>0</v>
      </c>
      <c r="M1475">
        <v>0</v>
      </c>
    </row>
    <row r="1476" spans="1:13">
      <c r="A1476" s="28">
        <v>87010</v>
      </c>
      <c r="B1476" t="s">
        <v>1616</v>
      </c>
      <c r="C1476">
        <v>24700</v>
      </c>
      <c r="D1476">
        <v>-300</v>
      </c>
      <c r="E1476">
        <v>-1.2</v>
      </c>
      <c r="F1476" t="s">
        <v>397</v>
      </c>
      <c r="G1476" t="s">
        <v>397</v>
      </c>
      <c r="H1476" t="s">
        <v>397</v>
      </c>
      <c r="I1476" t="s">
        <v>397</v>
      </c>
      <c r="J1476">
        <v>2575</v>
      </c>
      <c r="K1476">
        <v>9.59</v>
      </c>
      <c r="L1476">
        <v>0</v>
      </c>
      <c r="M1476">
        <v>0</v>
      </c>
    </row>
    <row r="1477" spans="1:13">
      <c r="A1477" s="28">
        <v>222980</v>
      </c>
      <c r="B1477" t="s">
        <v>1617</v>
      </c>
      <c r="C1477">
        <v>4235</v>
      </c>
      <c r="D1477">
        <v>70</v>
      </c>
      <c r="E1477">
        <v>1.68</v>
      </c>
      <c r="F1477" t="s">
        <v>397</v>
      </c>
      <c r="G1477" t="s">
        <v>397</v>
      </c>
      <c r="H1477" t="s">
        <v>397</v>
      </c>
      <c r="I1477" t="s">
        <v>397</v>
      </c>
      <c r="J1477">
        <v>3401</v>
      </c>
      <c r="K1477">
        <v>1.25</v>
      </c>
      <c r="L1477">
        <v>0</v>
      </c>
      <c r="M1477">
        <v>0</v>
      </c>
    </row>
    <row r="1478" spans="1:13">
      <c r="A1478" s="28">
        <v>80720</v>
      </c>
      <c r="B1478" t="s">
        <v>1618</v>
      </c>
      <c r="C1478">
        <v>5210</v>
      </c>
      <c r="D1478">
        <v>-40</v>
      </c>
      <c r="E1478">
        <v>-0.76</v>
      </c>
      <c r="F1478" t="s">
        <v>397</v>
      </c>
      <c r="G1478" t="s">
        <v>397</v>
      </c>
      <c r="H1478" t="s">
        <v>397</v>
      </c>
      <c r="I1478" t="s">
        <v>397</v>
      </c>
      <c r="J1478">
        <v>6733</v>
      </c>
      <c r="K1478">
        <v>0.77</v>
      </c>
      <c r="L1478">
        <v>0</v>
      </c>
      <c r="M1478">
        <v>0</v>
      </c>
    </row>
    <row r="1479" spans="1:13">
      <c r="A1479" s="28">
        <v>44380</v>
      </c>
      <c r="B1479" t="s">
        <v>1619</v>
      </c>
      <c r="C1479">
        <v>495</v>
      </c>
      <c r="D1479">
        <v>-10</v>
      </c>
      <c r="E1479">
        <v>-1.98</v>
      </c>
      <c r="F1479" t="s">
        <v>397</v>
      </c>
      <c r="G1479" t="s">
        <v>397</v>
      </c>
      <c r="H1479" t="s">
        <v>397</v>
      </c>
      <c r="I1479" t="s">
        <v>397</v>
      </c>
      <c r="J1479">
        <v>730</v>
      </c>
      <c r="K1479">
        <v>0.68</v>
      </c>
      <c r="L1479">
        <v>0</v>
      </c>
      <c r="M1479">
        <v>0</v>
      </c>
    </row>
    <row r="1480" spans="1:13">
      <c r="A1480" s="28">
        <v>453340</v>
      </c>
      <c r="B1480" t="s">
        <v>1620</v>
      </c>
      <c r="C1480">
        <v>11850</v>
      </c>
      <c r="D1480">
        <v>140</v>
      </c>
      <c r="E1480">
        <v>1.2</v>
      </c>
      <c r="F1480" t="s">
        <v>397</v>
      </c>
      <c r="G1480" t="s">
        <v>397</v>
      </c>
      <c r="H1480">
        <v>2590</v>
      </c>
      <c r="I1480">
        <v>4.58</v>
      </c>
      <c r="J1480" t="s">
        <v>397</v>
      </c>
      <c r="K1480" t="s">
        <v>397</v>
      </c>
      <c r="L1480">
        <v>0</v>
      </c>
      <c r="M1480">
        <v>0</v>
      </c>
    </row>
    <row r="1481" spans="1:13">
      <c r="A1481" s="28">
        <v>93240</v>
      </c>
      <c r="B1481" t="s">
        <v>1621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397</v>
      </c>
      <c r="I1481" t="s">
        <v>397</v>
      </c>
      <c r="J1481">
        <v>2270</v>
      </c>
      <c r="K1481">
        <v>0.54</v>
      </c>
      <c r="L1481">
        <v>0</v>
      </c>
      <c r="M1481">
        <v>0</v>
      </c>
    </row>
    <row r="1482" spans="1:13">
      <c r="A1482" s="28">
        <v>11080</v>
      </c>
      <c r="B1482" t="s">
        <v>1622</v>
      </c>
      <c r="C1482">
        <v>814</v>
      </c>
      <c r="D1482">
        <v>-2</v>
      </c>
      <c r="E1482">
        <v>-0.25</v>
      </c>
      <c r="F1482" t="s">
        <v>397</v>
      </c>
      <c r="G1482" t="s">
        <v>397</v>
      </c>
      <c r="H1482" t="s">
        <v>397</v>
      </c>
      <c r="I1482" t="s">
        <v>397</v>
      </c>
      <c r="J1482">
        <v>1140</v>
      </c>
      <c r="K1482">
        <v>0.71</v>
      </c>
      <c r="L1482">
        <v>0</v>
      </c>
      <c r="M1482">
        <v>0</v>
      </c>
    </row>
    <row r="1483" spans="1:13">
      <c r="A1483" s="28">
        <v>138360</v>
      </c>
      <c r="B1483" t="s">
        <v>1623</v>
      </c>
      <c r="C1483">
        <v>911</v>
      </c>
      <c r="D1483">
        <v>55</v>
      </c>
      <c r="E1483">
        <v>6.43</v>
      </c>
      <c r="F1483" t="s">
        <v>397</v>
      </c>
      <c r="G1483" t="s">
        <v>397</v>
      </c>
      <c r="H1483" t="s">
        <v>397</v>
      </c>
      <c r="I1483" t="s">
        <v>397</v>
      </c>
      <c r="J1483">
        <v>1139</v>
      </c>
      <c r="K1483">
        <v>0.8</v>
      </c>
      <c r="L1483">
        <v>0</v>
      </c>
      <c r="M1483">
        <v>0</v>
      </c>
    </row>
    <row r="1484" spans="1:13">
      <c r="A1484" s="28">
        <v>460930</v>
      </c>
      <c r="B1484" t="s">
        <v>1624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397</v>
      </c>
      <c r="I1484" t="s">
        <v>397</v>
      </c>
      <c r="J1484">
        <v>5664</v>
      </c>
      <c r="K1484">
        <v>3.25</v>
      </c>
      <c r="L1484">
        <v>0</v>
      </c>
      <c r="M1484">
        <v>0</v>
      </c>
    </row>
    <row r="1485" spans="1:13">
      <c r="A1485" s="28">
        <v>48410</v>
      </c>
      <c r="B1485" t="s">
        <v>1625</v>
      </c>
      <c r="C1485">
        <v>19280</v>
      </c>
      <c r="D1485">
        <v>-580</v>
      </c>
      <c r="E1485">
        <v>-2.92</v>
      </c>
      <c r="F1485" t="s">
        <v>397</v>
      </c>
      <c r="G1485" t="s">
        <v>397</v>
      </c>
      <c r="H1485" t="s">
        <v>397</v>
      </c>
      <c r="I1485" t="s">
        <v>397</v>
      </c>
      <c r="J1485">
        <v>1468</v>
      </c>
      <c r="K1485">
        <v>13.13</v>
      </c>
      <c r="L1485">
        <v>0</v>
      </c>
      <c r="M1485">
        <v>0</v>
      </c>
    </row>
    <row r="1486" spans="1:13">
      <c r="A1486" s="28">
        <v>10620</v>
      </c>
      <c r="B1486" t="s">
        <v>1626</v>
      </c>
      <c r="C1486">
        <v>64900</v>
      </c>
      <c r="D1486">
        <v>-100</v>
      </c>
      <c r="E1486">
        <v>-0.15</v>
      </c>
      <c r="F1486" t="s">
        <v>397</v>
      </c>
      <c r="G1486" t="s">
        <v>397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>
      <c r="A1487" s="28">
        <v>79430</v>
      </c>
      <c r="B1487" t="s">
        <v>1627</v>
      </c>
      <c r="C1487">
        <v>7390</v>
      </c>
      <c r="D1487">
        <v>-50</v>
      </c>
      <c r="E1487">
        <v>-0.67</v>
      </c>
      <c r="F1487" t="s">
        <v>397</v>
      </c>
      <c r="G1487" t="s">
        <v>397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>
      <c r="A1488" s="28">
        <v>64350</v>
      </c>
      <c r="B1488" t="s">
        <v>1628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>
      <c r="A1489" s="28">
        <v>84990</v>
      </c>
      <c r="B1489" t="s">
        <v>1629</v>
      </c>
      <c r="C1489">
        <v>4170</v>
      </c>
      <c r="D1489">
        <v>80</v>
      </c>
      <c r="E1489">
        <v>1.96</v>
      </c>
      <c r="F1489" t="s">
        <v>397</v>
      </c>
      <c r="G1489" t="s">
        <v>397</v>
      </c>
      <c r="H1489" t="s">
        <v>397</v>
      </c>
      <c r="I1489" t="s">
        <v>397</v>
      </c>
      <c r="J1489">
        <v>5338</v>
      </c>
      <c r="K1489">
        <v>0.78</v>
      </c>
      <c r="L1489">
        <v>0</v>
      </c>
      <c r="M1489">
        <v>0</v>
      </c>
    </row>
    <row r="1490" spans="1:13">
      <c r="A1490" s="28">
        <v>39610</v>
      </c>
      <c r="B1490" t="s">
        <v>1630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397</v>
      </c>
      <c r="I1490" t="s">
        <v>397</v>
      </c>
      <c r="J1490">
        <v>7732</v>
      </c>
      <c r="K1490">
        <v>0.73</v>
      </c>
      <c r="L1490">
        <v>0</v>
      </c>
      <c r="M1490">
        <v>0</v>
      </c>
    </row>
    <row r="1491" spans="1:13">
      <c r="A1491" s="28">
        <v>143210</v>
      </c>
      <c r="B1491" t="s">
        <v>1631</v>
      </c>
      <c r="C1491">
        <v>2615</v>
      </c>
      <c r="D1491">
        <v>-45</v>
      </c>
      <c r="E1491">
        <v>-1.69</v>
      </c>
      <c r="F1491" t="s">
        <v>397</v>
      </c>
      <c r="G1491" t="s">
        <v>397</v>
      </c>
      <c r="H1491" t="s">
        <v>397</v>
      </c>
      <c r="I1491" t="s">
        <v>397</v>
      </c>
      <c r="J1491">
        <v>9053</v>
      </c>
      <c r="K1491">
        <v>0.28999999999999998</v>
      </c>
      <c r="L1491">
        <v>0</v>
      </c>
      <c r="M1491">
        <v>0</v>
      </c>
    </row>
    <row r="1492" spans="1:13">
      <c r="A1492" s="28">
        <v>220180</v>
      </c>
      <c r="B1492" t="s">
        <v>1632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397</v>
      </c>
      <c r="I1492" t="s">
        <v>397</v>
      </c>
      <c r="J1492">
        <v>3291</v>
      </c>
      <c r="K1492">
        <v>1.18</v>
      </c>
      <c r="L1492">
        <v>0</v>
      </c>
      <c r="M1492">
        <v>0</v>
      </c>
    </row>
    <row r="1493" spans="1:13">
      <c r="A1493" s="28">
        <v>59270</v>
      </c>
      <c r="B1493" t="s">
        <v>1633</v>
      </c>
      <c r="C1493">
        <v>14100</v>
      </c>
      <c r="D1493">
        <v>530</v>
      </c>
      <c r="E1493">
        <v>3.91</v>
      </c>
      <c r="F1493" t="s">
        <v>397</v>
      </c>
      <c r="G1493" t="s">
        <v>397</v>
      </c>
      <c r="H1493" t="s">
        <v>397</v>
      </c>
      <c r="I1493" t="s">
        <v>397</v>
      </c>
      <c r="J1493">
        <v>4230</v>
      </c>
      <c r="K1493">
        <v>3.33</v>
      </c>
      <c r="L1493">
        <v>0</v>
      </c>
      <c r="M1493">
        <v>0</v>
      </c>
    </row>
    <row r="1494" spans="1:13">
      <c r="A1494" s="28">
        <v>76610</v>
      </c>
      <c r="B1494" t="s">
        <v>1634</v>
      </c>
      <c r="C1494">
        <v>1426</v>
      </c>
      <c r="D1494">
        <v>-2</v>
      </c>
      <c r="E1494">
        <v>-0.14000000000000001</v>
      </c>
      <c r="F1494" t="s">
        <v>397</v>
      </c>
      <c r="G1494" t="s">
        <v>397</v>
      </c>
      <c r="H1494" t="s">
        <v>397</v>
      </c>
      <c r="I1494" t="s">
        <v>397</v>
      </c>
      <c r="J1494">
        <v>1560</v>
      </c>
      <c r="K1494">
        <v>0.91</v>
      </c>
      <c r="L1494">
        <v>0</v>
      </c>
      <c r="M1494">
        <v>0</v>
      </c>
    </row>
    <row r="1495" spans="1:13">
      <c r="A1495" s="28">
        <v>455310</v>
      </c>
      <c r="B1495" t="s">
        <v>1635</v>
      </c>
      <c r="C1495">
        <v>2060</v>
      </c>
      <c r="D1495">
        <v>-10</v>
      </c>
      <c r="E1495">
        <v>-0.48</v>
      </c>
      <c r="F1495" t="s">
        <v>397</v>
      </c>
      <c r="G1495" t="s">
        <v>397</v>
      </c>
      <c r="H1495" t="s">
        <v>397</v>
      </c>
      <c r="I1495" t="s">
        <v>397</v>
      </c>
      <c r="J1495" t="s">
        <v>397</v>
      </c>
      <c r="K1495" t="s">
        <v>397</v>
      </c>
      <c r="L1495">
        <v>0</v>
      </c>
      <c r="M1495">
        <v>0</v>
      </c>
    </row>
    <row r="1496" spans="1:13">
      <c r="A1496" s="28">
        <v>430460</v>
      </c>
      <c r="B1496" t="s">
        <v>1636</v>
      </c>
      <c r="C1496">
        <v>2175</v>
      </c>
      <c r="D1496">
        <v>5</v>
      </c>
      <c r="E1496">
        <v>0.23</v>
      </c>
      <c r="F1496" t="s">
        <v>397</v>
      </c>
      <c r="G1496" t="s">
        <v>397</v>
      </c>
      <c r="H1496" t="s">
        <v>397</v>
      </c>
      <c r="I1496" t="s">
        <v>397</v>
      </c>
      <c r="J1496" t="s">
        <v>397</v>
      </c>
      <c r="K1496" t="s">
        <v>397</v>
      </c>
      <c r="L1496">
        <v>0</v>
      </c>
      <c r="M1496">
        <v>0</v>
      </c>
    </row>
    <row r="1497" spans="1:13">
      <c r="A1497" s="28">
        <v>386580</v>
      </c>
      <c r="B1497" t="s">
        <v>1637</v>
      </c>
      <c r="C1497">
        <v>2040</v>
      </c>
      <c r="D1497">
        <v>0</v>
      </c>
      <c r="E1497">
        <v>0</v>
      </c>
      <c r="F1497" t="s">
        <v>397</v>
      </c>
      <c r="G1497" t="s">
        <v>397</v>
      </c>
      <c r="H1497" t="s">
        <v>397</v>
      </c>
      <c r="I1497" t="s">
        <v>397</v>
      </c>
      <c r="J1497" t="s">
        <v>397</v>
      </c>
      <c r="K1497" t="s">
        <v>397</v>
      </c>
      <c r="L1497">
        <v>0</v>
      </c>
      <c r="M1497">
        <v>0</v>
      </c>
    </row>
    <row r="1498" spans="1:13">
      <c r="A1498" s="28">
        <v>3535</v>
      </c>
      <c r="B1498" t="s">
        <v>1638</v>
      </c>
      <c r="C1498">
        <v>8950</v>
      </c>
      <c r="D1498">
        <v>-550</v>
      </c>
      <c r="E1498">
        <v>-5.79</v>
      </c>
      <c r="F1498" t="s">
        <v>397</v>
      </c>
      <c r="G1498" t="s">
        <v>397</v>
      </c>
      <c r="H1498" t="s">
        <v>397</v>
      </c>
      <c r="I1498" t="s">
        <v>397</v>
      </c>
      <c r="J1498" t="s">
        <v>397</v>
      </c>
      <c r="K1498" t="s">
        <v>397</v>
      </c>
      <c r="L1498">
        <v>0</v>
      </c>
      <c r="M1498">
        <v>0</v>
      </c>
    </row>
    <row r="1499" spans="1:13">
      <c r="A1499" s="28">
        <v>64240</v>
      </c>
      <c r="B1499" t="s">
        <v>1639</v>
      </c>
      <c r="C1499">
        <v>2680</v>
      </c>
      <c r="D1499">
        <v>-95</v>
      </c>
      <c r="E1499">
        <v>-3.42</v>
      </c>
      <c r="F1499" t="s">
        <v>397</v>
      </c>
      <c r="G1499" t="s">
        <v>397</v>
      </c>
      <c r="H1499" t="s">
        <v>397</v>
      </c>
      <c r="I1499" t="s">
        <v>397</v>
      </c>
      <c r="J1499">
        <v>2748</v>
      </c>
      <c r="K1499">
        <v>0.98</v>
      </c>
      <c r="L1499">
        <v>0</v>
      </c>
      <c r="M1499">
        <v>0</v>
      </c>
    </row>
    <row r="1500" spans="1:13">
      <c r="A1500" s="28">
        <v>133820</v>
      </c>
      <c r="B1500" t="s">
        <v>1640</v>
      </c>
      <c r="C1500">
        <v>1322</v>
      </c>
      <c r="D1500">
        <v>39</v>
      </c>
      <c r="E1500">
        <v>3.04</v>
      </c>
      <c r="F1500" t="s">
        <v>397</v>
      </c>
      <c r="G1500" t="s">
        <v>397</v>
      </c>
      <c r="H1500" t="s">
        <v>397</v>
      </c>
      <c r="I1500" t="s">
        <v>397</v>
      </c>
      <c r="J1500">
        <v>2628</v>
      </c>
      <c r="K1500">
        <v>0.5</v>
      </c>
      <c r="L1500">
        <v>0</v>
      </c>
      <c r="M1500">
        <v>0</v>
      </c>
    </row>
    <row r="1501" spans="1:13">
      <c r="A1501" s="28">
        <v>42660</v>
      </c>
      <c r="B1501" t="s">
        <v>1641</v>
      </c>
      <c r="C1501">
        <v>27000</v>
      </c>
      <c r="D1501">
        <v>0</v>
      </c>
      <c r="E1501">
        <v>0</v>
      </c>
      <c r="F1501" t="s">
        <v>397</v>
      </c>
      <c r="G1501" t="s">
        <v>397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>
      <c r="A1502" s="28">
        <v>115160</v>
      </c>
      <c r="B1502" t="s">
        <v>1642</v>
      </c>
      <c r="C1502">
        <v>2845</v>
      </c>
      <c r="D1502">
        <v>-25</v>
      </c>
      <c r="E1502">
        <v>-0.87</v>
      </c>
      <c r="F1502" t="s">
        <v>397</v>
      </c>
      <c r="G1502" t="s">
        <v>397</v>
      </c>
      <c r="H1502" t="s">
        <v>397</v>
      </c>
      <c r="I1502" t="s">
        <v>397</v>
      </c>
      <c r="J1502">
        <v>6428</v>
      </c>
      <c r="K1502">
        <v>0.44</v>
      </c>
      <c r="L1502">
        <v>0</v>
      </c>
      <c r="M1502">
        <v>0</v>
      </c>
    </row>
    <row r="1503" spans="1:13">
      <c r="A1503" s="28">
        <v>3280</v>
      </c>
      <c r="B1503" t="s">
        <v>1643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397</v>
      </c>
      <c r="I1503" t="s">
        <v>397</v>
      </c>
      <c r="J1503">
        <v>544</v>
      </c>
      <c r="K1503">
        <v>4.82</v>
      </c>
      <c r="L1503">
        <v>0</v>
      </c>
      <c r="M1503">
        <v>0</v>
      </c>
    </row>
    <row r="1504" spans="1:13">
      <c r="A1504" s="28">
        <v>545</v>
      </c>
      <c r="B1504" t="s">
        <v>1644</v>
      </c>
      <c r="C1504">
        <v>6060</v>
      </c>
      <c r="D1504">
        <v>60</v>
      </c>
      <c r="E1504">
        <v>1</v>
      </c>
      <c r="F1504" t="s">
        <v>397</v>
      </c>
      <c r="G1504" t="s">
        <v>397</v>
      </c>
      <c r="H1504" t="s">
        <v>397</v>
      </c>
      <c r="I1504" t="s">
        <v>397</v>
      </c>
      <c r="J1504" t="s">
        <v>397</v>
      </c>
      <c r="K1504" t="s">
        <v>397</v>
      </c>
      <c r="L1504">
        <v>0</v>
      </c>
      <c r="M1504">
        <v>0</v>
      </c>
    </row>
    <row r="1505" spans="1:13">
      <c r="A1505" s="28">
        <v>540</v>
      </c>
      <c r="B1505" t="s">
        <v>1645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397</v>
      </c>
      <c r="I1505" t="s">
        <v>397</v>
      </c>
      <c r="J1505">
        <v>11208</v>
      </c>
      <c r="K1505">
        <v>0.41</v>
      </c>
      <c r="L1505">
        <v>0</v>
      </c>
      <c r="M1505">
        <v>0</v>
      </c>
    </row>
    <row r="1506" spans="1:13">
      <c r="A1506" s="28">
        <v>145020</v>
      </c>
      <c r="B1506" t="s">
        <v>1646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>
      <c r="A1507" s="28">
        <v>263920</v>
      </c>
      <c r="B1507" t="s">
        <v>1647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397</v>
      </c>
      <c r="I1507" t="s">
        <v>397</v>
      </c>
      <c r="J1507">
        <v>617</v>
      </c>
      <c r="K1507">
        <v>1.7</v>
      </c>
      <c r="L1507">
        <v>0</v>
      </c>
      <c r="M1507">
        <v>0</v>
      </c>
    </row>
    <row r="1508" spans="1:13">
      <c r="A1508" s="28">
        <v>215090</v>
      </c>
      <c r="B1508" t="s">
        <v>1648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397</v>
      </c>
      <c r="I1508" t="s">
        <v>397</v>
      </c>
      <c r="J1508">
        <v>511</v>
      </c>
      <c r="K1508">
        <v>2.95</v>
      </c>
      <c r="L1508">
        <v>0</v>
      </c>
      <c r="M1508">
        <v>0</v>
      </c>
    </row>
    <row r="1509" spans="1:13">
      <c r="A1509" s="28">
        <v>79980</v>
      </c>
      <c r="B1509" t="s">
        <v>1649</v>
      </c>
      <c r="C1509">
        <v>3975</v>
      </c>
      <c r="D1509">
        <v>-25</v>
      </c>
      <c r="E1509">
        <v>-0.63</v>
      </c>
      <c r="F1509" t="s">
        <v>397</v>
      </c>
      <c r="G1509" t="s">
        <v>397</v>
      </c>
      <c r="H1509" t="s">
        <v>397</v>
      </c>
      <c r="I1509" t="s">
        <v>397</v>
      </c>
      <c r="J1509">
        <v>11585</v>
      </c>
      <c r="K1509">
        <v>0.34</v>
      </c>
      <c r="L1509">
        <v>0</v>
      </c>
      <c r="M1509">
        <v>0</v>
      </c>
    </row>
    <row r="1510" spans="1:13">
      <c r="A1510" s="28">
        <v>28080</v>
      </c>
      <c r="B1510" t="s">
        <v>1650</v>
      </c>
      <c r="C1510">
        <v>4140</v>
      </c>
      <c r="D1510">
        <v>0</v>
      </c>
      <c r="E1510">
        <v>0</v>
      </c>
      <c r="F1510" t="s">
        <v>397</v>
      </c>
      <c r="G1510" t="s">
        <v>397</v>
      </c>
      <c r="H1510" t="s">
        <v>397</v>
      </c>
      <c r="I1510" t="s">
        <v>397</v>
      </c>
      <c r="J1510">
        <v>9328</v>
      </c>
      <c r="K1510">
        <v>0.44</v>
      </c>
      <c r="L1510">
        <v>0</v>
      </c>
      <c r="M1510">
        <v>0</v>
      </c>
    </row>
    <row r="1511" spans="1:13">
      <c r="A1511" s="28">
        <v>205470</v>
      </c>
      <c r="B1511" t="s">
        <v>1651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397</v>
      </c>
      <c r="I1511" t="s">
        <v>397</v>
      </c>
      <c r="J1511">
        <v>2838</v>
      </c>
      <c r="K1511">
        <v>0.6</v>
      </c>
      <c r="L1511">
        <v>0</v>
      </c>
      <c r="M1511">
        <v>0</v>
      </c>
    </row>
    <row r="1512" spans="1:13">
      <c r="A1512" s="28">
        <v>61250</v>
      </c>
      <c r="B1512" t="s">
        <v>1652</v>
      </c>
      <c r="C1512">
        <v>1637</v>
      </c>
      <c r="D1512">
        <v>0</v>
      </c>
      <c r="E1512">
        <v>0</v>
      </c>
      <c r="F1512" t="s">
        <v>397</v>
      </c>
      <c r="G1512" t="s">
        <v>397</v>
      </c>
      <c r="H1512" t="s">
        <v>397</v>
      </c>
      <c r="I1512" t="s">
        <v>397</v>
      </c>
      <c r="J1512">
        <v>2639</v>
      </c>
      <c r="K1512">
        <v>0.62</v>
      </c>
      <c r="L1512">
        <v>0</v>
      </c>
      <c r="M1512">
        <v>0</v>
      </c>
    </row>
    <row r="1513" spans="1:13">
      <c r="A1513" s="28">
        <v>78590</v>
      </c>
      <c r="B1513" t="s">
        <v>1653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397</v>
      </c>
      <c r="I1513" t="s">
        <v>397</v>
      </c>
      <c r="J1513">
        <v>652</v>
      </c>
      <c r="K1513">
        <v>1.42</v>
      </c>
      <c r="L1513">
        <v>0</v>
      </c>
      <c r="M1513">
        <v>0</v>
      </c>
    </row>
    <row r="1514" spans="1:13">
      <c r="A1514" s="28">
        <v>90710</v>
      </c>
      <c r="B1514" t="s">
        <v>1654</v>
      </c>
      <c r="C1514">
        <v>2350</v>
      </c>
      <c r="D1514">
        <v>20</v>
      </c>
      <c r="E1514">
        <v>0.86</v>
      </c>
      <c r="F1514" t="s">
        <v>397</v>
      </c>
      <c r="G1514" t="s">
        <v>397</v>
      </c>
      <c r="H1514" t="s">
        <v>397</v>
      </c>
      <c r="I1514" t="s">
        <v>397</v>
      </c>
      <c r="J1514">
        <v>865</v>
      </c>
      <c r="K1514">
        <v>2.72</v>
      </c>
      <c r="L1514">
        <v>0</v>
      </c>
      <c r="M1514">
        <v>0</v>
      </c>
    </row>
    <row r="1515" spans="1:13">
      <c r="A1515" s="28">
        <v>192410</v>
      </c>
      <c r="B1515" t="s">
        <v>1655</v>
      </c>
      <c r="C1515">
        <v>424</v>
      </c>
      <c r="D1515">
        <v>-5</v>
      </c>
      <c r="E1515">
        <v>-1.17</v>
      </c>
      <c r="F1515" t="s">
        <v>397</v>
      </c>
      <c r="G1515" t="s">
        <v>397</v>
      </c>
      <c r="H1515" t="s">
        <v>397</v>
      </c>
      <c r="I1515" t="s">
        <v>397</v>
      </c>
      <c r="J1515">
        <v>1340</v>
      </c>
      <c r="K1515">
        <v>0.32</v>
      </c>
      <c r="L1515">
        <v>0</v>
      </c>
      <c r="M1515">
        <v>0</v>
      </c>
    </row>
    <row r="1516" spans="1:13">
      <c r="A1516" s="28">
        <v>353190</v>
      </c>
      <c r="B1516" t="s">
        <v>1656</v>
      </c>
      <c r="C1516">
        <v>1095</v>
      </c>
      <c r="D1516">
        <v>-27</v>
      </c>
      <c r="E1516">
        <v>-2.41</v>
      </c>
      <c r="F1516" t="s">
        <v>397</v>
      </c>
      <c r="G1516" t="s">
        <v>397</v>
      </c>
      <c r="H1516" t="s">
        <v>397</v>
      </c>
      <c r="I1516" t="s">
        <v>397</v>
      </c>
      <c r="J1516">
        <v>894</v>
      </c>
      <c r="K1516">
        <v>1.22</v>
      </c>
      <c r="L1516">
        <v>0</v>
      </c>
      <c r="M1516">
        <v>0</v>
      </c>
    </row>
    <row r="1517" spans="1:13">
      <c r="A1517" s="28">
        <v>5870</v>
      </c>
      <c r="B1517" t="s">
        <v>1657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397</v>
      </c>
      <c r="I1517" t="s">
        <v>397</v>
      </c>
      <c r="J1517">
        <v>11026</v>
      </c>
      <c r="K1517">
        <v>0.6</v>
      </c>
      <c r="L1517">
        <v>0</v>
      </c>
      <c r="M1517">
        <v>0</v>
      </c>
    </row>
    <row r="1518" spans="1:13">
      <c r="A1518" s="28">
        <v>298000</v>
      </c>
      <c r="B1518" t="s">
        <v>1658</v>
      </c>
      <c r="C1518">
        <v>64000</v>
      </c>
      <c r="D1518">
        <v>-2400</v>
      </c>
      <c r="E1518">
        <v>-3.61</v>
      </c>
      <c r="F1518" t="s">
        <v>397</v>
      </c>
      <c r="G1518" t="s">
        <v>397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>
      <c r="A1519" s="28">
        <v>298040</v>
      </c>
      <c r="B1519" t="s">
        <v>1659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>
      <c r="A1520" s="28">
        <v>97870</v>
      </c>
      <c r="B1520" t="s">
        <v>1660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397</v>
      </c>
      <c r="I1520" t="s">
        <v>397</v>
      </c>
      <c r="J1520">
        <v>8899</v>
      </c>
      <c r="K1520">
        <v>0.83</v>
      </c>
      <c r="L1520">
        <v>0</v>
      </c>
      <c r="M1520">
        <v>0</v>
      </c>
    </row>
    <row r="1521" spans="1:13">
      <c r="A1521" s="28">
        <v>3530</v>
      </c>
      <c r="B1521" t="s">
        <v>1661</v>
      </c>
      <c r="C1521">
        <v>4060</v>
      </c>
      <c r="D1521">
        <v>-410</v>
      </c>
      <c r="E1521">
        <v>-9.17</v>
      </c>
      <c r="F1521" t="s">
        <v>397</v>
      </c>
      <c r="G1521" t="s">
        <v>397</v>
      </c>
      <c r="H1521" t="s">
        <v>397</v>
      </c>
      <c r="I1521" t="s">
        <v>397</v>
      </c>
      <c r="J1521">
        <v>7273</v>
      </c>
      <c r="K1521">
        <v>0.56000000000000005</v>
      </c>
      <c r="L1521">
        <v>0</v>
      </c>
      <c r="M1521">
        <v>0</v>
      </c>
    </row>
    <row r="1522" spans="1:13">
      <c r="A1522" s="28">
        <v>82740</v>
      </c>
      <c r="B1522" t="s">
        <v>1662</v>
      </c>
      <c r="C1522">
        <v>9500</v>
      </c>
      <c r="D1522">
        <v>-70</v>
      </c>
      <c r="E1522">
        <v>-0.73</v>
      </c>
      <c r="F1522" t="s">
        <v>397</v>
      </c>
      <c r="G1522" t="s">
        <v>397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>
      <c r="A1523" s="28">
        <v>15760</v>
      </c>
      <c r="B1523" t="s">
        <v>1663</v>
      </c>
      <c r="C1523">
        <v>24850</v>
      </c>
      <c r="D1523">
        <v>50</v>
      </c>
      <c r="E1523">
        <v>0.2</v>
      </c>
      <c r="F1523" t="s">
        <v>397</v>
      </c>
      <c r="G1523" t="s">
        <v>397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>
      <c r="A1524" s="28">
        <v>7280</v>
      </c>
      <c r="B1524" t="s">
        <v>1664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397</v>
      </c>
      <c r="I1524" t="s">
        <v>397</v>
      </c>
      <c r="J1524">
        <v>3322</v>
      </c>
      <c r="K1524">
        <v>0.52</v>
      </c>
      <c r="L1524">
        <v>0</v>
      </c>
      <c r="M1524">
        <v>0</v>
      </c>
    </row>
    <row r="1525" spans="1:13">
      <c r="A1525" s="28">
        <v>69640</v>
      </c>
      <c r="B1525" t="s">
        <v>1665</v>
      </c>
      <c r="C1525">
        <v>1966</v>
      </c>
      <c r="D1525">
        <v>-6</v>
      </c>
      <c r="E1525">
        <v>-0.3</v>
      </c>
      <c r="F1525" t="s">
        <v>397</v>
      </c>
      <c r="G1525" t="s">
        <v>397</v>
      </c>
      <c r="H1525" t="s">
        <v>397</v>
      </c>
      <c r="I1525" t="s">
        <v>397</v>
      </c>
      <c r="J1525">
        <v>1408</v>
      </c>
      <c r="K1525">
        <v>1.4</v>
      </c>
      <c r="L1525">
        <v>0</v>
      </c>
      <c r="M1525">
        <v>0</v>
      </c>
    </row>
    <row r="1526" spans="1:13">
      <c r="A1526" s="28">
        <v>66980</v>
      </c>
      <c r="B1526" t="s">
        <v>1666</v>
      </c>
      <c r="C1526">
        <v>3645</v>
      </c>
      <c r="D1526">
        <v>195</v>
      </c>
      <c r="E1526">
        <v>5.65</v>
      </c>
      <c r="F1526" t="s">
        <v>397</v>
      </c>
      <c r="G1526" t="s">
        <v>397</v>
      </c>
      <c r="H1526" t="s">
        <v>397</v>
      </c>
      <c r="I1526" t="s">
        <v>397</v>
      </c>
      <c r="J1526">
        <v>2546</v>
      </c>
      <c r="K1526">
        <v>1.43</v>
      </c>
      <c r="L1526">
        <v>0</v>
      </c>
      <c r="M1526">
        <v>0</v>
      </c>
    </row>
    <row r="1527" spans="1:13">
      <c r="A1527" s="28">
        <v>3680</v>
      </c>
      <c r="B1527" t="s">
        <v>1667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397</v>
      </c>
      <c r="I1527" t="s">
        <v>397</v>
      </c>
      <c r="J1527">
        <v>9257</v>
      </c>
      <c r="K1527">
        <v>0.56999999999999995</v>
      </c>
      <c r="L1527">
        <v>0</v>
      </c>
      <c r="M1527">
        <v>0</v>
      </c>
    </row>
    <row r="1528" spans="1:13">
      <c r="A1528" s="28">
        <v>452280</v>
      </c>
      <c r="B1528" t="s">
        <v>1668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397</v>
      </c>
      <c r="I1528" t="s">
        <v>397</v>
      </c>
      <c r="J1528">
        <v>1627</v>
      </c>
      <c r="K1528">
        <v>4.12</v>
      </c>
      <c r="L1528">
        <v>0</v>
      </c>
      <c r="M1528">
        <v>0</v>
      </c>
    </row>
    <row r="1529" spans="1:13">
      <c r="A1529" s="28">
        <v>47080</v>
      </c>
      <c r="B1529" t="s">
        <v>1669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397</v>
      </c>
      <c r="I1529" t="s">
        <v>397</v>
      </c>
      <c r="J1529">
        <v>774</v>
      </c>
      <c r="K1529">
        <v>2.92</v>
      </c>
      <c r="L1529">
        <v>0</v>
      </c>
      <c r="M1529">
        <v>0</v>
      </c>
    </row>
    <row r="1530" spans="1:13">
      <c r="A1530" s="28">
        <v>452190</v>
      </c>
      <c r="B1530" t="s">
        <v>1670</v>
      </c>
      <c r="C1530">
        <v>8580</v>
      </c>
      <c r="D1530">
        <v>-410</v>
      </c>
      <c r="E1530">
        <v>-4.5599999999999996</v>
      </c>
      <c r="F1530" t="s">
        <v>397</v>
      </c>
      <c r="G1530" t="s">
        <v>397</v>
      </c>
      <c r="H1530" t="s">
        <v>397</v>
      </c>
      <c r="I1530" t="s">
        <v>397</v>
      </c>
      <c r="J1530" t="s">
        <v>397</v>
      </c>
      <c r="K1530" t="s">
        <v>397</v>
      </c>
      <c r="L1530">
        <v>0</v>
      </c>
      <c r="M1530">
        <v>0</v>
      </c>
    </row>
    <row r="1531" spans="1:13">
      <c r="A1531" s="28">
        <v>30520</v>
      </c>
      <c r="B1531" t="s">
        <v>1671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>
      <c r="A1532" s="28">
        <v>123690</v>
      </c>
      <c r="B1532" t="s">
        <v>1672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397</v>
      </c>
      <c r="I1532" t="s">
        <v>397</v>
      </c>
      <c r="J1532">
        <v>1409</v>
      </c>
      <c r="K1532">
        <v>4.24</v>
      </c>
      <c r="L1532">
        <v>0</v>
      </c>
      <c r="M1532">
        <v>0</v>
      </c>
    </row>
    <row r="1533" spans="1:13">
      <c r="A1533" s="28">
        <v>53590</v>
      </c>
      <c r="B1533" t="s">
        <v>1673</v>
      </c>
      <c r="C1533">
        <v>334</v>
      </c>
      <c r="D1533">
        <v>0</v>
      </c>
      <c r="E1533">
        <v>0</v>
      </c>
      <c r="F1533" t="s">
        <v>397</v>
      </c>
      <c r="G1533" t="s">
        <v>397</v>
      </c>
      <c r="H1533" t="s">
        <v>397</v>
      </c>
      <c r="I1533" t="s">
        <v>397</v>
      </c>
      <c r="J1533">
        <v>285</v>
      </c>
      <c r="K1533">
        <v>1.17</v>
      </c>
      <c r="L1533">
        <v>0</v>
      </c>
      <c r="M1533">
        <v>0</v>
      </c>
    </row>
    <row r="1534" spans="1:13">
      <c r="A1534" s="28">
        <v>70590</v>
      </c>
      <c r="B1534" t="s">
        <v>1674</v>
      </c>
      <c r="C1534">
        <v>1694</v>
      </c>
      <c r="D1534">
        <v>-12</v>
      </c>
      <c r="E1534">
        <v>-0.7</v>
      </c>
      <c r="F1534" t="s">
        <v>397</v>
      </c>
      <c r="G1534" t="s">
        <v>397</v>
      </c>
      <c r="H1534" t="s">
        <v>397</v>
      </c>
      <c r="I1534" t="s">
        <v>397</v>
      </c>
      <c r="J1534">
        <v>1605</v>
      </c>
      <c r="K1534">
        <v>1.06</v>
      </c>
      <c r="L1534">
        <v>0</v>
      </c>
      <c r="M1534">
        <v>0</v>
      </c>
    </row>
    <row r="1535" spans="1:13">
      <c r="A1535" s="28">
        <v>25890</v>
      </c>
      <c r="B1535" t="s">
        <v>1675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397</v>
      </c>
      <c r="I1535" t="s">
        <v>397</v>
      </c>
      <c r="J1535">
        <v>2671</v>
      </c>
      <c r="K1535">
        <v>0.94</v>
      </c>
      <c r="L1535">
        <v>0</v>
      </c>
      <c r="M1535">
        <v>0</v>
      </c>
    </row>
    <row r="1536" spans="1:13">
      <c r="A1536" s="28">
        <v>27970</v>
      </c>
      <c r="B1536" t="s">
        <v>1676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397</v>
      </c>
      <c r="I1536" t="s">
        <v>397</v>
      </c>
      <c r="J1536">
        <v>1760</v>
      </c>
      <c r="K1536">
        <v>0.57999999999999996</v>
      </c>
      <c r="L1536">
        <v>0</v>
      </c>
      <c r="M1536">
        <v>0</v>
      </c>
    </row>
    <row r="1537" spans="1:13">
      <c r="A1537" s="28">
        <v>464440</v>
      </c>
      <c r="B1537" t="s">
        <v>1677</v>
      </c>
      <c r="C1537">
        <v>2205</v>
      </c>
      <c r="D1537">
        <v>0</v>
      </c>
      <c r="E1537">
        <v>0</v>
      </c>
      <c r="F1537" t="s">
        <v>397</v>
      </c>
      <c r="G1537" t="s">
        <v>397</v>
      </c>
      <c r="H1537" t="s">
        <v>397</v>
      </c>
      <c r="I1537" t="s">
        <v>397</v>
      </c>
      <c r="J1537" t="s">
        <v>397</v>
      </c>
      <c r="K1537" t="s">
        <v>397</v>
      </c>
      <c r="L1537">
        <v>0</v>
      </c>
      <c r="M1537">
        <v>0</v>
      </c>
    </row>
    <row r="1538" spans="1:13">
      <c r="A1538" s="28">
        <v>458610</v>
      </c>
      <c r="B1538" t="s">
        <v>1678</v>
      </c>
      <c r="C1538">
        <v>2195</v>
      </c>
      <c r="D1538">
        <v>0</v>
      </c>
      <c r="E1538">
        <v>0</v>
      </c>
      <c r="F1538" t="s">
        <v>397</v>
      </c>
      <c r="G1538" t="s">
        <v>397</v>
      </c>
      <c r="H1538" t="s">
        <v>397</v>
      </c>
      <c r="I1538" t="s">
        <v>397</v>
      </c>
      <c r="J1538" t="s">
        <v>397</v>
      </c>
      <c r="K1538" t="s">
        <v>397</v>
      </c>
      <c r="L1538">
        <v>0</v>
      </c>
      <c r="M1538">
        <v>0</v>
      </c>
    </row>
    <row r="1539" spans="1:13">
      <c r="A1539" s="28">
        <v>436610</v>
      </c>
      <c r="B1539" t="s">
        <v>1679</v>
      </c>
      <c r="C1539">
        <v>2280</v>
      </c>
      <c r="D1539">
        <v>0</v>
      </c>
      <c r="E1539">
        <v>0</v>
      </c>
      <c r="F1539" t="s">
        <v>397</v>
      </c>
      <c r="G1539" t="s">
        <v>397</v>
      </c>
      <c r="H1539" t="s">
        <v>397</v>
      </c>
      <c r="I1539" t="s">
        <v>397</v>
      </c>
      <c r="J1539" t="s">
        <v>397</v>
      </c>
      <c r="K1539" t="s">
        <v>397</v>
      </c>
      <c r="L1539">
        <v>0</v>
      </c>
      <c r="M1539">
        <v>0</v>
      </c>
    </row>
    <row r="1540" spans="1:13">
      <c r="A1540" s="28">
        <v>25770</v>
      </c>
      <c r="B1540" t="s">
        <v>1680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397</v>
      </c>
      <c r="I1540" t="s">
        <v>397</v>
      </c>
      <c r="J1540">
        <v>6792</v>
      </c>
      <c r="K1540">
        <v>1.3</v>
      </c>
      <c r="L1540">
        <v>0</v>
      </c>
      <c r="M1540">
        <v>0</v>
      </c>
    </row>
    <row r="1541" spans="1:13">
      <c r="A1541" s="28">
        <v>39740</v>
      </c>
      <c r="B1541" t="s">
        <v>1681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397</v>
      </c>
      <c r="I1541" t="s">
        <v>397</v>
      </c>
      <c r="J1541">
        <v>5496</v>
      </c>
      <c r="K1541">
        <v>0.61</v>
      </c>
      <c r="L1541">
        <v>0</v>
      </c>
      <c r="M1541">
        <v>0</v>
      </c>
    </row>
    <row r="1542" spans="1:13">
      <c r="A1542" s="28">
        <v>101680</v>
      </c>
      <c r="B1542" t="s">
        <v>1682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397</v>
      </c>
      <c r="I1542" t="s">
        <v>397</v>
      </c>
      <c r="J1542">
        <v>5835</v>
      </c>
      <c r="K1542">
        <v>0.47</v>
      </c>
      <c r="L1542">
        <v>0</v>
      </c>
      <c r="M1542">
        <v>0</v>
      </c>
    </row>
    <row r="1543" spans="1:13">
      <c r="A1543" s="28">
        <v>114810</v>
      </c>
      <c r="B1543" t="s">
        <v>1683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397</v>
      </c>
      <c r="I1543" t="s">
        <v>397</v>
      </c>
      <c r="J1543">
        <v>5429</v>
      </c>
      <c r="K1543">
        <v>2.41</v>
      </c>
      <c r="L1543">
        <v>0</v>
      </c>
      <c r="M1543">
        <v>0</v>
      </c>
    </row>
    <row r="1544" spans="1:13">
      <c r="A1544" s="28">
        <v>25750</v>
      </c>
      <c r="B1544" t="s">
        <v>1684</v>
      </c>
      <c r="C1544">
        <v>795</v>
      </c>
      <c r="D1544">
        <v>-2</v>
      </c>
      <c r="E1544">
        <v>-0.25</v>
      </c>
      <c r="F1544" t="s">
        <v>397</v>
      </c>
      <c r="G1544" t="s">
        <v>397</v>
      </c>
      <c r="H1544" t="s">
        <v>397</v>
      </c>
      <c r="I1544" t="s">
        <v>397</v>
      </c>
      <c r="J1544">
        <v>1903</v>
      </c>
      <c r="K1544">
        <v>0.42</v>
      </c>
      <c r="L1544">
        <v>0</v>
      </c>
      <c r="M1544">
        <v>0</v>
      </c>
    </row>
    <row r="1545" spans="1:13">
      <c r="A1545" s="28">
        <v>9835</v>
      </c>
      <c r="B1545" t="s">
        <v>1685</v>
      </c>
      <c r="C1545">
        <v>21700</v>
      </c>
      <c r="D1545">
        <v>-250</v>
      </c>
      <c r="E1545">
        <v>-1.1399999999999999</v>
      </c>
      <c r="F1545" t="s">
        <v>397</v>
      </c>
      <c r="G1545" t="s">
        <v>397</v>
      </c>
      <c r="H1545" t="s">
        <v>397</v>
      </c>
      <c r="I1545" t="s">
        <v>397</v>
      </c>
      <c r="J1545" t="s">
        <v>397</v>
      </c>
      <c r="K1545" t="s">
        <v>397</v>
      </c>
      <c r="L1545">
        <v>0</v>
      </c>
      <c r="M1545">
        <v>0</v>
      </c>
    </row>
    <row r="1546" spans="1:13">
      <c r="A1546" s="28">
        <v>5110</v>
      </c>
      <c r="B1546" t="s">
        <v>1686</v>
      </c>
      <c r="C1546">
        <v>1166</v>
      </c>
      <c r="D1546">
        <v>-43</v>
      </c>
      <c r="E1546">
        <v>-3.56</v>
      </c>
      <c r="F1546" t="s">
        <v>397</v>
      </c>
      <c r="G1546" t="s">
        <v>397</v>
      </c>
      <c r="H1546" t="s">
        <v>397</v>
      </c>
      <c r="I1546" t="s">
        <v>397</v>
      </c>
      <c r="J1546">
        <v>1375</v>
      </c>
      <c r="K1546">
        <v>0.85</v>
      </c>
      <c r="L1546">
        <v>0</v>
      </c>
      <c r="M1546">
        <v>0</v>
      </c>
    </row>
    <row r="1547" spans="1:13">
      <c r="A1547" s="28">
        <v>9830</v>
      </c>
      <c r="B1547" t="s">
        <v>1687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>
      <c r="A1548" s="28">
        <v>370</v>
      </c>
      <c r="B1548" t="s">
        <v>1688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>
      <c r="A1549" s="28">
        <v>88350</v>
      </c>
      <c r="B1549" t="s">
        <v>1689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>
      <c r="A1550" s="28" t="s">
        <v>1690</v>
      </c>
      <c r="B1550" t="s">
        <v>1691</v>
      </c>
      <c r="C1550">
        <v>3540</v>
      </c>
      <c r="D1550">
        <v>15</v>
      </c>
      <c r="E1550">
        <v>0.43</v>
      </c>
      <c r="F1550" t="s">
        <v>397</v>
      </c>
      <c r="G1550" t="s">
        <v>397</v>
      </c>
      <c r="H1550" t="s">
        <v>397</v>
      </c>
      <c r="I1550" t="s">
        <v>397</v>
      </c>
      <c r="J1550" t="s">
        <v>397</v>
      </c>
      <c r="K1550" t="s">
        <v>397</v>
      </c>
      <c r="L1550">
        <v>0</v>
      </c>
      <c r="M1550">
        <v>0</v>
      </c>
    </row>
    <row r="1551" spans="1:13">
      <c r="A1551" s="28">
        <v>452260</v>
      </c>
      <c r="B1551" t="s">
        <v>1692</v>
      </c>
      <c r="C1551">
        <v>1445</v>
      </c>
      <c r="D1551">
        <v>-6</v>
      </c>
      <c r="E1551">
        <v>-0.41</v>
      </c>
      <c r="F1551" t="s">
        <v>397</v>
      </c>
      <c r="G1551" t="s">
        <v>397</v>
      </c>
      <c r="H1551" t="s">
        <v>397</v>
      </c>
      <c r="I1551" t="s">
        <v>397</v>
      </c>
      <c r="J1551" t="s">
        <v>397</v>
      </c>
      <c r="K1551" t="s">
        <v>397</v>
      </c>
      <c r="L1551">
        <v>0</v>
      </c>
      <c r="M1551">
        <v>0</v>
      </c>
    </row>
    <row r="1552" spans="1:13">
      <c r="A1552" s="28">
        <v>2680</v>
      </c>
      <c r="B1552" t="s">
        <v>1693</v>
      </c>
      <c r="C1552">
        <v>1097</v>
      </c>
      <c r="D1552">
        <v>3</v>
      </c>
      <c r="E1552">
        <v>0.27</v>
      </c>
      <c r="F1552" t="s">
        <v>397</v>
      </c>
      <c r="G1552" t="s">
        <v>397</v>
      </c>
      <c r="H1552" t="s">
        <v>397</v>
      </c>
      <c r="I1552" t="s">
        <v>397</v>
      </c>
      <c r="J1552">
        <v>1748</v>
      </c>
      <c r="K1552">
        <v>0.63</v>
      </c>
      <c r="L1552">
        <v>0</v>
      </c>
      <c r="M1552">
        <v>0</v>
      </c>
    </row>
    <row r="1553" spans="1:13">
      <c r="A1553" s="28">
        <v>54920</v>
      </c>
      <c r="B1553" t="s">
        <v>1694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397</v>
      </c>
      <c r="I1553" t="s">
        <v>397</v>
      </c>
      <c r="J1553">
        <v>5681</v>
      </c>
      <c r="K1553">
        <v>0.61</v>
      </c>
      <c r="L1553">
        <v>0</v>
      </c>
      <c r="M1553">
        <v>0</v>
      </c>
    </row>
    <row r="1554" spans="1:13">
      <c r="A1554" s="28">
        <v>372910</v>
      </c>
      <c r="B1554" t="s">
        <v>1695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>
      <c r="A1555" s="28">
        <v>198940</v>
      </c>
      <c r="B1555" t="s">
        <v>1696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397</v>
      </c>
      <c r="I1555" t="s">
        <v>397</v>
      </c>
      <c r="J1555">
        <v>2596</v>
      </c>
      <c r="K1555">
        <v>1.18</v>
      </c>
      <c r="L1555">
        <v>0</v>
      </c>
      <c r="M1555">
        <v>0</v>
      </c>
    </row>
    <row r="1556" spans="1:13">
      <c r="A1556" s="28">
        <v>226440</v>
      </c>
      <c r="B1556" t="s">
        <v>1697</v>
      </c>
      <c r="C1556">
        <v>1530</v>
      </c>
      <c r="D1556">
        <v>0</v>
      </c>
      <c r="E1556">
        <v>0</v>
      </c>
      <c r="F1556" t="s">
        <v>397</v>
      </c>
      <c r="G1556" t="s">
        <v>397</v>
      </c>
      <c r="H1556" t="s">
        <v>397</v>
      </c>
      <c r="I1556" t="s">
        <v>397</v>
      </c>
      <c r="J1556">
        <v>391</v>
      </c>
      <c r="K1556">
        <v>3.91</v>
      </c>
      <c r="L1556">
        <v>0</v>
      </c>
      <c r="M1556">
        <v>0</v>
      </c>
    </row>
    <row r="1557" spans="1:13">
      <c r="A1557" s="28">
        <v>123840</v>
      </c>
      <c r="B1557" t="s">
        <v>1698</v>
      </c>
      <c r="C1557">
        <v>578</v>
      </c>
      <c r="D1557">
        <v>38</v>
      </c>
      <c r="E1557">
        <v>7.04</v>
      </c>
      <c r="F1557" t="s">
        <v>397</v>
      </c>
      <c r="G1557" t="s">
        <v>397</v>
      </c>
      <c r="H1557" t="s">
        <v>397</v>
      </c>
      <c r="I1557" t="s">
        <v>397</v>
      </c>
      <c r="J1557">
        <v>473</v>
      </c>
      <c r="K1557">
        <v>1.22</v>
      </c>
      <c r="L1557">
        <v>0</v>
      </c>
      <c r="M1557">
        <v>0</v>
      </c>
    </row>
    <row r="1558" spans="1:13">
      <c r="A1558" s="28">
        <v>5860</v>
      </c>
      <c r="B1558" t="s">
        <v>1699</v>
      </c>
      <c r="C1558">
        <v>4490</v>
      </c>
      <c r="D1558">
        <v>-50</v>
      </c>
      <c r="E1558">
        <v>-1.1000000000000001</v>
      </c>
      <c r="F1558" t="s">
        <v>397</v>
      </c>
      <c r="G1558" t="s">
        <v>397</v>
      </c>
      <c r="H1558" t="s">
        <v>397</v>
      </c>
      <c r="I1558" t="s">
        <v>397</v>
      </c>
      <c r="J1558">
        <v>1371</v>
      </c>
      <c r="K1558">
        <v>3.27</v>
      </c>
      <c r="L1558">
        <v>0</v>
      </c>
      <c r="M1558">
        <v>0</v>
      </c>
    </row>
    <row r="1559" spans="1:13">
      <c r="A1559" s="28">
        <v>24740</v>
      </c>
      <c r="B1559" t="s">
        <v>1700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397</v>
      </c>
      <c r="I1559" t="s">
        <v>397</v>
      </c>
      <c r="J1559">
        <v>3587</v>
      </c>
      <c r="K1559">
        <v>0.67</v>
      </c>
      <c r="L1559">
        <v>0</v>
      </c>
      <c r="M1559">
        <v>0</v>
      </c>
    </row>
    <row r="1560" spans="1:13">
      <c r="A1560" s="28">
        <v>91440</v>
      </c>
      <c r="B1560" t="s">
        <v>1701</v>
      </c>
      <c r="C1560">
        <v>13800</v>
      </c>
      <c r="D1560">
        <v>350</v>
      </c>
      <c r="E1560">
        <v>2.6</v>
      </c>
      <c r="F1560" t="s">
        <v>397</v>
      </c>
      <c r="G1560" t="s">
        <v>397</v>
      </c>
      <c r="H1560" t="s">
        <v>397</v>
      </c>
      <c r="I1560" t="s">
        <v>397</v>
      </c>
      <c r="J1560">
        <v>1709</v>
      </c>
      <c r="K1560">
        <v>8.07</v>
      </c>
      <c r="L1560">
        <v>0</v>
      </c>
      <c r="M1560">
        <v>0</v>
      </c>
    </row>
    <row r="1561" spans="1:13">
      <c r="A1561" s="28">
        <v>9420</v>
      </c>
      <c r="B1561" t="s">
        <v>1702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>
      <c r="A1562" s="28">
        <v>78350</v>
      </c>
      <c r="B1562" t="s">
        <v>1703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397</v>
      </c>
      <c r="I1562" t="s">
        <v>397</v>
      </c>
      <c r="J1562">
        <v>8129</v>
      </c>
      <c r="K1562">
        <v>1.96</v>
      </c>
      <c r="L1562">
        <v>0</v>
      </c>
      <c r="M1562">
        <v>0</v>
      </c>
    </row>
    <row r="1563" spans="1:13">
      <c r="A1563" s="28">
        <v>430690</v>
      </c>
      <c r="B1563" t="s">
        <v>1704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397</v>
      </c>
      <c r="I1563" t="s">
        <v>397</v>
      </c>
      <c r="J1563">
        <v>3458</v>
      </c>
      <c r="K1563">
        <v>4.2300000000000004</v>
      </c>
      <c r="L1563">
        <v>0</v>
      </c>
      <c r="M1563">
        <v>0</v>
      </c>
    </row>
    <row r="1564" spans="1:13">
      <c r="A1564" s="28">
        <v>42520</v>
      </c>
      <c r="B1564" t="s">
        <v>1705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397</v>
      </c>
      <c r="I1564" t="s">
        <v>397</v>
      </c>
      <c r="J1564">
        <v>4732</v>
      </c>
      <c r="K1564">
        <v>3.23</v>
      </c>
      <c r="L1564">
        <v>0</v>
      </c>
      <c r="M1564">
        <v>0</v>
      </c>
    </row>
    <row r="1565" spans="1:13">
      <c r="A1565" s="28">
        <v>388870</v>
      </c>
      <c r="B1565" t="s">
        <v>1706</v>
      </c>
      <c r="C1565">
        <v>15030</v>
      </c>
      <c r="D1565">
        <v>-1050</v>
      </c>
      <c r="E1565">
        <v>-6.53</v>
      </c>
      <c r="F1565" t="s">
        <v>397</v>
      </c>
      <c r="G1565" t="s">
        <v>397</v>
      </c>
      <c r="H1565" t="s">
        <v>397</v>
      </c>
      <c r="I1565" t="s">
        <v>397</v>
      </c>
      <c r="J1565">
        <v>1539</v>
      </c>
      <c r="K1565">
        <v>9.77</v>
      </c>
      <c r="L1565">
        <v>0</v>
      </c>
      <c r="M1565">
        <v>0</v>
      </c>
    </row>
    <row r="1566" spans="1:13">
      <c r="A1566" s="28">
        <v>33540</v>
      </c>
      <c r="B1566" t="s">
        <v>1707</v>
      </c>
      <c r="C1566">
        <v>2345</v>
      </c>
      <c r="D1566">
        <v>-15</v>
      </c>
      <c r="E1566">
        <v>-0.64</v>
      </c>
      <c r="F1566" t="s">
        <v>397</v>
      </c>
      <c r="G1566" t="s">
        <v>397</v>
      </c>
      <c r="H1566" t="s">
        <v>397</v>
      </c>
      <c r="I1566" t="s">
        <v>397</v>
      </c>
      <c r="J1566">
        <v>3380</v>
      </c>
      <c r="K1566">
        <v>0.69</v>
      </c>
      <c r="L1566">
        <v>0</v>
      </c>
      <c r="M1566">
        <v>0</v>
      </c>
    </row>
    <row r="1567" spans="1:13">
      <c r="A1567" s="28">
        <v>34230</v>
      </c>
      <c r="B1567" t="s">
        <v>1708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>
      <c r="A1568" s="28">
        <v>263700</v>
      </c>
      <c r="B1568" t="s">
        <v>1709</v>
      </c>
      <c r="C1568">
        <v>4800</v>
      </c>
      <c r="D1568">
        <v>25</v>
      </c>
      <c r="E1568">
        <v>0.52</v>
      </c>
      <c r="F1568" t="s">
        <v>397</v>
      </c>
      <c r="G1568" t="s">
        <v>397</v>
      </c>
      <c r="H1568" t="s">
        <v>397</v>
      </c>
      <c r="I1568" t="s">
        <v>397</v>
      </c>
      <c r="J1568">
        <v>4648</v>
      </c>
      <c r="K1568">
        <v>1.03</v>
      </c>
      <c r="L1568">
        <v>0</v>
      </c>
      <c r="M1568">
        <v>0</v>
      </c>
    </row>
    <row r="1569" spans="1:13">
      <c r="A1569" s="28">
        <v>199430</v>
      </c>
      <c r="B1569" t="s">
        <v>1710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397</v>
      </c>
      <c r="I1569" t="s">
        <v>397</v>
      </c>
      <c r="J1569">
        <v>235</v>
      </c>
      <c r="K1569">
        <v>108.94</v>
      </c>
      <c r="L1569">
        <v>0</v>
      </c>
      <c r="M1569">
        <v>0</v>
      </c>
    </row>
    <row r="1570" spans="1:13">
      <c r="A1570" s="28">
        <v>105330</v>
      </c>
      <c r="B1570" t="s">
        <v>1711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397</v>
      </c>
      <c r="I1570" t="s">
        <v>397</v>
      </c>
      <c r="J1570">
        <v>6569</v>
      </c>
      <c r="K1570">
        <v>1.24</v>
      </c>
      <c r="L1570">
        <v>0</v>
      </c>
      <c r="M1570">
        <v>0</v>
      </c>
    </row>
    <row r="1571" spans="1:13">
      <c r="A1571" s="28">
        <v>73010</v>
      </c>
      <c r="B1571" t="s">
        <v>1712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397</v>
      </c>
      <c r="I1571" t="s">
        <v>397</v>
      </c>
      <c r="J1571">
        <v>929</v>
      </c>
      <c r="K1571">
        <v>4.1399999999999997</v>
      </c>
      <c r="L1571">
        <v>0</v>
      </c>
      <c r="M1571">
        <v>0</v>
      </c>
    </row>
    <row r="1572" spans="1:13">
      <c r="A1572" s="28">
        <v>93640</v>
      </c>
      <c r="B1572" t="s">
        <v>1713</v>
      </c>
      <c r="C1572">
        <v>8230</v>
      </c>
      <c r="D1572">
        <v>40</v>
      </c>
      <c r="E1572">
        <v>0.49</v>
      </c>
      <c r="F1572" t="s">
        <v>397</v>
      </c>
      <c r="G1572" t="s">
        <v>397</v>
      </c>
      <c r="H1572" t="s">
        <v>397</v>
      </c>
      <c r="I1572" t="s">
        <v>397</v>
      </c>
      <c r="J1572">
        <v>2402</v>
      </c>
      <c r="K1572">
        <v>3.43</v>
      </c>
      <c r="L1572">
        <v>0</v>
      </c>
      <c r="M1572">
        <v>0</v>
      </c>
    </row>
    <row r="1573" spans="1:13">
      <c r="A1573" s="28">
        <v>436530</v>
      </c>
      <c r="B1573" t="s">
        <v>1714</v>
      </c>
      <c r="C1573">
        <v>3950</v>
      </c>
      <c r="D1573">
        <v>-50</v>
      </c>
      <c r="E1573">
        <v>-1.25</v>
      </c>
      <c r="F1573" t="s">
        <v>397</v>
      </c>
      <c r="G1573" t="s">
        <v>397</v>
      </c>
      <c r="H1573" t="s">
        <v>397</v>
      </c>
      <c r="I1573" t="s">
        <v>397</v>
      </c>
      <c r="J1573" t="s">
        <v>397</v>
      </c>
      <c r="K1573" t="s">
        <v>397</v>
      </c>
      <c r="L1573">
        <v>0</v>
      </c>
      <c r="M1573">
        <v>0</v>
      </c>
    </row>
    <row r="1574" spans="1:13">
      <c r="A1574" s="28">
        <v>424140</v>
      </c>
      <c r="B1574" t="s">
        <v>1715</v>
      </c>
      <c r="C1574">
        <v>2090</v>
      </c>
      <c r="D1574">
        <v>20</v>
      </c>
      <c r="E1574">
        <v>0.97</v>
      </c>
      <c r="F1574" t="s">
        <v>397</v>
      </c>
      <c r="G1574" t="s">
        <v>397</v>
      </c>
      <c r="H1574" t="s">
        <v>397</v>
      </c>
      <c r="I1574" t="s">
        <v>397</v>
      </c>
      <c r="J1574" t="s">
        <v>397</v>
      </c>
      <c r="K1574" t="s">
        <v>397</v>
      </c>
      <c r="L1574">
        <v>0</v>
      </c>
      <c r="M1574">
        <v>0</v>
      </c>
    </row>
    <row r="1575" spans="1:13">
      <c r="A1575" s="28">
        <v>1620</v>
      </c>
      <c r="B1575" t="s">
        <v>1716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397</v>
      </c>
      <c r="I1575" t="s">
        <v>397</v>
      </c>
      <c r="J1575">
        <v>1765</v>
      </c>
      <c r="K1575">
        <v>0.33</v>
      </c>
      <c r="L1575">
        <v>0</v>
      </c>
      <c r="M1575">
        <v>0</v>
      </c>
    </row>
    <row r="1576" spans="1:13">
      <c r="A1576" s="28">
        <v>38530</v>
      </c>
      <c r="B1576" t="s">
        <v>1717</v>
      </c>
      <c r="C1576">
        <v>237</v>
      </c>
      <c r="D1576">
        <v>-6</v>
      </c>
      <c r="E1576">
        <v>-2.4700000000000002</v>
      </c>
      <c r="F1576" t="s">
        <v>397</v>
      </c>
      <c r="G1576" t="s">
        <v>397</v>
      </c>
      <c r="H1576" t="s">
        <v>397</v>
      </c>
      <c r="I1576" t="s">
        <v>397</v>
      </c>
      <c r="J1576">
        <v>728</v>
      </c>
      <c r="K1576">
        <v>0.33</v>
      </c>
      <c r="L1576">
        <v>0</v>
      </c>
      <c r="M1576">
        <v>0</v>
      </c>
    </row>
    <row r="1577" spans="1:13">
      <c r="A1577" s="28">
        <v>79190</v>
      </c>
      <c r="B1577" t="s">
        <v>1718</v>
      </c>
      <c r="C1577">
        <v>779</v>
      </c>
      <c r="D1577">
        <v>-14</v>
      </c>
      <c r="E1577">
        <v>-1.77</v>
      </c>
      <c r="F1577" t="s">
        <v>397</v>
      </c>
      <c r="G1577" t="s">
        <v>397</v>
      </c>
      <c r="H1577" t="s">
        <v>397</v>
      </c>
      <c r="I1577" t="s">
        <v>397</v>
      </c>
      <c r="J1577">
        <v>451</v>
      </c>
      <c r="K1577">
        <v>1.73</v>
      </c>
      <c r="L1577">
        <v>0</v>
      </c>
      <c r="M1577">
        <v>0</v>
      </c>
    </row>
    <row r="1578" spans="1:13">
      <c r="A1578" s="28">
        <v>272110</v>
      </c>
      <c r="B1578" t="s">
        <v>1719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397</v>
      </c>
      <c r="I1578" t="s">
        <v>397</v>
      </c>
      <c r="J1578">
        <v>6769</v>
      </c>
      <c r="K1578">
        <v>2.4700000000000002</v>
      </c>
      <c r="L1578">
        <v>0</v>
      </c>
      <c r="M1578">
        <v>0</v>
      </c>
    </row>
    <row r="1579" spans="1:13">
      <c r="A1579" s="28">
        <v>307930</v>
      </c>
      <c r="B1579" t="s">
        <v>1720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397</v>
      </c>
      <c r="I1579" t="s">
        <v>397</v>
      </c>
      <c r="J1579">
        <v>4955</v>
      </c>
      <c r="K1579">
        <v>1.63</v>
      </c>
      <c r="L1579">
        <v>0</v>
      </c>
      <c r="M1579">
        <v>0</v>
      </c>
    </row>
    <row r="1580" spans="1:13">
      <c r="A1580" s="28">
        <v>63080</v>
      </c>
      <c r="B1580" t="s">
        <v>1721</v>
      </c>
      <c r="C1580">
        <v>37650</v>
      </c>
      <c r="D1580">
        <v>-1450</v>
      </c>
      <c r="E1580">
        <v>-3.71</v>
      </c>
      <c r="F1580" t="s">
        <v>397</v>
      </c>
      <c r="G1580" t="s">
        <v>397</v>
      </c>
      <c r="H1580" t="s">
        <v>397</v>
      </c>
      <c r="I1580" t="s">
        <v>397</v>
      </c>
      <c r="J1580">
        <v>45693</v>
      </c>
      <c r="K1580">
        <v>0.82</v>
      </c>
      <c r="L1580">
        <v>0</v>
      </c>
      <c r="M1580">
        <v>0</v>
      </c>
    </row>
    <row r="1581" spans="1:13">
      <c r="A1581" s="28">
        <v>451760</v>
      </c>
      <c r="B1581" t="s">
        <v>1722</v>
      </c>
      <c r="C1581">
        <v>15870</v>
      </c>
      <c r="D1581">
        <v>-680</v>
      </c>
      <c r="E1581">
        <v>-4.1100000000000003</v>
      </c>
      <c r="F1581" t="s">
        <v>397</v>
      </c>
      <c r="G1581" t="s">
        <v>397</v>
      </c>
      <c r="H1581" t="s">
        <v>397</v>
      </c>
      <c r="I1581" t="s">
        <v>397</v>
      </c>
      <c r="J1581" t="s">
        <v>397</v>
      </c>
      <c r="K1581" t="s">
        <v>397</v>
      </c>
      <c r="L1581">
        <v>0</v>
      </c>
      <c r="M1581">
        <v>0</v>
      </c>
    </row>
    <row r="1582" spans="1:13">
      <c r="A1582" s="28">
        <v>223310</v>
      </c>
      <c r="B1582" t="s">
        <v>1723</v>
      </c>
      <c r="C1582">
        <v>1426</v>
      </c>
      <c r="D1582">
        <v>-14</v>
      </c>
      <c r="E1582">
        <v>-0.97</v>
      </c>
      <c r="F1582" t="s">
        <v>397</v>
      </c>
      <c r="G1582" t="s">
        <v>397</v>
      </c>
      <c r="H1582" t="s">
        <v>397</v>
      </c>
      <c r="I1582" t="s">
        <v>397</v>
      </c>
      <c r="J1582">
        <v>1521</v>
      </c>
      <c r="K1582">
        <v>0.94</v>
      </c>
      <c r="L1582">
        <v>0</v>
      </c>
      <c r="M1582">
        <v>0</v>
      </c>
    </row>
    <row r="1583" spans="1:13">
      <c r="A1583" s="28">
        <v>119860</v>
      </c>
      <c r="B1583" t="s">
        <v>1724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>
      <c r="A1584" s="28">
        <v>50110</v>
      </c>
      <c r="B1584" t="s">
        <v>1725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397</v>
      </c>
      <c r="I1584" t="s">
        <v>397</v>
      </c>
      <c r="J1584">
        <v>1422</v>
      </c>
      <c r="K1584">
        <v>1</v>
      </c>
      <c r="L1584">
        <v>0</v>
      </c>
      <c r="M1584">
        <v>0</v>
      </c>
    </row>
    <row r="1585" spans="1:13">
      <c r="A1585" s="28">
        <v>71850</v>
      </c>
      <c r="B1585" t="s">
        <v>1726</v>
      </c>
      <c r="C1585">
        <v>2565</v>
      </c>
      <c r="D1585">
        <v>130</v>
      </c>
      <c r="E1585">
        <v>5.34</v>
      </c>
      <c r="F1585" t="s">
        <v>397</v>
      </c>
      <c r="G1585" t="s">
        <v>397</v>
      </c>
      <c r="H1585" t="s">
        <v>397</v>
      </c>
      <c r="I1585" t="s">
        <v>397</v>
      </c>
      <c r="J1585">
        <v>5542</v>
      </c>
      <c r="K1585">
        <v>0.46</v>
      </c>
      <c r="L1585">
        <v>0</v>
      </c>
      <c r="M1585">
        <v>0</v>
      </c>
    </row>
    <row r="1586" spans="1:13">
      <c r="A1586" s="28">
        <v>317530</v>
      </c>
      <c r="B1586" t="s">
        <v>1727</v>
      </c>
      <c r="C1586">
        <v>4735</v>
      </c>
      <c r="D1586">
        <v>-155</v>
      </c>
      <c r="E1586">
        <v>-3.17</v>
      </c>
      <c r="F1586" t="s">
        <v>397</v>
      </c>
      <c r="G1586" t="s">
        <v>397</v>
      </c>
      <c r="H1586" t="s">
        <v>397</v>
      </c>
      <c r="I1586" t="s">
        <v>397</v>
      </c>
      <c r="J1586">
        <v>1614</v>
      </c>
      <c r="K1586">
        <v>2.93</v>
      </c>
      <c r="L1586">
        <v>0</v>
      </c>
      <c r="M1586">
        <v>0</v>
      </c>
    </row>
    <row r="1587" spans="1:13">
      <c r="A1587" s="28">
        <v>432470</v>
      </c>
      <c r="B1587" t="s">
        <v>1728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397</v>
      </c>
      <c r="I1587" t="s">
        <v>397</v>
      </c>
      <c r="J1587">
        <v>6974</v>
      </c>
      <c r="K1587">
        <v>5.01</v>
      </c>
      <c r="L1587">
        <v>0</v>
      </c>
      <c r="M1587">
        <v>0</v>
      </c>
    </row>
    <row r="1588" spans="1:13">
      <c r="A1588" s="28">
        <v>32500</v>
      </c>
      <c r="B1588" t="s">
        <v>1729</v>
      </c>
      <c r="C1588">
        <v>12800</v>
      </c>
      <c r="D1588">
        <v>-360</v>
      </c>
      <c r="E1588">
        <v>-2.74</v>
      </c>
      <c r="F1588" t="s">
        <v>397</v>
      </c>
      <c r="G1588" t="s">
        <v>397</v>
      </c>
      <c r="H1588" t="s">
        <v>397</v>
      </c>
      <c r="I1588" t="s">
        <v>397</v>
      </c>
      <c r="J1588">
        <v>6034</v>
      </c>
      <c r="K1588">
        <v>2.12</v>
      </c>
      <c r="L1588">
        <v>0</v>
      </c>
      <c r="M1588">
        <v>0</v>
      </c>
    </row>
    <row r="1589" spans="1:13">
      <c r="A1589" s="28">
        <v>42000</v>
      </c>
      <c r="B1589" t="s">
        <v>1730</v>
      </c>
      <c r="C1589">
        <v>19700</v>
      </c>
      <c r="D1589">
        <v>-900</v>
      </c>
      <c r="E1589">
        <v>-4.37</v>
      </c>
      <c r="F1589" t="s">
        <v>397</v>
      </c>
      <c r="G1589" t="s">
        <v>397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>
      <c r="A1590" s="28">
        <v>402030</v>
      </c>
      <c r="B1590" t="s">
        <v>1731</v>
      </c>
      <c r="C1590">
        <v>30650</v>
      </c>
      <c r="D1590">
        <v>0</v>
      </c>
      <c r="E1590">
        <v>0</v>
      </c>
      <c r="F1590" t="s">
        <v>397</v>
      </c>
      <c r="G1590" t="s">
        <v>397</v>
      </c>
      <c r="H1590" t="s">
        <v>397</v>
      </c>
      <c r="I1590" t="s">
        <v>397</v>
      </c>
      <c r="J1590">
        <v>3574</v>
      </c>
      <c r="K1590">
        <v>8.58</v>
      </c>
      <c r="L1590">
        <v>0</v>
      </c>
      <c r="M1590">
        <v>0</v>
      </c>
    </row>
    <row r="1591" spans="1:13">
      <c r="A1591" s="28">
        <v>7810</v>
      </c>
      <c r="B1591" t="s">
        <v>1732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397</v>
      </c>
      <c r="I1591" t="s">
        <v>397</v>
      </c>
      <c r="J1591">
        <v>20204</v>
      </c>
      <c r="K1591">
        <v>0.9</v>
      </c>
      <c r="L1591">
        <v>0</v>
      </c>
      <c r="M1591">
        <v>0</v>
      </c>
    </row>
    <row r="1592" spans="1:13">
      <c r="A1592" s="28">
        <v>7815</v>
      </c>
      <c r="B1592" t="s">
        <v>1733</v>
      </c>
      <c r="C1592">
        <v>6610</v>
      </c>
      <c r="D1592">
        <v>-20</v>
      </c>
      <c r="E1592">
        <v>-0.3</v>
      </c>
      <c r="F1592" t="s">
        <v>397</v>
      </c>
      <c r="G1592" t="s">
        <v>397</v>
      </c>
      <c r="H1592" t="s">
        <v>397</v>
      </c>
      <c r="I1592" t="s">
        <v>397</v>
      </c>
      <c r="J1592" t="s">
        <v>397</v>
      </c>
      <c r="K1592" t="s">
        <v>397</v>
      </c>
      <c r="L1592">
        <v>0</v>
      </c>
      <c r="M1592">
        <v>0</v>
      </c>
    </row>
    <row r="1593" spans="1:13">
      <c r="A1593" s="28">
        <v>27050</v>
      </c>
      <c r="B1593" t="s">
        <v>1734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397</v>
      </c>
      <c r="I1593" t="s">
        <v>397</v>
      </c>
      <c r="J1593">
        <v>2725</v>
      </c>
      <c r="K1593">
        <v>0.97</v>
      </c>
      <c r="L1593">
        <v>0</v>
      </c>
      <c r="M1593">
        <v>0</v>
      </c>
    </row>
    <row r="1594" spans="1:13">
      <c r="A1594" s="28">
        <v>104540</v>
      </c>
      <c r="B1594" t="s">
        <v>1735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397</v>
      </c>
      <c r="I1594" t="s">
        <v>397</v>
      </c>
      <c r="J1594">
        <v>5324</v>
      </c>
      <c r="K1594">
        <v>2.0499999999999998</v>
      </c>
      <c r="L1594">
        <v>0</v>
      </c>
      <c r="M1594">
        <v>0</v>
      </c>
    </row>
    <row r="1595" spans="1:13">
      <c r="A1595" s="28">
        <v>80530</v>
      </c>
      <c r="B1595" t="s">
        <v>1736</v>
      </c>
      <c r="C1595">
        <v>2330</v>
      </c>
      <c r="D1595">
        <v>-125</v>
      </c>
      <c r="E1595">
        <v>-5.09</v>
      </c>
      <c r="F1595" t="s">
        <v>397</v>
      </c>
      <c r="G1595" t="s">
        <v>397</v>
      </c>
      <c r="H1595" t="s">
        <v>397</v>
      </c>
      <c r="I1595" t="s">
        <v>397</v>
      </c>
      <c r="J1595">
        <v>844</v>
      </c>
      <c r="K1595">
        <v>2.76</v>
      </c>
      <c r="L1595">
        <v>0</v>
      </c>
      <c r="M1595">
        <v>0</v>
      </c>
    </row>
    <row r="1596" spans="1:13">
      <c r="A1596" s="28">
        <v>47770</v>
      </c>
      <c r="B1596" t="s">
        <v>1737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397</v>
      </c>
      <c r="I1596" t="s">
        <v>397</v>
      </c>
      <c r="J1596">
        <v>1585</v>
      </c>
      <c r="K1596">
        <v>1.05</v>
      </c>
      <c r="L1596">
        <v>0</v>
      </c>
      <c r="M1596">
        <v>0</v>
      </c>
    </row>
    <row r="1597" spans="1:13">
      <c r="A1597" s="28">
        <v>46070</v>
      </c>
      <c r="B1597" t="s">
        <v>1738</v>
      </c>
      <c r="C1597">
        <v>244</v>
      </c>
      <c r="D1597">
        <v>1</v>
      </c>
      <c r="E1597">
        <v>0.41</v>
      </c>
      <c r="F1597" t="s">
        <v>397</v>
      </c>
      <c r="G1597" t="s">
        <v>397</v>
      </c>
      <c r="H1597" t="s">
        <v>397</v>
      </c>
      <c r="I1597" t="s">
        <v>397</v>
      </c>
      <c r="J1597">
        <v>302</v>
      </c>
      <c r="K1597">
        <v>0.81</v>
      </c>
      <c r="L1597">
        <v>0</v>
      </c>
      <c r="M1597">
        <v>0</v>
      </c>
    </row>
    <row r="1598" spans="1:13">
      <c r="A1598" s="28">
        <v>391710</v>
      </c>
      <c r="B1598" t="s">
        <v>1739</v>
      </c>
      <c r="C1598">
        <v>3185</v>
      </c>
      <c r="D1598">
        <v>-35</v>
      </c>
      <c r="E1598">
        <v>-1.0900000000000001</v>
      </c>
      <c r="F1598" t="s">
        <v>397</v>
      </c>
      <c r="G1598" t="s">
        <v>397</v>
      </c>
      <c r="H1598" t="s">
        <v>397</v>
      </c>
      <c r="I1598" t="s">
        <v>397</v>
      </c>
      <c r="J1598">
        <v>556</v>
      </c>
      <c r="K1598">
        <v>5.73</v>
      </c>
      <c r="L1598">
        <v>0</v>
      </c>
      <c r="M1598">
        <v>0</v>
      </c>
    </row>
    <row r="1599" spans="1:13">
      <c r="A1599" s="28">
        <v>52400</v>
      </c>
      <c r="B1599" t="s">
        <v>1740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397</v>
      </c>
      <c r="I1599" t="s">
        <v>397</v>
      </c>
      <c r="J1599">
        <v>10912</v>
      </c>
      <c r="K1599">
        <v>1.55</v>
      </c>
      <c r="L1599">
        <v>0</v>
      </c>
      <c r="M1599">
        <v>0</v>
      </c>
    </row>
    <row r="1600" spans="1:13">
      <c r="A1600" s="28">
        <v>225430</v>
      </c>
      <c r="B1600" t="s">
        <v>1741</v>
      </c>
      <c r="C1600">
        <v>903</v>
      </c>
      <c r="D1600">
        <v>4</v>
      </c>
      <c r="E1600">
        <v>0.44</v>
      </c>
      <c r="F1600" t="s">
        <v>397</v>
      </c>
      <c r="G1600" t="s">
        <v>397</v>
      </c>
      <c r="H1600" t="s">
        <v>397</v>
      </c>
      <c r="I1600" t="s">
        <v>397</v>
      </c>
      <c r="J1600">
        <v>1303</v>
      </c>
      <c r="K1600">
        <v>0.69</v>
      </c>
      <c r="L1600">
        <v>0</v>
      </c>
      <c r="M1600">
        <v>0</v>
      </c>
    </row>
    <row r="1601" spans="1:13">
      <c r="A1601" s="28">
        <v>220260</v>
      </c>
      <c r="B1601" t="s">
        <v>1742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397</v>
      </c>
      <c r="I1601" t="s">
        <v>397</v>
      </c>
      <c r="J1601">
        <v>2220</v>
      </c>
      <c r="K1601">
        <v>3.68</v>
      </c>
      <c r="L1601">
        <v>0</v>
      </c>
      <c r="M1601">
        <v>0</v>
      </c>
    </row>
    <row r="1602" spans="1:13">
      <c r="A1602" s="28">
        <v>274090</v>
      </c>
      <c r="B1602" t="s">
        <v>1743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397</v>
      </c>
      <c r="I1602" t="s">
        <v>397</v>
      </c>
      <c r="J1602">
        <v>3115</v>
      </c>
      <c r="K1602">
        <v>3.69</v>
      </c>
      <c r="L1602">
        <v>0</v>
      </c>
      <c r="M1602">
        <v>0</v>
      </c>
    </row>
    <row r="1603" spans="1:13">
      <c r="A1603" s="28">
        <v>258610</v>
      </c>
      <c r="B1603" t="s">
        <v>1744</v>
      </c>
      <c r="C1603">
        <v>3200</v>
      </c>
      <c r="D1603">
        <v>-120</v>
      </c>
      <c r="E1603">
        <v>-3.61</v>
      </c>
      <c r="F1603" t="s">
        <v>397</v>
      </c>
      <c r="G1603" t="s">
        <v>397</v>
      </c>
      <c r="H1603" t="s">
        <v>397</v>
      </c>
      <c r="I1603" t="s">
        <v>397</v>
      </c>
      <c r="J1603">
        <v>2517</v>
      </c>
      <c r="K1603">
        <v>1.27</v>
      </c>
      <c r="L1603">
        <v>0</v>
      </c>
      <c r="M1603">
        <v>0</v>
      </c>
    </row>
    <row r="1604" spans="1:13">
      <c r="A1604" s="28">
        <v>54410</v>
      </c>
      <c r="B1604" t="s">
        <v>1745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397</v>
      </c>
      <c r="I1604" t="s">
        <v>397</v>
      </c>
      <c r="J1604">
        <v>7906</v>
      </c>
      <c r="K1604">
        <v>0.63</v>
      </c>
      <c r="L1604">
        <v>0</v>
      </c>
      <c r="M1604">
        <v>0</v>
      </c>
    </row>
    <row r="1605" spans="1:13">
      <c r="A1605" s="28">
        <v>42040</v>
      </c>
      <c r="B1605" t="s">
        <v>1746</v>
      </c>
      <c r="C1605">
        <v>435</v>
      </c>
      <c r="D1605">
        <v>4</v>
      </c>
      <c r="E1605">
        <v>0.93</v>
      </c>
      <c r="F1605" t="s">
        <v>397</v>
      </c>
      <c r="G1605" t="s">
        <v>397</v>
      </c>
      <c r="H1605" t="s">
        <v>397</v>
      </c>
      <c r="I1605" t="s">
        <v>397</v>
      </c>
      <c r="J1605">
        <v>613</v>
      </c>
      <c r="K1605">
        <v>0.71</v>
      </c>
      <c r="L1605">
        <v>0</v>
      </c>
      <c r="M1605">
        <v>0</v>
      </c>
    </row>
    <row r="1606" spans="1:13">
      <c r="A1606" s="28">
        <v>256940</v>
      </c>
      <c r="B1606" t="s">
        <v>1747</v>
      </c>
      <c r="C1606">
        <v>6710</v>
      </c>
      <c r="D1606">
        <v>250</v>
      </c>
      <c r="E1606">
        <v>3.87</v>
      </c>
      <c r="F1606" t="s">
        <v>397</v>
      </c>
      <c r="G1606" t="s">
        <v>397</v>
      </c>
      <c r="H1606" t="s">
        <v>397</v>
      </c>
      <c r="I1606" t="s">
        <v>397</v>
      </c>
      <c r="J1606">
        <v>2831</v>
      </c>
      <c r="K1606">
        <v>2.37</v>
      </c>
      <c r="L1606">
        <v>0</v>
      </c>
      <c r="M1606">
        <v>0</v>
      </c>
    </row>
    <row r="1607" spans="1:13">
      <c r="A1607" s="28">
        <v>36030</v>
      </c>
      <c r="B1607" t="s">
        <v>1748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397</v>
      </c>
      <c r="I1607" t="s">
        <v>397</v>
      </c>
      <c r="J1607">
        <v>4715</v>
      </c>
      <c r="K1607">
        <v>1.19</v>
      </c>
      <c r="L1607">
        <v>0</v>
      </c>
      <c r="M1607">
        <v>0</v>
      </c>
    </row>
    <row r="1608" spans="1:13">
      <c r="A1608" s="28">
        <v>68100</v>
      </c>
      <c r="B1608" t="s">
        <v>1749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397</v>
      </c>
      <c r="I1608" t="s">
        <v>397</v>
      </c>
      <c r="J1608">
        <v>1197</v>
      </c>
      <c r="K1608">
        <v>7.54</v>
      </c>
      <c r="L1608">
        <v>0</v>
      </c>
      <c r="M1608">
        <v>0</v>
      </c>
    </row>
    <row r="1609" spans="1:13">
      <c r="A1609" s="28">
        <v>6380</v>
      </c>
      <c r="B1609" t="s">
        <v>1750</v>
      </c>
      <c r="C1609">
        <v>732</v>
      </c>
      <c r="D1609">
        <v>0</v>
      </c>
      <c r="E1609">
        <v>0</v>
      </c>
      <c r="F1609" t="s">
        <v>397</v>
      </c>
      <c r="G1609" t="s">
        <v>397</v>
      </c>
      <c r="H1609" t="s">
        <v>397</v>
      </c>
      <c r="I1609" t="s">
        <v>397</v>
      </c>
      <c r="J1609">
        <v>665</v>
      </c>
      <c r="K1609">
        <v>1.1000000000000001</v>
      </c>
      <c r="L1609">
        <v>0</v>
      </c>
      <c r="M1609">
        <v>0</v>
      </c>
    </row>
    <row r="1610" spans="1:13">
      <c r="A1610" s="28">
        <v>377300</v>
      </c>
      <c r="B1610" t="s">
        <v>1751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>
      <c r="A1611" s="28">
        <v>440110</v>
      </c>
      <c r="B1611" t="s">
        <v>1752</v>
      </c>
      <c r="C1611">
        <v>19390</v>
      </c>
      <c r="D1611">
        <v>-190</v>
      </c>
      <c r="E1611">
        <v>-0.97</v>
      </c>
      <c r="F1611" t="s">
        <v>397</v>
      </c>
      <c r="G1611" t="s">
        <v>397</v>
      </c>
      <c r="H1611" t="s">
        <v>397</v>
      </c>
      <c r="I1611" t="s">
        <v>397</v>
      </c>
      <c r="J1611">
        <v>996</v>
      </c>
      <c r="K1611">
        <v>19.47</v>
      </c>
      <c r="L1611">
        <v>0</v>
      </c>
      <c r="M1611">
        <v>0</v>
      </c>
    </row>
    <row r="1612" spans="1:13">
      <c r="A1612" s="28">
        <v>358570</v>
      </c>
      <c r="B1612" t="s">
        <v>1753</v>
      </c>
      <c r="C1612">
        <v>12160</v>
      </c>
      <c r="D1612">
        <v>-540</v>
      </c>
      <c r="E1612">
        <v>-4.25</v>
      </c>
      <c r="F1612" t="s">
        <v>397</v>
      </c>
      <c r="G1612" t="s">
        <v>397</v>
      </c>
      <c r="H1612" t="s">
        <v>397</v>
      </c>
      <c r="I1612" t="s">
        <v>397</v>
      </c>
      <c r="J1612">
        <v>2392</v>
      </c>
      <c r="K1612">
        <v>5.08</v>
      </c>
      <c r="L1612">
        <v>0</v>
      </c>
      <c r="M1612">
        <v>0</v>
      </c>
    </row>
    <row r="1613" spans="1:13">
      <c r="A1613" s="28">
        <v>219750</v>
      </c>
      <c r="B1613" t="s">
        <v>1754</v>
      </c>
      <c r="C1613">
        <v>2850</v>
      </c>
      <c r="D1613">
        <v>0</v>
      </c>
      <c r="E1613">
        <v>0</v>
      </c>
      <c r="F1613" t="s">
        <v>397</v>
      </c>
      <c r="G1613" t="s">
        <v>397</v>
      </c>
      <c r="H1613" t="s">
        <v>397</v>
      </c>
      <c r="I1613" t="s">
        <v>397</v>
      </c>
      <c r="J1613">
        <v>478</v>
      </c>
      <c r="K1613">
        <v>5.96</v>
      </c>
      <c r="L1613">
        <v>0</v>
      </c>
      <c r="M1613">
        <v>0</v>
      </c>
    </row>
    <row r="1614" spans="1:13">
      <c r="A1614" s="28">
        <v>388050</v>
      </c>
      <c r="B1614" t="s">
        <v>1755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397</v>
      </c>
      <c r="I1614" t="s">
        <v>397</v>
      </c>
      <c r="J1614">
        <v>1693</v>
      </c>
      <c r="K1614">
        <v>5.81</v>
      </c>
      <c r="L1614">
        <v>0</v>
      </c>
      <c r="M1614">
        <v>0</v>
      </c>
    </row>
    <row r="1615" spans="1:13">
      <c r="A1615" s="28">
        <v>270520</v>
      </c>
      <c r="B1615" t="s">
        <v>1756</v>
      </c>
      <c r="C1615">
        <v>2920</v>
      </c>
      <c r="D1615">
        <v>-135</v>
      </c>
      <c r="E1615">
        <v>-4.42</v>
      </c>
      <c r="F1615" t="s">
        <v>397</v>
      </c>
      <c r="G1615" t="s">
        <v>397</v>
      </c>
      <c r="H1615" t="s">
        <v>397</v>
      </c>
      <c r="I1615" t="s">
        <v>397</v>
      </c>
      <c r="J1615">
        <v>384</v>
      </c>
      <c r="K1615">
        <v>7.6</v>
      </c>
      <c r="L1615">
        <v>0</v>
      </c>
      <c r="M1615">
        <v>0</v>
      </c>
    </row>
    <row r="1616" spans="1:13">
      <c r="A1616" s="28">
        <v>71320</v>
      </c>
      <c r="B1616" t="s">
        <v>1757</v>
      </c>
      <c r="C1616">
        <v>39850</v>
      </c>
      <c r="D1616">
        <v>-650</v>
      </c>
      <c r="E1616">
        <v>-1.6</v>
      </c>
      <c r="F1616" t="s">
        <v>397</v>
      </c>
      <c r="G1616" t="s">
        <v>397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>
      <c r="A1617" s="28">
        <v>204840</v>
      </c>
      <c r="B1617" t="s">
        <v>1758</v>
      </c>
      <c r="C1617">
        <v>1308</v>
      </c>
      <c r="D1617">
        <v>-23</v>
      </c>
      <c r="E1617">
        <v>-1.73</v>
      </c>
      <c r="F1617" t="s">
        <v>397</v>
      </c>
      <c r="G1617" t="s">
        <v>397</v>
      </c>
      <c r="H1617" t="s">
        <v>397</v>
      </c>
      <c r="I1617" t="s">
        <v>397</v>
      </c>
      <c r="J1617">
        <v>259</v>
      </c>
      <c r="K1617">
        <v>5.05</v>
      </c>
      <c r="L1617">
        <v>0</v>
      </c>
      <c r="M1617">
        <v>0</v>
      </c>
    </row>
    <row r="1618" spans="1:13">
      <c r="A1618" s="28">
        <v>65060</v>
      </c>
      <c r="B1618" t="s">
        <v>1759</v>
      </c>
      <c r="C1618">
        <v>432</v>
      </c>
      <c r="D1618">
        <v>8</v>
      </c>
      <c r="E1618">
        <v>1.89</v>
      </c>
      <c r="F1618" t="s">
        <v>397</v>
      </c>
      <c r="G1618" t="s">
        <v>397</v>
      </c>
      <c r="H1618" t="s">
        <v>397</v>
      </c>
      <c r="I1618" t="s">
        <v>397</v>
      </c>
      <c r="J1618">
        <v>475</v>
      </c>
      <c r="K1618">
        <v>0.91</v>
      </c>
      <c r="L1618">
        <v>0</v>
      </c>
      <c r="M1618">
        <v>0</v>
      </c>
    </row>
    <row r="1619" spans="1:13">
      <c r="A1619" s="28">
        <v>51160</v>
      </c>
      <c r="B1619" t="s">
        <v>1760</v>
      </c>
      <c r="C1619">
        <v>7820</v>
      </c>
      <c r="D1619">
        <v>-90</v>
      </c>
      <c r="E1619">
        <v>-1.1399999999999999</v>
      </c>
      <c r="F1619" t="s">
        <v>397</v>
      </c>
      <c r="G1619" t="s">
        <v>397</v>
      </c>
      <c r="H1619" t="s">
        <v>397</v>
      </c>
      <c r="I1619" t="s">
        <v>397</v>
      </c>
      <c r="J1619">
        <v>8000</v>
      </c>
      <c r="K1619">
        <v>0.98</v>
      </c>
      <c r="L1619">
        <v>0</v>
      </c>
      <c r="M1619">
        <v>0</v>
      </c>
    </row>
    <row r="1620" spans="1:13">
      <c r="A1620" s="28">
        <v>382800</v>
      </c>
      <c r="B1620" t="s">
        <v>1761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397</v>
      </c>
      <c r="I1620" t="s">
        <v>397</v>
      </c>
      <c r="J1620">
        <v>2430</v>
      </c>
      <c r="K1620">
        <v>2.4</v>
      </c>
      <c r="L1620">
        <v>0</v>
      </c>
      <c r="M1620">
        <v>0</v>
      </c>
    </row>
    <row r="1621" spans="1:13">
      <c r="A1621" s="28">
        <v>208350</v>
      </c>
      <c r="B1621" t="s">
        <v>1762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397</v>
      </c>
      <c r="I1621" t="s">
        <v>397</v>
      </c>
      <c r="J1621">
        <v>4779</v>
      </c>
      <c r="K1621">
        <v>0.8</v>
      </c>
      <c r="L1621">
        <v>0</v>
      </c>
      <c r="M1621">
        <v>0</v>
      </c>
    </row>
    <row r="1622" spans="1:13">
      <c r="A1622" s="28">
        <v>86060</v>
      </c>
      <c r="B1622" t="s">
        <v>1763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397</v>
      </c>
      <c r="I1622" t="s">
        <v>397</v>
      </c>
      <c r="J1622">
        <v>5310</v>
      </c>
      <c r="K1622">
        <v>0.78</v>
      </c>
      <c r="L1622">
        <v>0</v>
      </c>
      <c r="M1622">
        <v>0</v>
      </c>
    </row>
    <row r="1623" spans="1:13">
      <c r="A1623" s="28">
        <v>36180</v>
      </c>
      <c r="B1623" t="s">
        <v>1764</v>
      </c>
      <c r="C1623">
        <v>552</v>
      </c>
      <c r="D1623">
        <v>-18</v>
      </c>
      <c r="E1623">
        <v>-3.16</v>
      </c>
      <c r="F1623" t="s">
        <v>397</v>
      </c>
      <c r="G1623" t="s">
        <v>397</v>
      </c>
      <c r="H1623" t="s">
        <v>397</v>
      </c>
      <c r="I1623" t="s">
        <v>397</v>
      </c>
      <c r="J1623">
        <v>630</v>
      </c>
      <c r="K1623">
        <v>0.88</v>
      </c>
      <c r="L1623">
        <v>0</v>
      </c>
      <c r="M1623">
        <v>0</v>
      </c>
    </row>
    <row r="1624" spans="1:13">
      <c r="A1624" s="28">
        <v>303030</v>
      </c>
      <c r="B1624" t="s">
        <v>1765</v>
      </c>
      <c r="C1624">
        <v>2170</v>
      </c>
      <c r="D1624">
        <v>-60</v>
      </c>
      <c r="E1624">
        <v>-2.69</v>
      </c>
      <c r="F1624" t="s">
        <v>397</v>
      </c>
      <c r="G1624" t="s">
        <v>397</v>
      </c>
      <c r="H1624" t="s">
        <v>397</v>
      </c>
      <c r="I1624" t="s">
        <v>397</v>
      </c>
      <c r="J1624">
        <v>612</v>
      </c>
      <c r="K1624">
        <v>3.55</v>
      </c>
      <c r="L1624">
        <v>0</v>
      </c>
      <c r="M1624">
        <v>0</v>
      </c>
    </row>
    <row r="1625" spans="1:13">
      <c r="A1625" s="28">
        <v>43610</v>
      </c>
      <c r="B1625" t="s">
        <v>1766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397</v>
      </c>
      <c r="I1625" t="s">
        <v>397</v>
      </c>
      <c r="J1625">
        <v>2714</v>
      </c>
      <c r="K1625">
        <v>1.2</v>
      </c>
      <c r="L1625">
        <v>0</v>
      </c>
      <c r="M1625">
        <v>0</v>
      </c>
    </row>
    <row r="1626" spans="1:13">
      <c r="A1626" s="28">
        <v>389030</v>
      </c>
      <c r="B1626" t="s">
        <v>1767</v>
      </c>
      <c r="C1626">
        <v>2000</v>
      </c>
      <c r="D1626">
        <v>-35</v>
      </c>
      <c r="E1626">
        <v>-1.72</v>
      </c>
      <c r="F1626" t="s">
        <v>397</v>
      </c>
      <c r="G1626" t="s">
        <v>397</v>
      </c>
      <c r="H1626" t="s">
        <v>397</v>
      </c>
      <c r="I1626" t="s">
        <v>397</v>
      </c>
      <c r="J1626">
        <v>1327</v>
      </c>
      <c r="K1626">
        <v>1.51</v>
      </c>
      <c r="L1626">
        <v>0</v>
      </c>
      <c r="M1626">
        <v>0</v>
      </c>
    </row>
    <row r="1627" spans="1:13">
      <c r="A1627" s="28">
        <v>314130</v>
      </c>
      <c r="B1627" t="s">
        <v>1768</v>
      </c>
      <c r="C1627">
        <v>9790</v>
      </c>
      <c r="D1627">
        <v>-100</v>
      </c>
      <c r="E1627">
        <v>-1.01</v>
      </c>
      <c r="F1627" t="s">
        <v>397</v>
      </c>
      <c r="G1627" t="s">
        <v>397</v>
      </c>
      <c r="H1627" t="s">
        <v>397</v>
      </c>
      <c r="I1627" t="s">
        <v>397</v>
      </c>
      <c r="J1627">
        <v>6905</v>
      </c>
      <c r="K1627">
        <v>1.42</v>
      </c>
      <c r="L1627">
        <v>0</v>
      </c>
      <c r="M1627">
        <v>0</v>
      </c>
    </row>
    <row r="1628" spans="1:13">
      <c r="A1628" s="28">
        <v>228760</v>
      </c>
      <c r="B1628" t="s">
        <v>1769</v>
      </c>
      <c r="C1628">
        <v>21600</v>
      </c>
      <c r="D1628">
        <v>-1150</v>
      </c>
      <c r="E1628">
        <v>-5.05</v>
      </c>
      <c r="F1628" t="s">
        <v>397</v>
      </c>
      <c r="G1628" t="s">
        <v>397</v>
      </c>
      <c r="H1628" t="s">
        <v>397</v>
      </c>
      <c r="I1628" t="s">
        <v>397</v>
      </c>
      <c r="J1628">
        <v>5185</v>
      </c>
      <c r="K1628">
        <v>4.17</v>
      </c>
      <c r="L1628">
        <v>0</v>
      </c>
      <c r="M1628">
        <v>0</v>
      </c>
    </row>
    <row r="1629" spans="1:13">
      <c r="A1629" s="28">
        <v>51980</v>
      </c>
      <c r="B1629" t="s">
        <v>1770</v>
      </c>
      <c r="C1629">
        <v>4205</v>
      </c>
      <c r="D1629">
        <v>-225</v>
      </c>
      <c r="E1629">
        <v>-5.08</v>
      </c>
      <c r="F1629" t="s">
        <v>397</v>
      </c>
      <c r="G1629" t="s">
        <v>397</v>
      </c>
      <c r="H1629" t="s">
        <v>397</v>
      </c>
      <c r="I1629" t="s">
        <v>397</v>
      </c>
      <c r="J1629">
        <v>579</v>
      </c>
      <c r="K1629">
        <v>7.26</v>
      </c>
      <c r="L1629">
        <v>0</v>
      </c>
      <c r="M1629">
        <v>0</v>
      </c>
    </row>
    <row r="1630" spans="1:13">
      <c r="A1630" s="28">
        <v>239340</v>
      </c>
      <c r="B1630" t="s">
        <v>1771</v>
      </c>
      <c r="C1630">
        <v>2945</v>
      </c>
      <c r="D1630">
        <v>-35</v>
      </c>
      <c r="E1630">
        <v>-1.17</v>
      </c>
      <c r="F1630" t="s">
        <v>397</v>
      </c>
      <c r="G1630" t="s">
        <v>397</v>
      </c>
      <c r="H1630" t="s">
        <v>397</v>
      </c>
      <c r="I1630" t="s">
        <v>397</v>
      </c>
      <c r="J1630">
        <v>1158</v>
      </c>
      <c r="K1630">
        <v>2.54</v>
      </c>
      <c r="L1630">
        <v>0</v>
      </c>
      <c r="M1630">
        <v>0</v>
      </c>
    </row>
    <row r="1631" spans="1:13">
      <c r="A1631" s="28">
        <v>109820</v>
      </c>
      <c r="B1631" t="s">
        <v>1772</v>
      </c>
      <c r="C1631">
        <v>2460</v>
      </c>
      <c r="D1631">
        <v>-15</v>
      </c>
      <c r="E1631">
        <v>-0.61</v>
      </c>
      <c r="F1631" t="s">
        <v>397</v>
      </c>
      <c r="G1631" t="s">
        <v>397</v>
      </c>
      <c r="H1631" t="s">
        <v>397</v>
      </c>
      <c r="I1631" t="s">
        <v>397</v>
      </c>
      <c r="J1631">
        <v>1211</v>
      </c>
      <c r="K1631">
        <v>2.0299999999999998</v>
      </c>
      <c r="L1631">
        <v>0</v>
      </c>
      <c r="M1631">
        <v>0</v>
      </c>
    </row>
    <row r="1632" spans="1:13">
      <c r="A1632" s="28">
        <v>363250</v>
      </c>
      <c r="B1632" t="s">
        <v>1773</v>
      </c>
      <c r="C1632">
        <v>5760</v>
      </c>
      <c r="D1632">
        <v>-190</v>
      </c>
      <c r="E1632">
        <v>-3.19</v>
      </c>
      <c r="F1632" t="s">
        <v>397</v>
      </c>
      <c r="G1632" t="s">
        <v>397</v>
      </c>
      <c r="H1632" t="s">
        <v>397</v>
      </c>
      <c r="I1632" t="s">
        <v>397</v>
      </c>
      <c r="J1632">
        <v>5066</v>
      </c>
      <c r="K1632">
        <v>1.1399999999999999</v>
      </c>
      <c r="L1632">
        <v>0</v>
      </c>
      <c r="M1632">
        <v>0</v>
      </c>
    </row>
    <row r="1633" spans="1:13">
      <c r="A1633" s="28">
        <v>293490</v>
      </c>
      <c r="B1633" t="s">
        <v>1774</v>
      </c>
      <c r="C1633">
        <v>23150</v>
      </c>
      <c r="D1633">
        <v>-400</v>
      </c>
      <c r="E1633">
        <v>-1.7</v>
      </c>
      <c r="F1633" t="s">
        <v>397</v>
      </c>
      <c r="G1633" t="s">
        <v>397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>
      <c r="A1634" s="28">
        <v>94850</v>
      </c>
      <c r="B1634" t="s">
        <v>1775</v>
      </c>
      <c r="C1634">
        <v>7050</v>
      </c>
      <c r="D1634">
        <v>-20</v>
      </c>
      <c r="E1634">
        <v>-0.28000000000000003</v>
      </c>
      <c r="F1634" t="s">
        <v>397</v>
      </c>
      <c r="G1634" t="s">
        <v>397</v>
      </c>
      <c r="H1634" t="s">
        <v>397</v>
      </c>
      <c r="I1634" t="s">
        <v>397</v>
      </c>
      <c r="J1634">
        <v>5830</v>
      </c>
      <c r="K1634">
        <v>1.21</v>
      </c>
      <c r="L1634">
        <v>0</v>
      </c>
      <c r="M1634">
        <v>0</v>
      </c>
    </row>
    <row r="1635" spans="1:13">
      <c r="A1635" s="28">
        <v>284620</v>
      </c>
      <c r="B1635" t="s">
        <v>1776</v>
      </c>
      <c r="C1635">
        <v>3775</v>
      </c>
      <c r="D1635">
        <v>-45</v>
      </c>
      <c r="E1635">
        <v>-1.18</v>
      </c>
      <c r="F1635" t="s">
        <v>397</v>
      </c>
      <c r="G1635" t="s">
        <v>397</v>
      </c>
      <c r="H1635" t="s">
        <v>397</v>
      </c>
      <c r="I1635" t="s">
        <v>397</v>
      </c>
      <c r="J1635">
        <v>935</v>
      </c>
      <c r="K1635">
        <v>4.04</v>
      </c>
      <c r="L1635">
        <v>0</v>
      </c>
      <c r="M1635">
        <v>0</v>
      </c>
    </row>
    <row r="1636" spans="1:13">
      <c r="A1636" s="28">
        <v>16790</v>
      </c>
      <c r="B1636" t="s">
        <v>1777</v>
      </c>
      <c r="C1636">
        <v>994</v>
      </c>
      <c r="D1636">
        <v>0</v>
      </c>
      <c r="E1636">
        <v>0</v>
      </c>
      <c r="F1636" t="s">
        <v>397</v>
      </c>
      <c r="G1636" t="s">
        <v>397</v>
      </c>
      <c r="H1636" t="s">
        <v>397</v>
      </c>
      <c r="I1636" t="s">
        <v>397</v>
      </c>
      <c r="J1636">
        <v>301</v>
      </c>
      <c r="K1636">
        <v>3.3</v>
      </c>
      <c r="L1636">
        <v>0</v>
      </c>
      <c r="M1636">
        <v>0</v>
      </c>
    </row>
    <row r="1637" spans="1:13">
      <c r="A1637" s="28">
        <v>47820</v>
      </c>
      <c r="B1637" t="s">
        <v>1778</v>
      </c>
      <c r="C1637">
        <v>5400</v>
      </c>
      <c r="D1637">
        <v>0</v>
      </c>
      <c r="E1637">
        <v>0</v>
      </c>
      <c r="F1637" t="s">
        <v>397</v>
      </c>
      <c r="G1637" t="s">
        <v>397</v>
      </c>
      <c r="H1637" t="s">
        <v>397</v>
      </c>
      <c r="I1637" t="s">
        <v>397</v>
      </c>
      <c r="J1637">
        <v>13331</v>
      </c>
      <c r="K1637">
        <v>0.41</v>
      </c>
      <c r="L1637">
        <v>0</v>
      </c>
      <c r="M1637">
        <v>0</v>
      </c>
    </row>
    <row r="1638" spans="1:13">
      <c r="A1638" s="28">
        <v>33250</v>
      </c>
      <c r="B1638" t="s">
        <v>1779</v>
      </c>
      <c r="C1638">
        <v>1450</v>
      </c>
      <c r="D1638">
        <v>-5</v>
      </c>
      <c r="E1638">
        <v>-0.34</v>
      </c>
      <c r="F1638" t="s">
        <v>397</v>
      </c>
      <c r="G1638" t="s">
        <v>397</v>
      </c>
      <c r="H1638" t="s">
        <v>397</v>
      </c>
      <c r="I1638" t="s">
        <v>397</v>
      </c>
      <c r="J1638">
        <v>967</v>
      </c>
      <c r="K1638">
        <v>1.5</v>
      </c>
      <c r="L1638">
        <v>0</v>
      </c>
      <c r="M1638">
        <v>0</v>
      </c>
    </row>
    <row r="1639" spans="1:13">
      <c r="A1639" s="28">
        <v>66360</v>
      </c>
      <c r="B1639" t="s">
        <v>1780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397</v>
      </c>
      <c r="I1639" t="s">
        <v>397</v>
      </c>
      <c r="J1639">
        <v>1429</v>
      </c>
      <c r="K1639">
        <v>0.79</v>
      </c>
      <c r="L1639">
        <v>0</v>
      </c>
      <c r="M1639">
        <v>0</v>
      </c>
    </row>
    <row r="1640" spans="1:13">
      <c r="A1640" s="28">
        <v>12600</v>
      </c>
      <c r="B1640" t="s">
        <v>1781</v>
      </c>
      <c r="C1640">
        <v>2490</v>
      </c>
      <c r="D1640">
        <v>0</v>
      </c>
      <c r="E1640">
        <v>0</v>
      </c>
      <c r="F1640" t="s">
        <v>397</v>
      </c>
      <c r="G1640" t="s">
        <v>397</v>
      </c>
      <c r="H1640" t="s">
        <v>397</v>
      </c>
      <c r="I1640" t="s">
        <v>397</v>
      </c>
      <c r="J1640">
        <v>1111</v>
      </c>
      <c r="K1640">
        <v>2.2400000000000002</v>
      </c>
      <c r="L1640">
        <v>0</v>
      </c>
      <c r="M1640">
        <v>0</v>
      </c>
    </row>
    <row r="1641" spans="1:13">
      <c r="A1641" s="28">
        <v>362320</v>
      </c>
      <c r="B1641" t="s">
        <v>1782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397</v>
      </c>
      <c r="I1641" t="s">
        <v>397</v>
      </c>
      <c r="J1641">
        <v>3143</v>
      </c>
      <c r="K1641">
        <v>2.5299999999999998</v>
      </c>
      <c r="L1641">
        <v>0</v>
      </c>
      <c r="M1641">
        <v>0</v>
      </c>
    </row>
    <row r="1642" spans="1:13">
      <c r="A1642" s="28">
        <v>650</v>
      </c>
      <c r="B1642" t="s">
        <v>1783</v>
      </c>
      <c r="C1642">
        <v>48450</v>
      </c>
      <c r="D1642">
        <v>-100</v>
      </c>
      <c r="E1642">
        <v>-0.21</v>
      </c>
      <c r="F1642" t="s">
        <v>397</v>
      </c>
      <c r="G1642" t="s">
        <v>397</v>
      </c>
      <c r="H1642" t="s">
        <v>397</v>
      </c>
      <c r="I1642" t="s">
        <v>397</v>
      </c>
      <c r="J1642">
        <v>18651</v>
      </c>
      <c r="K1642">
        <v>2.6</v>
      </c>
      <c r="L1642">
        <v>0</v>
      </c>
      <c r="M1642">
        <v>0</v>
      </c>
    </row>
    <row r="1643" spans="1:13">
      <c r="A1643" s="28">
        <v>9310</v>
      </c>
      <c r="B1643" t="s">
        <v>1784</v>
      </c>
      <c r="C1643">
        <v>518</v>
      </c>
      <c r="D1643">
        <v>-17</v>
      </c>
      <c r="E1643">
        <v>-3.18</v>
      </c>
      <c r="F1643" t="s">
        <v>397</v>
      </c>
      <c r="G1643" t="s">
        <v>397</v>
      </c>
      <c r="H1643" t="s">
        <v>397</v>
      </c>
      <c r="I1643" t="s">
        <v>397</v>
      </c>
      <c r="J1643">
        <v>1317</v>
      </c>
      <c r="K1643">
        <v>0.39</v>
      </c>
      <c r="L1643">
        <v>0</v>
      </c>
      <c r="M1643">
        <v>0</v>
      </c>
    </row>
    <row r="1644" spans="1:13">
      <c r="A1644" s="28">
        <v>51630</v>
      </c>
      <c r="B1644" t="s">
        <v>1785</v>
      </c>
      <c r="C1644">
        <v>3020</v>
      </c>
      <c r="D1644">
        <v>25</v>
      </c>
      <c r="E1644">
        <v>0.83</v>
      </c>
      <c r="F1644" t="s">
        <v>397</v>
      </c>
      <c r="G1644" t="s">
        <v>397</v>
      </c>
      <c r="H1644" t="s">
        <v>397</v>
      </c>
      <c r="I1644" t="s">
        <v>397</v>
      </c>
      <c r="J1644">
        <v>2199</v>
      </c>
      <c r="K1644">
        <v>1.37</v>
      </c>
      <c r="L1644">
        <v>0</v>
      </c>
      <c r="M1644">
        <v>0</v>
      </c>
    </row>
    <row r="1645" spans="1:13">
      <c r="A1645" s="28">
        <v>261780</v>
      </c>
      <c r="B1645" t="s">
        <v>1786</v>
      </c>
      <c r="C1645">
        <v>4770</v>
      </c>
      <c r="D1645">
        <v>-110</v>
      </c>
      <c r="E1645">
        <v>-2.25</v>
      </c>
      <c r="F1645" t="s">
        <v>397</v>
      </c>
      <c r="G1645" t="s">
        <v>397</v>
      </c>
      <c r="H1645" t="s">
        <v>397</v>
      </c>
      <c r="I1645" t="s">
        <v>397</v>
      </c>
      <c r="J1645">
        <v>1262</v>
      </c>
      <c r="K1645">
        <v>3.78</v>
      </c>
      <c r="L1645">
        <v>0</v>
      </c>
      <c r="M1645">
        <v>0</v>
      </c>
    </row>
    <row r="1646" spans="1:13">
      <c r="A1646" s="28">
        <v>85660</v>
      </c>
      <c r="B1646" t="s">
        <v>1787</v>
      </c>
      <c r="C1646">
        <v>17470</v>
      </c>
      <c r="D1646">
        <v>-930</v>
      </c>
      <c r="E1646">
        <v>-5.05</v>
      </c>
      <c r="F1646" t="s">
        <v>397</v>
      </c>
      <c r="G1646" t="s">
        <v>397</v>
      </c>
      <c r="H1646" t="s">
        <v>397</v>
      </c>
      <c r="I1646" t="s">
        <v>397</v>
      </c>
      <c r="J1646">
        <v>5185</v>
      </c>
      <c r="K1646">
        <v>3.37</v>
      </c>
      <c r="L1646">
        <v>0</v>
      </c>
      <c r="M1646">
        <v>0</v>
      </c>
    </row>
    <row r="1647" spans="1:13">
      <c r="A1647" s="28">
        <v>2785</v>
      </c>
      <c r="B1647" t="s">
        <v>1788</v>
      </c>
      <c r="C1647">
        <v>4175</v>
      </c>
      <c r="D1647">
        <v>-75</v>
      </c>
      <c r="E1647">
        <v>-1.76</v>
      </c>
      <c r="F1647" t="s">
        <v>397</v>
      </c>
      <c r="G1647" t="s">
        <v>397</v>
      </c>
      <c r="H1647" t="s">
        <v>397</v>
      </c>
      <c r="I1647" t="s">
        <v>397</v>
      </c>
      <c r="J1647" t="s">
        <v>397</v>
      </c>
      <c r="K1647" t="s">
        <v>397</v>
      </c>
      <c r="L1647">
        <v>0</v>
      </c>
      <c r="M1647">
        <v>0</v>
      </c>
    </row>
    <row r="1648" spans="1:13">
      <c r="A1648" s="28">
        <v>2787</v>
      </c>
      <c r="B1648" t="s">
        <v>1789</v>
      </c>
      <c r="C1648">
        <v>12430</v>
      </c>
      <c r="D1648">
        <v>0</v>
      </c>
      <c r="E1648">
        <v>0</v>
      </c>
      <c r="F1648" t="s">
        <v>397</v>
      </c>
      <c r="G1648" t="s">
        <v>397</v>
      </c>
      <c r="H1648" t="s">
        <v>397</v>
      </c>
      <c r="I1648" t="s">
        <v>397</v>
      </c>
      <c r="J1648" t="s">
        <v>397</v>
      </c>
      <c r="K1648" t="s">
        <v>397</v>
      </c>
      <c r="L1648">
        <v>0</v>
      </c>
      <c r="M1648">
        <v>0</v>
      </c>
    </row>
    <row r="1649" spans="1:13">
      <c r="A1649" s="28">
        <v>2780</v>
      </c>
      <c r="B1649" t="s">
        <v>1790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397</v>
      </c>
      <c r="I1649" t="s">
        <v>397</v>
      </c>
      <c r="J1649">
        <v>1545</v>
      </c>
      <c r="K1649">
        <v>0.65</v>
      </c>
      <c r="L1649">
        <v>0</v>
      </c>
      <c r="M1649">
        <v>0</v>
      </c>
    </row>
    <row r="1650" spans="1:13">
      <c r="A1650" s="28">
        <v>11000</v>
      </c>
      <c r="B1650" t="s">
        <v>1791</v>
      </c>
      <c r="C1650">
        <v>2440</v>
      </c>
      <c r="D1650">
        <v>-75</v>
      </c>
      <c r="E1650">
        <v>-2.98</v>
      </c>
      <c r="F1650" t="s">
        <v>397</v>
      </c>
      <c r="G1650" t="s">
        <v>397</v>
      </c>
      <c r="H1650" t="s">
        <v>397</v>
      </c>
      <c r="I1650" t="s">
        <v>397</v>
      </c>
      <c r="J1650">
        <v>2340</v>
      </c>
      <c r="K1650">
        <v>1.04</v>
      </c>
      <c r="L1650">
        <v>0</v>
      </c>
      <c r="M1650">
        <v>0</v>
      </c>
    </row>
    <row r="1651" spans="1:13">
      <c r="A1651" s="28">
        <v>285800</v>
      </c>
      <c r="B1651" t="s">
        <v>1792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397</v>
      </c>
      <c r="I1651" t="s">
        <v>397</v>
      </c>
      <c r="J1651">
        <v>1683</v>
      </c>
      <c r="K1651">
        <v>2.31</v>
      </c>
      <c r="L1651">
        <v>0</v>
      </c>
      <c r="M1651">
        <v>0</v>
      </c>
    </row>
    <row r="1652" spans="1:13">
      <c r="A1652" s="28">
        <v>272450</v>
      </c>
      <c r="B1652" t="s">
        <v>1793</v>
      </c>
      <c r="C1652">
        <v>11690</v>
      </c>
      <c r="D1652">
        <v>-180</v>
      </c>
      <c r="E1652">
        <v>-1.52</v>
      </c>
      <c r="F1652" t="s">
        <v>397</v>
      </c>
      <c r="G1652" t="s">
        <v>397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>
      <c r="A1653" s="28" t="s">
        <v>1794</v>
      </c>
      <c r="B1653" t="s">
        <v>1795</v>
      </c>
      <c r="C1653">
        <v>7190</v>
      </c>
      <c r="D1653">
        <v>-30</v>
      </c>
      <c r="E1653">
        <v>-0.42</v>
      </c>
      <c r="F1653" t="s">
        <v>397</v>
      </c>
      <c r="G1653" t="s">
        <v>397</v>
      </c>
      <c r="H1653" t="s">
        <v>397</v>
      </c>
      <c r="I1653" t="s">
        <v>397</v>
      </c>
      <c r="J1653" t="s">
        <v>397</v>
      </c>
      <c r="K1653" t="s">
        <v>397</v>
      </c>
      <c r="L1653">
        <v>0</v>
      </c>
      <c r="M1653">
        <v>0</v>
      </c>
    </row>
    <row r="1654" spans="1:13">
      <c r="A1654" s="28">
        <v>41960</v>
      </c>
      <c r="B1654" t="s">
        <v>1796</v>
      </c>
      <c r="C1654">
        <v>4100</v>
      </c>
      <c r="D1654">
        <v>-75</v>
      </c>
      <c r="E1654">
        <v>-1.8</v>
      </c>
      <c r="F1654" t="s">
        <v>397</v>
      </c>
      <c r="G1654" t="s">
        <v>397</v>
      </c>
      <c r="H1654" t="s">
        <v>397</v>
      </c>
      <c r="I1654" t="s">
        <v>397</v>
      </c>
      <c r="J1654">
        <v>865</v>
      </c>
      <c r="K1654">
        <v>4.74</v>
      </c>
      <c r="L1654">
        <v>0</v>
      </c>
      <c r="M1654">
        <v>0</v>
      </c>
    </row>
    <row r="1655" spans="1:13">
      <c r="A1655" s="28">
        <v>89890</v>
      </c>
      <c r="B1655" t="s">
        <v>1797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>
      <c r="A1656" s="28">
        <v>73640</v>
      </c>
      <c r="B1656" t="s">
        <v>1798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397</v>
      </c>
      <c r="I1656" t="s">
        <v>397</v>
      </c>
      <c r="J1656">
        <v>1034</v>
      </c>
      <c r="K1656">
        <v>0.89</v>
      </c>
      <c r="L1656">
        <v>0</v>
      </c>
      <c r="M1656">
        <v>0</v>
      </c>
    </row>
    <row r="1657" spans="1:13">
      <c r="A1657" s="28">
        <v>79970</v>
      </c>
      <c r="B1657" t="s">
        <v>1799</v>
      </c>
      <c r="C1657">
        <v>373</v>
      </c>
      <c r="D1657">
        <v>-2</v>
      </c>
      <c r="E1657">
        <v>-0.53</v>
      </c>
      <c r="F1657" t="s">
        <v>397</v>
      </c>
      <c r="G1657" t="s">
        <v>397</v>
      </c>
      <c r="H1657" t="s">
        <v>397</v>
      </c>
      <c r="I1657" t="s">
        <v>397</v>
      </c>
      <c r="J1657">
        <v>649</v>
      </c>
      <c r="K1657">
        <v>0.56999999999999995</v>
      </c>
      <c r="L1657">
        <v>0</v>
      </c>
      <c r="M1657">
        <v>0</v>
      </c>
    </row>
    <row r="1658" spans="1:13">
      <c r="A1658" s="28">
        <v>45340</v>
      </c>
      <c r="B1658" t="s">
        <v>1800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397</v>
      </c>
      <c r="I1658" t="s">
        <v>397</v>
      </c>
      <c r="J1658">
        <v>2199</v>
      </c>
      <c r="K1658">
        <v>2.4</v>
      </c>
      <c r="L1658">
        <v>0</v>
      </c>
      <c r="M1658">
        <v>0</v>
      </c>
    </row>
    <row r="1659" spans="1:13">
      <c r="A1659" s="28">
        <v>215480</v>
      </c>
      <c r="B1659" t="s">
        <v>1801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397</v>
      </c>
      <c r="I1659" t="s">
        <v>397</v>
      </c>
      <c r="J1659">
        <v>3246</v>
      </c>
      <c r="K1659">
        <v>1.0900000000000001</v>
      </c>
      <c r="L1659">
        <v>0</v>
      </c>
      <c r="M1659">
        <v>0</v>
      </c>
    </row>
    <row r="1660" spans="1:13">
      <c r="A1660" s="28">
        <v>393210</v>
      </c>
      <c r="B1660" t="s">
        <v>1802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397</v>
      </c>
      <c r="I1660" t="s">
        <v>397</v>
      </c>
      <c r="J1660">
        <v>1003</v>
      </c>
      <c r="K1660">
        <v>5.25</v>
      </c>
      <c r="L1660">
        <v>0</v>
      </c>
      <c r="M1660">
        <v>0</v>
      </c>
    </row>
    <row r="1661" spans="1:13">
      <c r="A1661" s="28">
        <v>214420</v>
      </c>
      <c r="B1661" t="s">
        <v>1803</v>
      </c>
      <c r="C1661">
        <v>5560</v>
      </c>
      <c r="D1661">
        <v>160</v>
      </c>
      <c r="E1661">
        <v>2.96</v>
      </c>
      <c r="F1661" t="s">
        <v>397</v>
      </c>
      <c r="G1661" t="s">
        <v>397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>
      <c r="A1662" s="28">
        <v>200230</v>
      </c>
      <c r="B1662" t="s">
        <v>1804</v>
      </c>
      <c r="C1662">
        <v>741</v>
      </c>
      <c r="D1662">
        <v>-9</v>
      </c>
      <c r="E1662">
        <v>-1.2</v>
      </c>
      <c r="F1662" t="s">
        <v>397</v>
      </c>
      <c r="G1662" t="s">
        <v>397</v>
      </c>
      <c r="H1662" t="s">
        <v>397</v>
      </c>
      <c r="I1662" t="s">
        <v>397</v>
      </c>
      <c r="J1662">
        <v>775</v>
      </c>
      <c r="K1662">
        <v>0.96</v>
      </c>
      <c r="L1662">
        <v>0</v>
      </c>
      <c r="M1662">
        <v>0</v>
      </c>
    </row>
    <row r="1663" spans="1:13">
      <c r="A1663" s="28">
        <v>64520</v>
      </c>
      <c r="B1663" t="s">
        <v>1805</v>
      </c>
      <c r="C1663">
        <v>3680</v>
      </c>
      <c r="D1663">
        <v>-200</v>
      </c>
      <c r="E1663">
        <v>-5.15</v>
      </c>
      <c r="F1663" t="s">
        <v>397</v>
      </c>
      <c r="G1663" t="s">
        <v>397</v>
      </c>
      <c r="H1663" t="s">
        <v>397</v>
      </c>
      <c r="I1663" t="s">
        <v>397</v>
      </c>
      <c r="J1663">
        <v>4791</v>
      </c>
      <c r="K1663">
        <v>0.77</v>
      </c>
      <c r="L1663">
        <v>0</v>
      </c>
      <c r="M1663">
        <v>0</v>
      </c>
    </row>
    <row r="1664" spans="1:13">
      <c r="A1664" s="28">
        <v>66700</v>
      </c>
      <c r="B1664" t="s">
        <v>1806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397</v>
      </c>
      <c r="I1664" t="s">
        <v>397</v>
      </c>
      <c r="J1664">
        <v>4487</v>
      </c>
      <c r="K1664">
        <v>0.93</v>
      </c>
      <c r="L1664">
        <v>0</v>
      </c>
      <c r="M1664">
        <v>0</v>
      </c>
    </row>
    <row r="1665" spans="1:13">
      <c r="A1665" s="28">
        <v>191420</v>
      </c>
      <c r="B1665" t="s">
        <v>1807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397</v>
      </c>
      <c r="I1665" t="s">
        <v>397</v>
      </c>
      <c r="J1665">
        <v>6070</v>
      </c>
      <c r="K1665">
        <v>2.93</v>
      </c>
      <c r="L1665">
        <v>0</v>
      </c>
      <c r="M1665">
        <v>0</v>
      </c>
    </row>
    <row r="1666" spans="1:13">
      <c r="A1666" s="28">
        <v>417790</v>
      </c>
      <c r="B1666" t="s">
        <v>1808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397</v>
      </c>
      <c r="I1666" t="s">
        <v>397</v>
      </c>
      <c r="J1666">
        <v>6066</v>
      </c>
      <c r="K1666">
        <v>1.86</v>
      </c>
      <c r="L1666">
        <v>0</v>
      </c>
      <c r="M1666">
        <v>0</v>
      </c>
    </row>
    <row r="1667" spans="1:13">
      <c r="A1667" s="28">
        <v>44490</v>
      </c>
      <c r="B1667" t="s">
        <v>1809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397</v>
      </c>
      <c r="I1667" t="s">
        <v>397</v>
      </c>
      <c r="J1667">
        <v>24061</v>
      </c>
      <c r="K1667">
        <v>0.72</v>
      </c>
      <c r="L1667">
        <v>0</v>
      </c>
      <c r="M1667">
        <v>0</v>
      </c>
    </row>
    <row r="1668" spans="1:13">
      <c r="A1668" s="28">
        <v>323280</v>
      </c>
      <c r="B1668" t="s">
        <v>1810</v>
      </c>
      <c r="C1668">
        <v>4170</v>
      </c>
      <c r="D1668">
        <v>-35</v>
      </c>
      <c r="E1668">
        <v>-0.83</v>
      </c>
      <c r="F1668" t="s">
        <v>397</v>
      </c>
      <c r="G1668" t="s">
        <v>397</v>
      </c>
      <c r="H1668" t="s">
        <v>397</v>
      </c>
      <c r="I1668" t="s">
        <v>397</v>
      </c>
      <c r="J1668">
        <v>1299</v>
      </c>
      <c r="K1668">
        <v>3.21</v>
      </c>
      <c r="L1668">
        <v>0</v>
      </c>
      <c r="M1668">
        <v>0</v>
      </c>
    </row>
    <row r="1669" spans="1:13">
      <c r="A1669" s="28">
        <v>134580</v>
      </c>
      <c r="B1669" t="s">
        <v>1811</v>
      </c>
      <c r="C1669">
        <v>3285</v>
      </c>
      <c r="D1669">
        <v>-75</v>
      </c>
      <c r="E1669">
        <v>-2.23</v>
      </c>
      <c r="F1669" t="s">
        <v>397</v>
      </c>
      <c r="G1669" t="s">
        <v>397</v>
      </c>
      <c r="H1669" t="s">
        <v>397</v>
      </c>
      <c r="I1669" t="s">
        <v>397</v>
      </c>
      <c r="J1669">
        <v>2151</v>
      </c>
      <c r="K1669">
        <v>1.53</v>
      </c>
      <c r="L1669">
        <v>0</v>
      </c>
      <c r="M1669">
        <v>0</v>
      </c>
    </row>
    <row r="1670" spans="1:13">
      <c r="A1670" s="28">
        <v>65130</v>
      </c>
      <c r="B1670" t="s">
        <v>1812</v>
      </c>
      <c r="C1670">
        <v>5860</v>
      </c>
      <c r="D1670">
        <v>-20</v>
      </c>
      <c r="E1670">
        <v>-0.34</v>
      </c>
      <c r="F1670" t="s">
        <v>397</v>
      </c>
      <c r="G1670" t="s">
        <v>397</v>
      </c>
      <c r="H1670" t="s">
        <v>397</v>
      </c>
      <c r="I1670" t="s">
        <v>397</v>
      </c>
      <c r="J1670">
        <v>11955</v>
      </c>
      <c r="K1670">
        <v>0.49</v>
      </c>
      <c r="L1670">
        <v>0</v>
      </c>
      <c r="M1670">
        <v>0</v>
      </c>
    </row>
    <row r="1671" spans="1:13">
      <c r="A1671" s="28">
        <v>360070</v>
      </c>
      <c r="B1671" t="s">
        <v>1813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397</v>
      </c>
      <c r="I1671" t="s">
        <v>397</v>
      </c>
      <c r="J1671">
        <v>12065</v>
      </c>
      <c r="K1671">
        <v>5.8</v>
      </c>
      <c r="L1671">
        <v>0</v>
      </c>
      <c r="M1671">
        <v>0</v>
      </c>
    </row>
    <row r="1672" spans="1:13">
      <c r="A1672" s="28">
        <v>219130</v>
      </c>
      <c r="B1672" t="s">
        <v>1814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397</v>
      </c>
      <c r="I1672" t="s">
        <v>397</v>
      </c>
      <c r="J1672">
        <v>8781</v>
      </c>
      <c r="K1672">
        <v>3.76</v>
      </c>
      <c r="L1672">
        <v>0</v>
      </c>
      <c r="M1672">
        <v>0</v>
      </c>
    </row>
    <row r="1673" spans="1:13">
      <c r="A1673" s="28">
        <v>54780</v>
      </c>
      <c r="B1673" t="s">
        <v>1815</v>
      </c>
      <c r="C1673">
        <v>6310</v>
      </c>
      <c r="D1673">
        <v>-70</v>
      </c>
      <c r="E1673">
        <v>-1.1000000000000001</v>
      </c>
      <c r="F1673" t="s">
        <v>397</v>
      </c>
      <c r="G1673" t="s">
        <v>397</v>
      </c>
      <c r="H1673" t="s">
        <v>397</v>
      </c>
      <c r="I1673" t="s">
        <v>397</v>
      </c>
      <c r="J1673">
        <v>3023</v>
      </c>
      <c r="K1673">
        <v>2.09</v>
      </c>
      <c r="L1673">
        <v>0</v>
      </c>
      <c r="M1673">
        <v>0</v>
      </c>
    </row>
    <row r="1674" spans="1:13">
      <c r="A1674" s="28">
        <v>446840</v>
      </c>
      <c r="B1674" t="s">
        <v>1816</v>
      </c>
      <c r="C1674">
        <v>2125</v>
      </c>
      <c r="D1674">
        <v>-5</v>
      </c>
      <c r="E1674">
        <v>-0.23</v>
      </c>
      <c r="F1674" t="s">
        <v>397</v>
      </c>
      <c r="G1674" t="s">
        <v>397</v>
      </c>
      <c r="H1674" t="s">
        <v>397</v>
      </c>
      <c r="I1674" t="s">
        <v>397</v>
      </c>
      <c r="J1674" t="s">
        <v>397</v>
      </c>
      <c r="K1674" t="s">
        <v>397</v>
      </c>
      <c r="L1674">
        <v>0</v>
      </c>
      <c r="M1674">
        <v>0</v>
      </c>
    </row>
    <row r="1675" spans="1:13">
      <c r="A1675" s="28">
        <v>199800</v>
      </c>
      <c r="B1675" t="s">
        <v>1817</v>
      </c>
      <c r="C1675">
        <v>58600</v>
      </c>
      <c r="D1675">
        <v>-6400</v>
      </c>
      <c r="E1675">
        <v>-9.85</v>
      </c>
      <c r="F1675" t="s">
        <v>397</v>
      </c>
      <c r="G1675" t="s">
        <v>397</v>
      </c>
      <c r="H1675" t="s">
        <v>397</v>
      </c>
      <c r="I1675" t="s">
        <v>397</v>
      </c>
      <c r="J1675">
        <v>8940</v>
      </c>
      <c r="K1675">
        <v>6.55</v>
      </c>
      <c r="L1675">
        <v>0</v>
      </c>
      <c r="M1675">
        <v>0</v>
      </c>
    </row>
    <row r="1676" spans="1:13">
      <c r="A1676" s="28">
        <v>105550</v>
      </c>
      <c r="B1676" t="s">
        <v>1818</v>
      </c>
      <c r="C1676">
        <v>2405</v>
      </c>
      <c r="D1676">
        <v>40</v>
      </c>
      <c r="E1676">
        <v>1.69</v>
      </c>
      <c r="F1676" t="s">
        <v>397</v>
      </c>
      <c r="G1676" t="s">
        <v>397</v>
      </c>
      <c r="H1676" t="s">
        <v>397</v>
      </c>
      <c r="I1676" t="s">
        <v>397</v>
      </c>
      <c r="J1676">
        <v>1536</v>
      </c>
      <c r="K1676">
        <v>1.57</v>
      </c>
      <c r="L1676">
        <v>0</v>
      </c>
      <c r="M1676">
        <v>0</v>
      </c>
    </row>
    <row r="1677" spans="1:13">
      <c r="A1677" s="28">
        <v>9730</v>
      </c>
      <c r="B1677" t="s">
        <v>1819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397</v>
      </c>
      <c r="I1677" t="s">
        <v>397</v>
      </c>
      <c r="J1677">
        <v>1074</v>
      </c>
      <c r="K1677">
        <v>3.24</v>
      </c>
      <c r="L1677">
        <v>0</v>
      </c>
      <c r="M1677">
        <v>0</v>
      </c>
    </row>
    <row r="1678" spans="1:13">
      <c r="A1678" s="28">
        <v>62860</v>
      </c>
      <c r="B1678" t="s">
        <v>1820</v>
      </c>
      <c r="C1678">
        <v>5800</v>
      </c>
      <c r="D1678">
        <v>0</v>
      </c>
      <c r="E1678">
        <v>0</v>
      </c>
      <c r="F1678" t="s">
        <v>397</v>
      </c>
      <c r="G1678" t="s">
        <v>397</v>
      </c>
      <c r="H1678" t="s">
        <v>397</v>
      </c>
      <c r="I1678" t="s">
        <v>397</v>
      </c>
      <c r="J1678">
        <v>8417</v>
      </c>
      <c r="K1678">
        <v>0.69</v>
      </c>
      <c r="L1678">
        <v>0</v>
      </c>
      <c r="M1678">
        <v>0</v>
      </c>
    </row>
    <row r="1679" spans="1:13">
      <c r="A1679" s="28">
        <v>58530</v>
      </c>
      <c r="B1679" t="s">
        <v>1821</v>
      </c>
      <c r="C1679">
        <v>1620</v>
      </c>
      <c r="D1679">
        <v>0</v>
      </c>
      <c r="E1679">
        <v>0</v>
      </c>
      <c r="F1679" t="s">
        <v>397</v>
      </c>
      <c r="G1679" t="s">
        <v>397</v>
      </c>
      <c r="H1679" t="s">
        <v>397</v>
      </c>
      <c r="I1679" t="s">
        <v>397</v>
      </c>
      <c r="J1679">
        <v>3652</v>
      </c>
      <c r="K1679">
        <v>0.44</v>
      </c>
      <c r="L1679">
        <v>0</v>
      </c>
      <c r="M1679">
        <v>0</v>
      </c>
    </row>
    <row r="1680" spans="1:13">
      <c r="A1680" s="28">
        <v>84730</v>
      </c>
      <c r="B1680" t="s">
        <v>1822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397</v>
      </c>
      <c r="I1680" t="s">
        <v>397</v>
      </c>
      <c r="J1680">
        <v>17281</v>
      </c>
      <c r="K1680">
        <v>0.86</v>
      </c>
      <c r="L1680">
        <v>0</v>
      </c>
      <c r="M1680">
        <v>0</v>
      </c>
    </row>
    <row r="1681" spans="1:13">
      <c r="A1681" s="28">
        <v>340930</v>
      </c>
      <c r="B1681" t="s">
        <v>1823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397</v>
      </c>
      <c r="I1681" t="s">
        <v>397</v>
      </c>
      <c r="J1681">
        <v>5625</v>
      </c>
      <c r="K1681">
        <v>2.2400000000000002</v>
      </c>
      <c r="L1681">
        <v>0</v>
      </c>
      <c r="M1681">
        <v>0</v>
      </c>
    </row>
    <row r="1682" spans="1:13">
      <c r="A1682" s="28">
        <v>104480</v>
      </c>
      <c r="B1682" t="s">
        <v>1824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397</v>
      </c>
      <c r="I1682" t="s">
        <v>397</v>
      </c>
      <c r="J1682">
        <v>10429</v>
      </c>
      <c r="K1682">
        <v>0.16</v>
      </c>
      <c r="L1682">
        <v>0</v>
      </c>
      <c r="M1682">
        <v>0</v>
      </c>
    </row>
    <row r="1683" spans="1:13">
      <c r="A1683" s="28">
        <v>425040</v>
      </c>
      <c r="B1683" t="s">
        <v>1825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>
      <c r="A1684" s="28">
        <v>4870</v>
      </c>
      <c r="B1684" t="s">
        <v>1826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397</v>
      </c>
      <c r="I1684" t="s">
        <v>397</v>
      </c>
      <c r="J1684">
        <v>1505</v>
      </c>
      <c r="K1684">
        <v>0.3</v>
      </c>
      <c r="L1684">
        <v>0</v>
      </c>
      <c r="M1684">
        <v>0</v>
      </c>
    </row>
    <row r="1685" spans="1:13">
      <c r="A1685" s="28">
        <v>91810</v>
      </c>
      <c r="B1685" t="s">
        <v>1827</v>
      </c>
      <c r="C1685">
        <v>2700</v>
      </c>
      <c r="D1685">
        <v>10</v>
      </c>
      <c r="E1685">
        <v>0.37</v>
      </c>
      <c r="F1685" t="s">
        <v>397</v>
      </c>
      <c r="G1685" t="s">
        <v>397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>
      <c r="A1686" s="28">
        <v>321550</v>
      </c>
      <c r="B1686" t="s">
        <v>1828</v>
      </c>
      <c r="C1686">
        <v>8150</v>
      </c>
      <c r="D1686">
        <v>-290</v>
      </c>
      <c r="E1686">
        <v>-3.44</v>
      </c>
      <c r="F1686" t="s">
        <v>397</v>
      </c>
      <c r="G1686" t="s">
        <v>397</v>
      </c>
      <c r="H1686" t="s">
        <v>397</v>
      </c>
      <c r="I1686" t="s">
        <v>397</v>
      </c>
      <c r="J1686">
        <v>2541</v>
      </c>
      <c r="K1686">
        <v>3.21</v>
      </c>
      <c r="L1686">
        <v>0</v>
      </c>
      <c r="M1686">
        <v>0</v>
      </c>
    </row>
    <row r="1687" spans="1:13">
      <c r="A1687" s="28">
        <v>131100</v>
      </c>
      <c r="B1687" t="s">
        <v>1829</v>
      </c>
      <c r="C1687">
        <v>1893</v>
      </c>
      <c r="D1687">
        <v>-20</v>
      </c>
      <c r="E1687">
        <v>-1.05</v>
      </c>
      <c r="F1687" t="s">
        <v>397</v>
      </c>
      <c r="G1687" t="s">
        <v>397</v>
      </c>
      <c r="H1687" t="s">
        <v>397</v>
      </c>
      <c r="I1687" t="s">
        <v>397</v>
      </c>
      <c r="J1687">
        <v>2869</v>
      </c>
      <c r="K1687">
        <v>0.66</v>
      </c>
      <c r="L1687">
        <v>0</v>
      </c>
      <c r="M1687">
        <v>0</v>
      </c>
    </row>
    <row r="1688" spans="1:13">
      <c r="A1688" s="28">
        <v>290090</v>
      </c>
      <c r="B1688" t="s">
        <v>1830</v>
      </c>
      <c r="C1688">
        <v>11390</v>
      </c>
      <c r="D1688">
        <v>-90</v>
      </c>
      <c r="E1688">
        <v>-0.78</v>
      </c>
      <c r="F1688" t="s">
        <v>397</v>
      </c>
      <c r="G1688" t="s">
        <v>397</v>
      </c>
      <c r="H1688" t="s">
        <v>397</v>
      </c>
      <c r="I1688" t="s">
        <v>397</v>
      </c>
      <c r="J1688">
        <v>9248</v>
      </c>
      <c r="K1688">
        <v>1.23</v>
      </c>
      <c r="L1688">
        <v>0</v>
      </c>
      <c r="M1688">
        <v>0</v>
      </c>
    </row>
    <row r="1689" spans="1:13">
      <c r="A1689" s="28">
        <v>425420</v>
      </c>
      <c r="B1689" t="s">
        <v>1831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397</v>
      </c>
      <c r="I1689" t="s">
        <v>397</v>
      </c>
      <c r="J1689">
        <v>5323</v>
      </c>
      <c r="K1689">
        <v>7.41</v>
      </c>
      <c r="L1689">
        <v>0</v>
      </c>
      <c r="M1689">
        <v>0</v>
      </c>
    </row>
    <row r="1690" spans="1:13">
      <c r="A1690" s="28">
        <v>277880</v>
      </c>
      <c r="B1690" t="s">
        <v>1832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397</v>
      </c>
      <c r="I1690" t="s">
        <v>397</v>
      </c>
      <c r="J1690">
        <v>2416</v>
      </c>
      <c r="K1690">
        <v>3.61</v>
      </c>
      <c r="L1690">
        <v>0</v>
      </c>
      <c r="M1690">
        <v>0</v>
      </c>
    </row>
    <row r="1691" spans="1:13">
      <c r="A1691" s="28">
        <v>43220</v>
      </c>
      <c r="B1691" t="s">
        <v>1833</v>
      </c>
      <c r="C1691">
        <v>974</v>
      </c>
      <c r="D1691">
        <v>56</v>
      </c>
      <c r="E1691">
        <v>6.1</v>
      </c>
      <c r="F1691" t="s">
        <v>397</v>
      </c>
      <c r="G1691" t="s">
        <v>397</v>
      </c>
      <c r="H1691" t="s">
        <v>397</v>
      </c>
      <c r="I1691" t="s">
        <v>397</v>
      </c>
      <c r="J1691">
        <v>443</v>
      </c>
      <c r="K1691">
        <v>2.2000000000000002</v>
      </c>
      <c r="L1691">
        <v>0</v>
      </c>
      <c r="M1691">
        <v>0</v>
      </c>
    </row>
    <row r="1692" spans="1:13">
      <c r="A1692" s="28">
        <v>246710</v>
      </c>
      <c r="B1692" t="s">
        <v>1834</v>
      </c>
      <c r="C1692">
        <v>8550</v>
      </c>
      <c r="D1692">
        <v>-270</v>
      </c>
      <c r="E1692">
        <v>-3.06</v>
      </c>
      <c r="F1692" t="s">
        <v>397</v>
      </c>
      <c r="G1692" t="s">
        <v>397</v>
      </c>
      <c r="H1692" t="s">
        <v>397</v>
      </c>
      <c r="I1692" t="s">
        <v>397</v>
      </c>
      <c r="J1692">
        <v>1853</v>
      </c>
      <c r="K1692">
        <v>4.6100000000000003</v>
      </c>
      <c r="L1692">
        <v>0</v>
      </c>
      <c r="M1692">
        <v>0</v>
      </c>
    </row>
    <row r="1693" spans="1:13">
      <c r="A1693" s="28">
        <v>57680</v>
      </c>
      <c r="B1693" t="s">
        <v>1835</v>
      </c>
      <c r="C1693">
        <v>1515</v>
      </c>
      <c r="D1693">
        <v>-18</v>
      </c>
      <c r="E1693">
        <v>-1.17</v>
      </c>
      <c r="F1693" t="s">
        <v>397</v>
      </c>
      <c r="G1693" t="s">
        <v>397</v>
      </c>
      <c r="H1693" t="s">
        <v>397</v>
      </c>
      <c r="I1693" t="s">
        <v>397</v>
      </c>
      <c r="J1693">
        <v>3220</v>
      </c>
      <c r="K1693">
        <v>0.47</v>
      </c>
      <c r="L1693">
        <v>0</v>
      </c>
      <c r="M1693">
        <v>0</v>
      </c>
    </row>
    <row r="1694" spans="1:13">
      <c r="A1694" s="28">
        <v>117730</v>
      </c>
      <c r="B1694" t="s">
        <v>1836</v>
      </c>
      <c r="C1694">
        <v>21300</v>
      </c>
      <c r="D1694">
        <v>-600</v>
      </c>
      <c r="E1694">
        <v>-2.74</v>
      </c>
      <c r="F1694" t="s">
        <v>397</v>
      </c>
      <c r="G1694" t="s">
        <v>397</v>
      </c>
      <c r="H1694" t="s">
        <v>397</v>
      </c>
      <c r="I1694" t="s">
        <v>397</v>
      </c>
      <c r="J1694">
        <v>1752</v>
      </c>
      <c r="K1694">
        <v>12.16</v>
      </c>
      <c r="L1694">
        <v>0</v>
      </c>
      <c r="M1694">
        <v>0</v>
      </c>
    </row>
    <row r="1695" spans="1:13">
      <c r="A1695" s="28">
        <v>322180</v>
      </c>
      <c r="B1695" t="s">
        <v>1837</v>
      </c>
      <c r="C1695">
        <v>5050</v>
      </c>
      <c r="D1695">
        <v>-50</v>
      </c>
      <c r="E1695">
        <v>-0.98</v>
      </c>
      <c r="F1695" t="s">
        <v>397</v>
      </c>
      <c r="G1695" t="s">
        <v>397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>
      <c r="A1696" s="28">
        <v>26150</v>
      </c>
      <c r="B1696" t="s">
        <v>1838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397</v>
      </c>
      <c r="I1696" t="s">
        <v>397</v>
      </c>
      <c r="J1696">
        <v>6046</v>
      </c>
      <c r="K1696">
        <v>1.26</v>
      </c>
      <c r="L1696">
        <v>0</v>
      </c>
      <c r="M1696">
        <v>0</v>
      </c>
    </row>
    <row r="1697" spans="1:13">
      <c r="A1697" s="28">
        <v>433530</v>
      </c>
      <c r="B1697" t="s">
        <v>1839</v>
      </c>
      <c r="C1697">
        <v>2110</v>
      </c>
      <c r="D1697">
        <v>0</v>
      </c>
      <c r="E1697">
        <v>0</v>
      </c>
      <c r="F1697" t="s">
        <v>397</v>
      </c>
      <c r="G1697" t="s">
        <v>397</v>
      </c>
      <c r="H1697" t="s">
        <v>397</v>
      </c>
      <c r="I1697" t="s">
        <v>397</v>
      </c>
      <c r="J1697" t="s">
        <v>397</v>
      </c>
      <c r="K1697" t="s">
        <v>397</v>
      </c>
      <c r="L1697">
        <v>0</v>
      </c>
      <c r="M1697">
        <v>0</v>
      </c>
    </row>
    <row r="1698" spans="1:13">
      <c r="A1698" s="28">
        <v>413600</v>
      </c>
      <c r="B1698" t="s">
        <v>1840</v>
      </c>
      <c r="C1698">
        <v>2150</v>
      </c>
      <c r="D1698">
        <v>0</v>
      </c>
      <c r="E1698">
        <v>0</v>
      </c>
      <c r="F1698" t="s">
        <v>397</v>
      </c>
      <c r="G1698" t="s">
        <v>397</v>
      </c>
      <c r="H1698" t="s">
        <v>397</v>
      </c>
      <c r="I1698" t="s">
        <v>397</v>
      </c>
      <c r="J1698" t="s">
        <v>397</v>
      </c>
      <c r="K1698" t="s">
        <v>397</v>
      </c>
      <c r="L1698">
        <v>0</v>
      </c>
      <c r="M1698">
        <v>0</v>
      </c>
    </row>
    <row r="1699" spans="1:13">
      <c r="A1699" s="28">
        <v>139670</v>
      </c>
      <c r="B1699" t="s">
        <v>1841</v>
      </c>
      <c r="C1699">
        <v>5400</v>
      </c>
      <c r="D1699">
        <v>-450</v>
      </c>
      <c r="E1699">
        <v>-7.69</v>
      </c>
      <c r="F1699" t="s">
        <v>397</v>
      </c>
      <c r="G1699" t="s">
        <v>397</v>
      </c>
      <c r="H1699" t="s">
        <v>397</v>
      </c>
      <c r="I1699" t="s">
        <v>397</v>
      </c>
      <c r="J1699">
        <v>704</v>
      </c>
      <c r="K1699">
        <v>7.67</v>
      </c>
      <c r="L1699">
        <v>0</v>
      </c>
      <c r="M1699">
        <v>0</v>
      </c>
    </row>
    <row r="1700" spans="1:13">
      <c r="A1700" s="28">
        <v>71950</v>
      </c>
      <c r="B1700" t="s">
        <v>1842</v>
      </c>
      <c r="C1700">
        <v>514</v>
      </c>
      <c r="D1700">
        <v>0</v>
      </c>
      <c r="E1700">
        <v>0</v>
      </c>
      <c r="F1700" t="s">
        <v>397</v>
      </c>
      <c r="G1700" t="s">
        <v>397</v>
      </c>
      <c r="H1700" t="s">
        <v>397</v>
      </c>
      <c r="I1700" t="s">
        <v>397</v>
      </c>
      <c r="J1700">
        <v>562</v>
      </c>
      <c r="K1700">
        <v>0.91</v>
      </c>
      <c r="L1700">
        <v>0</v>
      </c>
      <c r="M1700">
        <v>0</v>
      </c>
    </row>
    <row r="1701" spans="1:13">
      <c r="A1701" s="28">
        <v>121850</v>
      </c>
      <c r="B1701" t="s">
        <v>1843</v>
      </c>
      <c r="C1701">
        <v>1268</v>
      </c>
      <c r="D1701">
        <v>-23</v>
      </c>
      <c r="E1701">
        <v>-1.78</v>
      </c>
      <c r="F1701" t="s">
        <v>397</v>
      </c>
      <c r="G1701" t="s">
        <v>397</v>
      </c>
      <c r="H1701" t="s">
        <v>397</v>
      </c>
      <c r="I1701" t="s">
        <v>397</v>
      </c>
      <c r="J1701">
        <v>631</v>
      </c>
      <c r="K1701">
        <v>2.0099999999999998</v>
      </c>
      <c r="L1701">
        <v>0</v>
      </c>
      <c r="M1701">
        <v>0</v>
      </c>
    </row>
    <row r="1702" spans="1:13">
      <c r="A1702" s="28">
        <v>102940</v>
      </c>
      <c r="B1702" t="s">
        <v>1844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397</v>
      </c>
      <c r="I1702" t="s">
        <v>397</v>
      </c>
      <c r="J1702">
        <v>14697</v>
      </c>
      <c r="K1702">
        <v>1.54</v>
      </c>
      <c r="L1702">
        <v>0</v>
      </c>
      <c r="M1702">
        <v>0</v>
      </c>
    </row>
    <row r="1703" spans="1:13">
      <c r="A1703" s="28" t="s">
        <v>1845</v>
      </c>
      <c r="B1703" t="s">
        <v>1846</v>
      </c>
      <c r="C1703">
        <v>6110</v>
      </c>
      <c r="D1703">
        <v>210</v>
      </c>
      <c r="E1703">
        <v>3.56</v>
      </c>
      <c r="F1703" t="s">
        <v>397</v>
      </c>
      <c r="G1703" t="s">
        <v>397</v>
      </c>
      <c r="H1703" t="s">
        <v>397</v>
      </c>
      <c r="I1703" t="s">
        <v>397</v>
      </c>
      <c r="J1703" t="s">
        <v>397</v>
      </c>
      <c r="K1703" t="s">
        <v>397</v>
      </c>
      <c r="L1703">
        <v>0</v>
      </c>
      <c r="M1703">
        <v>0</v>
      </c>
    </row>
    <row r="1704" spans="1:13">
      <c r="A1704" s="28">
        <v>450140</v>
      </c>
      <c r="B1704" t="s">
        <v>1847</v>
      </c>
      <c r="C1704">
        <v>3825</v>
      </c>
      <c r="D1704">
        <v>-85</v>
      </c>
      <c r="E1704">
        <v>-2.17</v>
      </c>
      <c r="F1704" t="s">
        <v>397</v>
      </c>
      <c r="G1704" t="s">
        <v>397</v>
      </c>
      <c r="H1704" t="s">
        <v>397</v>
      </c>
      <c r="I1704" t="s">
        <v>397</v>
      </c>
      <c r="J1704" t="s">
        <v>397</v>
      </c>
      <c r="K1704" t="s">
        <v>397</v>
      </c>
      <c r="L1704">
        <v>0</v>
      </c>
      <c r="M1704">
        <v>0</v>
      </c>
    </row>
    <row r="1705" spans="1:13">
      <c r="A1705" s="28">
        <v>384470</v>
      </c>
      <c r="B1705" t="s">
        <v>1848</v>
      </c>
      <c r="C1705">
        <v>16990</v>
      </c>
      <c r="D1705">
        <v>-10</v>
      </c>
      <c r="E1705">
        <v>-0.06</v>
      </c>
      <c r="F1705" t="s">
        <v>397</v>
      </c>
      <c r="G1705" t="s">
        <v>397</v>
      </c>
      <c r="H1705" t="s">
        <v>397</v>
      </c>
      <c r="I1705" t="s">
        <v>397</v>
      </c>
      <c r="J1705" t="s">
        <v>397</v>
      </c>
      <c r="K1705" t="s">
        <v>397</v>
      </c>
      <c r="L1705">
        <v>0</v>
      </c>
      <c r="M1705">
        <v>0</v>
      </c>
    </row>
    <row r="1706" spans="1:13">
      <c r="A1706" s="28">
        <v>196450</v>
      </c>
      <c r="B1706" t="s">
        <v>1849</v>
      </c>
      <c r="C1706">
        <v>1155</v>
      </c>
      <c r="D1706">
        <v>0</v>
      </c>
      <c r="E1706">
        <v>0</v>
      </c>
      <c r="F1706" t="s">
        <v>397</v>
      </c>
      <c r="G1706" t="s">
        <v>397</v>
      </c>
      <c r="H1706" t="s">
        <v>397</v>
      </c>
      <c r="I1706" t="s">
        <v>397</v>
      </c>
      <c r="J1706">
        <v>1822</v>
      </c>
      <c r="K1706">
        <v>0.63</v>
      </c>
      <c r="L1706">
        <v>0</v>
      </c>
      <c r="M1706">
        <v>0</v>
      </c>
    </row>
    <row r="1707" spans="1:13">
      <c r="A1707" s="28">
        <v>45970</v>
      </c>
      <c r="B1707" t="s">
        <v>1850</v>
      </c>
      <c r="C1707">
        <v>8500</v>
      </c>
      <c r="D1707">
        <v>560</v>
      </c>
      <c r="E1707">
        <v>7.05</v>
      </c>
      <c r="F1707" t="s">
        <v>397</v>
      </c>
      <c r="G1707" t="s">
        <v>397</v>
      </c>
      <c r="H1707" t="s">
        <v>397</v>
      </c>
      <c r="I1707" t="s">
        <v>397</v>
      </c>
      <c r="J1707">
        <v>2616</v>
      </c>
      <c r="K1707">
        <v>3.25</v>
      </c>
      <c r="L1707">
        <v>0</v>
      </c>
      <c r="M1707">
        <v>0</v>
      </c>
    </row>
    <row r="1708" spans="1:13">
      <c r="A1708" s="28">
        <v>166480</v>
      </c>
      <c r="B1708" t="s">
        <v>1851</v>
      </c>
      <c r="C1708">
        <v>10480</v>
      </c>
      <c r="D1708">
        <v>190</v>
      </c>
      <c r="E1708">
        <v>1.85</v>
      </c>
      <c r="F1708" t="s">
        <v>397</v>
      </c>
      <c r="G1708" t="s">
        <v>397</v>
      </c>
      <c r="H1708" t="s">
        <v>397</v>
      </c>
      <c r="I1708" t="s">
        <v>397</v>
      </c>
      <c r="J1708">
        <v>1937</v>
      </c>
      <c r="K1708">
        <v>5.41</v>
      </c>
      <c r="L1708">
        <v>0</v>
      </c>
      <c r="M1708">
        <v>0</v>
      </c>
    </row>
    <row r="1709" spans="1:13">
      <c r="A1709" s="28">
        <v>355150</v>
      </c>
      <c r="B1709" t="s">
        <v>1852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397</v>
      </c>
      <c r="I1709" t="s">
        <v>397</v>
      </c>
      <c r="J1709">
        <v>8450</v>
      </c>
      <c r="K1709">
        <v>1.04</v>
      </c>
      <c r="L1709">
        <v>0</v>
      </c>
      <c r="M1709">
        <v>0</v>
      </c>
    </row>
    <row r="1710" spans="1:13">
      <c r="A1710" s="28">
        <v>352770</v>
      </c>
      <c r="B1710" t="s">
        <v>1853</v>
      </c>
      <c r="C1710">
        <v>1530</v>
      </c>
      <c r="D1710">
        <v>-655</v>
      </c>
      <c r="E1710">
        <v>-29.98</v>
      </c>
      <c r="F1710" t="s">
        <v>397</v>
      </c>
      <c r="G1710" t="s">
        <v>397</v>
      </c>
      <c r="H1710" t="s">
        <v>397</v>
      </c>
      <c r="I1710" t="s">
        <v>397</v>
      </c>
      <c r="J1710">
        <v>2331</v>
      </c>
      <c r="K1710">
        <v>0.66</v>
      </c>
      <c r="L1710">
        <v>0</v>
      </c>
      <c r="M1710">
        <v>0</v>
      </c>
    </row>
    <row r="1711" spans="1:13">
      <c r="A1711" s="28">
        <v>5420</v>
      </c>
      <c r="B1711" t="s">
        <v>1854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397</v>
      </c>
      <c r="I1711" t="s">
        <v>397</v>
      </c>
      <c r="J1711">
        <v>6020</v>
      </c>
      <c r="K1711">
        <v>6.2</v>
      </c>
      <c r="L1711">
        <v>0</v>
      </c>
      <c r="M1711">
        <v>0</v>
      </c>
    </row>
    <row r="1712" spans="1:13">
      <c r="A1712" s="28">
        <v>5070</v>
      </c>
      <c r="B1712" t="s">
        <v>1855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>
      <c r="A1713" s="28">
        <v>241710</v>
      </c>
      <c r="B1713" t="s">
        <v>1856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>
      <c r="A1714" s="28">
        <v>222040</v>
      </c>
      <c r="B1714" t="s">
        <v>1857</v>
      </c>
      <c r="C1714">
        <v>4505</v>
      </c>
      <c r="D1714">
        <v>-90</v>
      </c>
      <c r="E1714">
        <v>-1.96</v>
      </c>
      <c r="F1714" t="s">
        <v>397</v>
      </c>
      <c r="G1714" t="s">
        <v>397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>
      <c r="A1715" s="28">
        <v>44820</v>
      </c>
      <c r="B1715" t="s">
        <v>1858</v>
      </c>
      <c r="C1715">
        <v>9820</v>
      </c>
      <c r="D1715">
        <v>-10</v>
      </c>
      <c r="E1715">
        <v>-0.1</v>
      </c>
      <c r="F1715" t="s">
        <v>397</v>
      </c>
      <c r="G1715" t="s">
        <v>397</v>
      </c>
      <c r="H1715" t="s">
        <v>397</v>
      </c>
      <c r="I1715" t="s">
        <v>397</v>
      </c>
      <c r="J1715">
        <v>31502</v>
      </c>
      <c r="K1715">
        <v>0.31</v>
      </c>
      <c r="L1715">
        <v>0</v>
      </c>
      <c r="M1715">
        <v>0</v>
      </c>
    </row>
    <row r="1716" spans="1:13">
      <c r="A1716" s="28">
        <v>192820</v>
      </c>
      <c r="B1716" t="s">
        <v>1859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>
      <c r="A1717" s="28">
        <v>82660</v>
      </c>
      <c r="B1717" t="s">
        <v>1860</v>
      </c>
      <c r="C1717">
        <v>280</v>
      </c>
      <c r="D1717">
        <v>-3</v>
      </c>
      <c r="E1717">
        <v>-1.06</v>
      </c>
      <c r="F1717" t="s">
        <v>397</v>
      </c>
      <c r="G1717" t="s">
        <v>397</v>
      </c>
      <c r="H1717" t="s">
        <v>397</v>
      </c>
      <c r="I1717" t="s">
        <v>397</v>
      </c>
      <c r="J1717">
        <v>384</v>
      </c>
      <c r="K1717">
        <v>0.73</v>
      </c>
      <c r="L1717">
        <v>0</v>
      </c>
      <c r="M1717">
        <v>0</v>
      </c>
    </row>
    <row r="1718" spans="1:13">
      <c r="A1718" s="28">
        <v>360350</v>
      </c>
      <c r="B1718" t="s">
        <v>1861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397</v>
      </c>
      <c r="I1718" t="s">
        <v>397</v>
      </c>
      <c r="J1718">
        <v>2174</v>
      </c>
      <c r="K1718">
        <v>12.7</v>
      </c>
      <c r="L1718">
        <v>0</v>
      </c>
      <c r="M1718">
        <v>0</v>
      </c>
    </row>
    <row r="1719" spans="1:13">
      <c r="A1719" s="28">
        <v>448710</v>
      </c>
      <c r="B1719" t="s">
        <v>1862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397</v>
      </c>
      <c r="I1719" t="s">
        <v>397</v>
      </c>
      <c r="J1719">
        <v>4912</v>
      </c>
      <c r="K1719">
        <v>4.3</v>
      </c>
      <c r="L1719">
        <v>0</v>
      </c>
      <c r="M1719">
        <v>0</v>
      </c>
    </row>
    <row r="1720" spans="1:13">
      <c r="A1720" s="28">
        <v>15710</v>
      </c>
      <c r="B1720" t="s">
        <v>1863</v>
      </c>
      <c r="C1720">
        <v>4645</v>
      </c>
      <c r="D1720">
        <v>30</v>
      </c>
      <c r="E1720">
        <v>0.65</v>
      </c>
      <c r="F1720" t="s">
        <v>397</v>
      </c>
      <c r="G1720" t="s">
        <v>397</v>
      </c>
      <c r="H1720" t="s">
        <v>397</v>
      </c>
      <c r="I1720" t="s">
        <v>397</v>
      </c>
      <c r="J1720">
        <v>7255</v>
      </c>
      <c r="K1720">
        <v>0.64</v>
      </c>
      <c r="L1720">
        <v>0</v>
      </c>
      <c r="M1720">
        <v>0</v>
      </c>
    </row>
    <row r="1721" spans="1:13">
      <c r="A1721" s="28">
        <v>36420</v>
      </c>
      <c r="B1721" t="s">
        <v>1864</v>
      </c>
      <c r="C1721">
        <v>13030</v>
      </c>
      <c r="D1721">
        <v>560</v>
      </c>
      <c r="E1721">
        <v>4.49</v>
      </c>
      <c r="F1721" t="s">
        <v>397</v>
      </c>
      <c r="G1721" t="s">
        <v>397</v>
      </c>
      <c r="H1721" t="s">
        <v>397</v>
      </c>
      <c r="I1721" t="s">
        <v>397</v>
      </c>
      <c r="J1721">
        <v>9617</v>
      </c>
      <c r="K1721">
        <v>1.35</v>
      </c>
      <c r="L1721">
        <v>0</v>
      </c>
      <c r="M1721">
        <v>0</v>
      </c>
    </row>
    <row r="1722" spans="1:13">
      <c r="A1722" s="28">
        <v>31820</v>
      </c>
      <c r="B1722" t="s">
        <v>1865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397</v>
      </c>
      <c r="I1722" t="s">
        <v>397</v>
      </c>
      <c r="J1722">
        <v>1259</v>
      </c>
      <c r="K1722">
        <v>0.61</v>
      </c>
      <c r="L1722">
        <v>0</v>
      </c>
      <c r="M1722">
        <v>0</v>
      </c>
    </row>
    <row r="1723" spans="1:13">
      <c r="A1723" s="28">
        <v>36170</v>
      </c>
      <c r="B1723" t="s">
        <v>1866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397</v>
      </c>
      <c r="I1723" t="s">
        <v>397</v>
      </c>
      <c r="J1723">
        <v>1836</v>
      </c>
      <c r="K1723">
        <v>0.46</v>
      </c>
      <c r="L1723">
        <v>0</v>
      </c>
      <c r="M1723">
        <v>0</v>
      </c>
    </row>
    <row r="1724" spans="1:13">
      <c r="A1724" s="28">
        <v>45520</v>
      </c>
      <c r="B1724" t="s">
        <v>1867</v>
      </c>
      <c r="C1724">
        <v>6820</v>
      </c>
      <c r="D1724">
        <v>-50</v>
      </c>
      <c r="E1724">
        <v>-0.73</v>
      </c>
      <c r="F1724" t="s">
        <v>397</v>
      </c>
      <c r="G1724" t="s">
        <v>397</v>
      </c>
      <c r="H1724" t="s">
        <v>397</v>
      </c>
      <c r="I1724" t="s">
        <v>397</v>
      </c>
      <c r="J1724">
        <v>4443</v>
      </c>
      <c r="K1724">
        <v>1.53</v>
      </c>
      <c r="L1724">
        <v>0</v>
      </c>
      <c r="M1724">
        <v>0</v>
      </c>
    </row>
    <row r="1725" spans="1:13">
      <c r="A1725" s="28">
        <v>259960</v>
      </c>
      <c r="B1725" t="s">
        <v>1868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>
      <c r="A1726" s="28">
        <v>355390</v>
      </c>
      <c r="B1726" t="s">
        <v>1869</v>
      </c>
      <c r="C1726">
        <v>38550</v>
      </c>
      <c r="D1726">
        <v>-1050</v>
      </c>
      <c r="E1726">
        <v>-2.65</v>
      </c>
      <c r="F1726" t="s">
        <v>397</v>
      </c>
      <c r="G1726" t="s">
        <v>397</v>
      </c>
      <c r="H1726" t="s">
        <v>397</v>
      </c>
      <c r="I1726" t="s">
        <v>397</v>
      </c>
      <c r="J1726" t="s">
        <v>397</v>
      </c>
      <c r="K1726" t="s">
        <v>397</v>
      </c>
      <c r="L1726">
        <v>0</v>
      </c>
      <c r="M1726">
        <v>0</v>
      </c>
    </row>
    <row r="1727" spans="1:13">
      <c r="A1727" s="28">
        <v>16600</v>
      </c>
      <c r="B1727" t="s">
        <v>1870</v>
      </c>
      <c r="C1727">
        <v>324</v>
      </c>
      <c r="D1727">
        <v>-3</v>
      </c>
      <c r="E1727">
        <v>-0.92</v>
      </c>
      <c r="F1727" t="s">
        <v>397</v>
      </c>
      <c r="G1727" t="s">
        <v>397</v>
      </c>
      <c r="H1727" t="s">
        <v>397</v>
      </c>
      <c r="I1727" t="s">
        <v>397</v>
      </c>
      <c r="J1727">
        <v>730</v>
      </c>
      <c r="K1727">
        <v>0.44</v>
      </c>
      <c r="L1727">
        <v>0</v>
      </c>
      <c r="M1727">
        <v>0</v>
      </c>
    </row>
    <row r="1728" spans="1:13">
      <c r="A1728" s="28">
        <v>182360</v>
      </c>
      <c r="B1728" t="s">
        <v>1871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397</v>
      </c>
      <c r="I1728" t="s">
        <v>397</v>
      </c>
      <c r="J1728">
        <v>2812</v>
      </c>
      <c r="K1728">
        <v>5.51</v>
      </c>
      <c r="L1728">
        <v>0</v>
      </c>
      <c r="M1728">
        <v>0</v>
      </c>
    </row>
    <row r="1729" spans="1:13">
      <c r="A1729" s="28">
        <v>445680</v>
      </c>
      <c r="B1729" t="s">
        <v>1872</v>
      </c>
      <c r="C1729">
        <v>40200</v>
      </c>
      <c r="D1729">
        <v>-750</v>
      </c>
      <c r="E1729">
        <v>-1.83</v>
      </c>
      <c r="F1729" t="s">
        <v>397</v>
      </c>
      <c r="G1729" t="s">
        <v>397</v>
      </c>
      <c r="H1729" t="s">
        <v>397</v>
      </c>
      <c r="I1729" t="s">
        <v>397</v>
      </c>
      <c r="J1729">
        <v>6676</v>
      </c>
      <c r="K1729">
        <v>6.02</v>
      </c>
      <c r="L1729">
        <v>0</v>
      </c>
      <c r="M1729">
        <v>0</v>
      </c>
    </row>
    <row r="1730" spans="1:13">
      <c r="A1730" s="28">
        <v>115180</v>
      </c>
      <c r="B1730" t="s">
        <v>1873</v>
      </c>
      <c r="C1730">
        <v>4470</v>
      </c>
      <c r="D1730">
        <v>0</v>
      </c>
      <c r="E1730">
        <v>0</v>
      </c>
      <c r="F1730" t="s">
        <v>397</v>
      </c>
      <c r="G1730" t="s">
        <v>397</v>
      </c>
      <c r="H1730" t="s">
        <v>397</v>
      </c>
      <c r="I1730" t="s">
        <v>397</v>
      </c>
      <c r="J1730">
        <v>1770</v>
      </c>
      <c r="K1730">
        <v>2.5299999999999998</v>
      </c>
      <c r="L1730">
        <v>0</v>
      </c>
      <c r="M1730">
        <v>0</v>
      </c>
    </row>
    <row r="1731" spans="1:13">
      <c r="A1731" s="28">
        <v>51780</v>
      </c>
      <c r="B1731" t="s">
        <v>1874</v>
      </c>
      <c r="C1731">
        <v>304</v>
      </c>
      <c r="D1731">
        <v>2</v>
      </c>
      <c r="E1731">
        <v>0.66</v>
      </c>
      <c r="F1731" t="s">
        <v>397</v>
      </c>
      <c r="G1731" t="s">
        <v>397</v>
      </c>
      <c r="H1731" t="s">
        <v>397</v>
      </c>
      <c r="I1731" t="s">
        <v>397</v>
      </c>
      <c r="J1731">
        <v>298</v>
      </c>
      <c r="K1731">
        <v>1.02</v>
      </c>
      <c r="L1731">
        <v>0</v>
      </c>
      <c r="M1731">
        <v>0</v>
      </c>
    </row>
    <row r="1732" spans="1:13">
      <c r="A1732" s="28">
        <v>40350</v>
      </c>
      <c r="B1732" t="s">
        <v>1875</v>
      </c>
      <c r="C1732">
        <v>424</v>
      </c>
      <c r="D1732">
        <v>11</v>
      </c>
      <c r="E1732">
        <v>2.66</v>
      </c>
      <c r="F1732" t="s">
        <v>397</v>
      </c>
      <c r="G1732" t="s">
        <v>397</v>
      </c>
      <c r="H1732" t="s">
        <v>397</v>
      </c>
      <c r="I1732" t="s">
        <v>397</v>
      </c>
      <c r="J1732">
        <v>308</v>
      </c>
      <c r="K1732">
        <v>1.38</v>
      </c>
      <c r="L1732">
        <v>0</v>
      </c>
      <c r="M1732">
        <v>0</v>
      </c>
    </row>
    <row r="1733" spans="1:13">
      <c r="A1733" s="28">
        <v>372320</v>
      </c>
      <c r="B1733" t="s">
        <v>1876</v>
      </c>
      <c r="C1733">
        <v>34500</v>
      </c>
      <c r="D1733">
        <v>-1800</v>
      </c>
      <c r="E1733">
        <v>-4.96</v>
      </c>
      <c r="F1733" t="s">
        <v>397</v>
      </c>
      <c r="G1733" t="s">
        <v>397</v>
      </c>
      <c r="H1733" t="s">
        <v>397</v>
      </c>
      <c r="I1733" t="s">
        <v>397</v>
      </c>
      <c r="J1733" t="s">
        <v>397</v>
      </c>
      <c r="K1733" t="s">
        <v>397</v>
      </c>
      <c r="L1733">
        <v>0</v>
      </c>
      <c r="M1733">
        <v>0</v>
      </c>
    </row>
    <row r="1734" spans="1:13">
      <c r="A1734" s="28">
        <v>60280</v>
      </c>
      <c r="B1734" t="s">
        <v>1877</v>
      </c>
      <c r="C1734">
        <v>13880</v>
      </c>
      <c r="D1734">
        <v>-330</v>
      </c>
      <c r="E1734">
        <v>-2.3199999999999998</v>
      </c>
      <c r="F1734" t="s">
        <v>397</v>
      </c>
      <c r="G1734" t="s">
        <v>397</v>
      </c>
      <c r="H1734" t="s">
        <v>397</v>
      </c>
      <c r="I1734" t="s">
        <v>397</v>
      </c>
      <c r="J1734">
        <v>2099</v>
      </c>
      <c r="K1734">
        <v>6.61</v>
      </c>
      <c r="L1734">
        <v>0</v>
      </c>
      <c r="M1734">
        <v>0</v>
      </c>
    </row>
    <row r="1735" spans="1:13">
      <c r="A1735" s="28">
        <v>348080</v>
      </c>
      <c r="B1735" t="s">
        <v>1878</v>
      </c>
      <c r="C1735">
        <v>1983</v>
      </c>
      <c r="D1735">
        <v>65</v>
      </c>
      <c r="E1735">
        <v>3.39</v>
      </c>
      <c r="F1735" t="s">
        <v>397</v>
      </c>
      <c r="G1735" t="s">
        <v>397</v>
      </c>
      <c r="H1735" t="s">
        <v>397</v>
      </c>
      <c r="I1735" t="s">
        <v>397</v>
      </c>
      <c r="J1735" t="s">
        <v>397</v>
      </c>
      <c r="K1735" t="s">
        <v>397</v>
      </c>
      <c r="L1735">
        <v>0</v>
      </c>
      <c r="M1735">
        <v>0</v>
      </c>
    </row>
    <row r="1736" spans="1:13">
      <c r="A1736" s="28">
        <v>365270</v>
      </c>
      <c r="B1736" t="s">
        <v>1879</v>
      </c>
      <c r="C1736">
        <v>14830</v>
      </c>
      <c r="D1736">
        <v>-320</v>
      </c>
      <c r="E1736">
        <v>-2.11</v>
      </c>
      <c r="F1736" t="s">
        <v>397</v>
      </c>
      <c r="G1736" t="s">
        <v>397</v>
      </c>
      <c r="H1736" t="s">
        <v>397</v>
      </c>
      <c r="I1736" t="s">
        <v>397</v>
      </c>
      <c r="J1736">
        <v>3335</v>
      </c>
      <c r="K1736">
        <v>4.45</v>
      </c>
      <c r="L1736">
        <v>0</v>
      </c>
      <c r="M1736">
        <v>0</v>
      </c>
    </row>
    <row r="1737" spans="1:13">
      <c r="A1737" s="28">
        <v>432720</v>
      </c>
      <c r="B1737" t="s">
        <v>1880</v>
      </c>
      <c r="C1737">
        <v>39250</v>
      </c>
      <c r="D1737">
        <v>2100</v>
      </c>
      <c r="E1737">
        <v>5.65</v>
      </c>
      <c r="F1737" t="s">
        <v>397</v>
      </c>
      <c r="G1737" t="s">
        <v>397</v>
      </c>
      <c r="H1737" t="s">
        <v>397</v>
      </c>
      <c r="I1737" t="s">
        <v>397</v>
      </c>
      <c r="J1737" t="s">
        <v>397</v>
      </c>
      <c r="K1737" t="s">
        <v>397</v>
      </c>
      <c r="L1737">
        <v>0</v>
      </c>
      <c r="M1737">
        <v>0</v>
      </c>
    </row>
    <row r="1738" spans="1:13">
      <c r="A1738" s="28">
        <v>78940</v>
      </c>
      <c r="B1738" t="s">
        <v>1881</v>
      </c>
      <c r="C1738">
        <v>2855</v>
      </c>
      <c r="D1738">
        <v>0</v>
      </c>
      <c r="E1738">
        <v>0</v>
      </c>
      <c r="F1738" t="s">
        <v>397</v>
      </c>
      <c r="G1738" t="s">
        <v>397</v>
      </c>
      <c r="H1738" t="s">
        <v>397</v>
      </c>
      <c r="I1738" t="s">
        <v>397</v>
      </c>
      <c r="J1738">
        <v>524</v>
      </c>
      <c r="K1738">
        <v>5.45</v>
      </c>
      <c r="L1738">
        <v>0</v>
      </c>
      <c r="M1738">
        <v>0</v>
      </c>
    </row>
    <row r="1739" spans="1:13">
      <c r="A1739" s="28">
        <v>317690</v>
      </c>
      <c r="B1739" t="s">
        <v>1882</v>
      </c>
      <c r="C1739">
        <v>4200</v>
      </c>
      <c r="D1739">
        <v>-50</v>
      </c>
      <c r="E1739">
        <v>-1.18</v>
      </c>
      <c r="F1739" t="s">
        <v>397</v>
      </c>
      <c r="G1739" t="s">
        <v>397</v>
      </c>
      <c r="H1739" t="s">
        <v>397</v>
      </c>
      <c r="I1739" t="s">
        <v>397</v>
      </c>
      <c r="J1739">
        <v>2420</v>
      </c>
      <c r="K1739">
        <v>1.74</v>
      </c>
      <c r="L1739">
        <v>0</v>
      </c>
      <c r="M1739">
        <v>0</v>
      </c>
    </row>
    <row r="1740" spans="1:13">
      <c r="A1740" s="28">
        <v>130740</v>
      </c>
      <c r="B1740" t="s">
        <v>1883</v>
      </c>
      <c r="C1740">
        <v>2850</v>
      </c>
      <c r="D1740">
        <v>0</v>
      </c>
      <c r="E1740">
        <v>0</v>
      </c>
      <c r="F1740" t="s">
        <v>397</v>
      </c>
      <c r="G1740" t="s">
        <v>397</v>
      </c>
      <c r="H1740" t="s">
        <v>397</v>
      </c>
      <c r="I1740" t="s">
        <v>397</v>
      </c>
      <c r="J1740">
        <v>5508</v>
      </c>
      <c r="K1740">
        <v>0.52</v>
      </c>
      <c r="L1740">
        <v>0</v>
      </c>
      <c r="M1740">
        <v>0</v>
      </c>
    </row>
    <row r="1741" spans="1:13">
      <c r="A1741" s="28">
        <v>10780</v>
      </c>
      <c r="B1741" t="s">
        <v>1884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>
      <c r="A1742" s="28">
        <v>388720</v>
      </c>
      <c r="B1742" t="s">
        <v>1885</v>
      </c>
      <c r="C1742">
        <v>30200</v>
      </c>
      <c r="D1742">
        <v>200</v>
      </c>
      <c r="E1742">
        <v>0.67</v>
      </c>
      <c r="F1742" t="s">
        <v>397</v>
      </c>
      <c r="G1742" t="s">
        <v>397</v>
      </c>
      <c r="H1742" t="s">
        <v>397</v>
      </c>
      <c r="I1742" t="s">
        <v>397</v>
      </c>
      <c r="J1742">
        <v>4649</v>
      </c>
      <c r="K1742">
        <v>6.5</v>
      </c>
      <c r="L1742">
        <v>0</v>
      </c>
      <c r="M1742">
        <v>0</v>
      </c>
    </row>
    <row r="1743" spans="1:13">
      <c r="A1743" s="28">
        <v>42510</v>
      </c>
      <c r="B1743" t="s">
        <v>1886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397</v>
      </c>
      <c r="I1743" t="s">
        <v>397</v>
      </c>
      <c r="J1743">
        <v>983</v>
      </c>
      <c r="K1743">
        <v>2.4300000000000002</v>
      </c>
      <c r="L1743">
        <v>0</v>
      </c>
      <c r="M1743">
        <v>0</v>
      </c>
    </row>
    <row r="1744" spans="1:13">
      <c r="A1744" s="28">
        <v>443250</v>
      </c>
      <c r="B1744" t="s">
        <v>1887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>
      <c r="A1745" s="28">
        <v>294140</v>
      </c>
      <c r="B1745" t="s">
        <v>1888</v>
      </c>
      <c r="C1745">
        <v>1620</v>
      </c>
      <c r="D1745">
        <v>-25</v>
      </c>
      <c r="E1745">
        <v>-1.52</v>
      </c>
      <c r="F1745" t="s">
        <v>397</v>
      </c>
      <c r="G1745" t="s">
        <v>397</v>
      </c>
      <c r="H1745" t="s">
        <v>397</v>
      </c>
      <c r="I1745" t="s">
        <v>397</v>
      </c>
      <c r="J1745">
        <v>306</v>
      </c>
      <c r="K1745">
        <v>5.29</v>
      </c>
      <c r="L1745">
        <v>0</v>
      </c>
      <c r="M1745">
        <v>0</v>
      </c>
    </row>
    <row r="1746" spans="1:13">
      <c r="A1746" s="28">
        <v>141080</v>
      </c>
      <c r="B1746" t="s">
        <v>1889</v>
      </c>
      <c r="C1746">
        <v>69000</v>
      </c>
      <c r="D1746">
        <v>-4300</v>
      </c>
      <c r="E1746">
        <v>-5.87</v>
      </c>
      <c r="F1746" t="s">
        <v>397</v>
      </c>
      <c r="G1746" t="s">
        <v>397</v>
      </c>
      <c r="H1746" t="s">
        <v>397</v>
      </c>
      <c r="I1746" t="s">
        <v>397</v>
      </c>
      <c r="J1746">
        <v>8611</v>
      </c>
      <c r="K1746">
        <v>8.01</v>
      </c>
      <c r="L1746">
        <v>0</v>
      </c>
      <c r="M1746">
        <v>0</v>
      </c>
    </row>
    <row r="1747" spans="1:13">
      <c r="A1747" s="28">
        <v>84650</v>
      </c>
      <c r="B1747" t="s">
        <v>1890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>
      <c r="A1748" s="28">
        <v>171010</v>
      </c>
      <c r="B1748" t="s">
        <v>1891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397</v>
      </c>
      <c r="I1748" t="s">
        <v>397</v>
      </c>
      <c r="J1748">
        <v>3731</v>
      </c>
      <c r="K1748">
        <v>1.26</v>
      </c>
      <c r="L1748">
        <v>0</v>
      </c>
      <c r="M1748">
        <v>0</v>
      </c>
    </row>
    <row r="1749" spans="1:13">
      <c r="A1749" s="28">
        <v>200350</v>
      </c>
      <c r="B1749" t="s">
        <v>1892</v>
      </c>
      <c r="C1749">
        <v>18010</v>
      </c>
      <c r="D1749">
        <v>-2540</v>
      </c>
      <c r="E1749">
        <v>-12.36</v>
      </c>
      <c r="F1749" t="s">
        <v>397</v>
      </c>
      <c r="G1749" t="s">
        <v>397</v>
      </c>
      <c r="H1749" t="s">
        <v>397</v>
      </c>
      <c r="I1749" t="s">
        <v>397</v>
      </c>
      <c r="J1749">
        <v>6554</v>
      </c>
      <c r="K1749">
        <v>2.75</v>
      </c>
      <c r="L1749">
        <v>0</v>
      </c>
      <c r="M1749">
        <v>0</v>
      </c>
    </row>
    <row r="1750" spans="1:13">
      <c r="A1750" s="28">
        <v>214260</v>
      </c>
      <c r="B1750" t="s">
        <v>1893</v>
      </c>
      <c r="C1750">
        <v>17000</v>
      </c>
      <c r="D1750">
        <v>-50</v>
      </c>
      <c r="E1750">
        <v>-0.28999999999999998</v>
      </c>
      <c r="F1750" t="s">
        <v>397</v>
      </c>
      <c r="G1750" t="s">
        <v>397</v>
      </c>
      <c r="H1750" t="s">
        <v>397</v>
      </c>
      <c r="I1750" t="s">
        <v>397</v>
      </c>
      <c r="J1750">
        <v>4840</v>
      </c>
      <c r="K1750">
        <v>3.51</v>
      </c>
      <c r="L1750">
        <v>0</v>
      </c>
      <c r="M1750">
        <v>0</v>
      </c>
    </row>
    <row r="1751" spans="1:13">
      <c r="A1751" s="28">
        <v>347700</v>
      </c>
      <c r="B1751" t="s">
        <v>1894</v>
      </c>
      <c r="C1751">
        <v>2120</v>
      </c>
      <c r="D1751">
        <v>-20</v>
      </c>
      <c r="E1751">
        <v>-0.93</v>
      </c>
      <c r="F1751" t="s">
        <v>397</v>
      </c>
      <c r="G1751" t="s">
        <v>397</v>
      </c>
      <c r="H1751" t="s">
        <v>397</v>
      </c>
      <c r="I1751" t="s">
        <v>397</v>
      </c>
      <c r="J1751">
        <v>837</v>
      </c>
      <c r="K1751">
        <v>2.5299999999999998</v>
      </c>
      <c r="L1751">
        <v>0</v>
      </c>
      <c r="M1751">
        <v>0</v>
      </c>
    </row>
    <row r="1752" spans="1:13">
      <c r="A1752" s="28">
        <v>69540</v>
      </c>
      <c r="B1752" t="s">
        <v>1895</v>
      </c>
      <c r="C1752">
        <v>2315</v>
      </c>
      <c r="D1752">
        <v>135</v>
      </c>
      <c r="E1752">
        <v>6.19</v>
      </c>
      <c r="F1752" t="s">
        <v>397</v>
      </c>
      <c r="G1752" t="s">
        <v>397</v>
      </c>
      <c r="H1752" t="s">
        <v>397</v>
      </c>
      <c r="I1752" t="s">
        <v>397</v>
      </c>
      <c r="J1752">
        <v>2214</v>
      </c>
      <c r="K1752">
        <v>1.05</v>
      </c>
      <c r="L1752">
        <v>0</v>
      </c>
      <c r="M1752">
        <v>0</v>
      </c>
    </row>
    <row r="1753" spans="1:13">
      <c r="A1753" s="28">
        <v>388790</v>
      </c>
      <c r="B1753" t="s">
        <v>1896</v>
      </c>
      <c r="C1753">
        <v>1905</v>
      </c>
      <c r="D1753">
        <v>5</v>
      </c>
      <c r="E1753">
        <v>0.26</v>
      </c>
      <c r="F1753" t="s">
        <v>397</v>
      </c>
      <c r="G1753" t="s">
        <v>397</v>
      </c>
      <c r="H1753" t="s">
        <v>397</v>
      </c>
      <c r="I1753" t="s">
        <v>397</v>
      </c>
      <c r="J1753">
        <v>1902</v>
      </c>
      <c r="K1753">
        <v>1</v>
      </c>
      <c r="L1753">
        <v>0</v>
      </c>
      <c r="M1753">
        <v>0</v>
      </c>
    </row>
    <row r="1754" spans="1:13">
      <c r="A1754" s="28">
        <v>418420</v>
      </c>
      <c r="B1754" t="s">
        <v>1897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397</v>
      </c>
      <c r="I1754" t="s">
        <v>397</v>
      </c>
      <c r="J1754">
        <v>300</v>
      </c>
      <c r="K1754">
        <v>20.63</v>
      </c>
      <c r="L1754">
        <v>0</v>
      </c>
      <c r="M1754">
        <v>0</v>
      </c>
    </row>
    <row r="1755" spans="1:13">
      <c r="A1755" s="28">
        <v>317120</v>
      </c>
      <c r="B1755" t="s">
        <v>1898</v>
      </c>
      <c r="C1755">
        <v>3590</v>
      </c>
      <c r="D1755">
        <v>-140</v>
      </c>
      <c r="E1755">
        <v>-3.75</v>
      </c>
      <c r="F1755" t="s">
        <v>397</v>
      </c>
      <c r="G1755" t="s">
        <v>397</v>
      </c>
      <c r="H1755" t="s">
        <v>397</v>
      </c>
      <c r="I1755" t="s">
        <v>397</v>
      </c>
      <c r="J1755">
        <v>1487</v>
      </c>
      <c r="K1755">
        <v>2.41</v>
      </c>
      <c r="L1755">
        <v>0</v>
      </c>
      <c r="M1755">
        <v>0</v>
      </c>
    </row>
    <row r="1756" spans="1:13">
      <c r="A1756" s="28">
        <v>412350</v>
      </c>
      <c r="B1756" t="s">
        <v>1899</v>
      </c>
      <c r="C1756">
        <v>8500</v>
      </c>
      <c r="D1756">
        <v>-160</v>
      </c>
      <c r="E1756">
        <v>-1.85</v>
      </c>
      <c r="F1756" t="s">
        <v>397</v>
      </c>
      <c r="G1756" t="s">
        <v>397</v>
      </c>
      <c r="H1756" t="s">
        <v>397</v>
      </c>
      <c r="I1756" t="s">
        <v>397</v>
      </c>
      <c r="J1756">
        <v>4176</v>
      </c>
      <c r="K1756">
        <v>2.04</v>
      </c>
      <c r="L1756">
        <v>0</v>
      </c>
      <c r="M1756">
        <v>0</v>
      </c>
    </row>
    <row r="1757" spans="1:13">
      <c r="A1757" s="28">
        <v>315640</v>
      </c>
      <c r="B1757" t="s">
        <v>1900</v>
      </c>
      <c r="C1757">
        <v>17870</v>
      </c>
      <c r="D1757">
        <v>750</v>
      </c>
      <c r="E1757">
        <v>4.38</v>
      </c>
      <c r="F1757" t="s">
        <v>397</v>
      </c>
      <c r="G1757" t="s">
        <v>397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>
      <c r="A1758" s="28">
        <v>383930</v>
      </c>
      <c r="B1758" t="s">
        <v>1901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397</v>
      </c>
      <c r="I1758" t="s">
        <v>397</v>
      </c>
      <c r="J1758">
        <v>3668</v>
      </c>
      <c r="K1758">
        <v>3.35</v>
      </c>
      <c r="L1758">
        <v>0</v>
      </c>
      <c r="M1758">
        <v>0</v>
      </c>
    </row>
    <row r="1759" spans="1:13">
      <c r="A1759" s="28">
        <v>187220</v>
      </c>
      <c r="B1759" t="s">
        <v>1902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397</v>
      </c>
      <c r="I1759" t="s">
        <v>397</v>
      </c>
      <c r="J1759">
        <v>8768</v>
      </c>
      <c r="K1759">
        <v>0.54</v>
      </c>
      <c r="L1759">
        <v>0</v>
      </c>
      <c r="M1759">
        <v>0</v>
      </c>
    </row>
    <row r="1760" spans="1:13">
      <c r="A1760" s="28">
        <v>290550</v>
      </c>
      <c r="B1760" t="s">
        <v>1903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>
      <c r="A1761" s="28">
        <v>43360</v>
      </c>
      <c r="B1761" t="s">
        <v>1904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397</v>
      </c>
      <c r="I1761" t="s">
        <v>397</v>
      </c>
      <c r="J1761">
        <v>5011</v>
      </c>
      <c r="K1761">
        <v>0.54</v>
      </c>
      <c r="L1761">
        <v>0</v>
      </c>
      <c r="M1761">
        <v>0</v>
      </c>
    </row>
    <row r="1762" spans="1:13">
      <c r="A1762" s="28">
        <v>113810</v>
      </c>
      <c r="B1762" t="s">
        <v>1905</v>
      </c>
      <c r="C1762">
        <v>1030</v>
      </c>
      <c r="D1762">
        <v>5</v>
      </c>
      <c r="E1762">
        <v>0.49</v>
      </c>
      <c r="F1762" t="s">
        <v>397</v>
      </c>
      <c r="G1762" t="s">
        <v>397</v>
      </c>
      <c r="H1762" t="s">
        <v>397</v>
      </c>
      <c r="I1762" t="s">
        <v>397</v>
      </c>
      <c r="J1762">
        <v>499</v>
      </c>
      <c r="K1762">
        <v>2.06</v>
      </c>
      <c r="L1762">
        <v>0</v>
      </c>
      <c r="M1762">
        <v>0</v>
      </c>
    </row>
    <row r="1763" spans="1:13">
      <c r="A1763" s="28">
        <v>79810</v>
      </c>
      <c r="B1763" t="s">
        <v>1906</v>
      </c>
      <c r="C1763">
        <v>14710</v>
      </c>
      <c r="D1763">
        <v>-440</v>
      </c>
      <c r="E1763">
        <v>-2.9</v>
      </c>
      <c r="F1763" t="s">
        <v>397</v>
      </c>
      <c r="G1763" t="s">
        <v>397</v>
      </c>
      <c r="H1763" t="s">
        <v>397</v>
      </c>
      <c r="I1763" t="s">
        <v>397</v>
      </c>
      <c r="J1763">
        <v>1332</v>
      </c>
      <c r="K1763">
        <v>11.04</v>
      </c>
      <c r="L1763">
        <v>0</v>
      </c>
      <c r="M1763">
        <v>0</v>
      </c>
    </row>
    <row r="1764" spans="1:13">
      <c r="A1764" s="28">
        <v>310870</v>
      </c>
      <c r="B1764" t="s">
        <v>1907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397</v>
      </c>
      <c r="I1764" t="s">
        <v>397</v>
      </c>
      <c r="J1764">
        <v>2247</v>
      </c>
      <c r="K1764">
        <v>0.7</v>
      </c>
      <c r="L1764">
        <v>0</v>
      </c>
      <c r="M1764">
        <v>0</v>
      </c>
    </row>
    <row r="1765" spans="1:13">
      <c r="A1765" s="28">
        <v>219550</v>
      </c>
      <c r="B1765" t="s">
        <v>1908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397</v>
      </c>
      <c r="I1765" t="s">
        <v>397</v>
      </c>
      <c r="J1765">
        <v>1217</v>
      </c>
      <c r="K1765">
        <v>0.85</v>
      </c>
      <c r="L1765">
        <v>0</v>
      </c>
      <c r="M1765">
        <v>0</v>
      </c>
    </row>
    <row r="1766" spans="1:13">
      <c r="A1766" s="28">
        <v>39840</v>
      </c>
      <c r="B1766" t="s">
        <v>1909</v>
      </c>
      <c r="C1766">
        <v>21350</v>
      </c>
      <c r="D1766">
        <v>300</v>
      </c>
      <c r="E1766">
        <v>1.43</v>
      </c>
      <c r="F1766" t="s">
        <v>397</v>
      </c>
      <c r="G1766" t="s">
        <v>397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>
      <c r="A1767" s="28">
        <v>127120</v>
      </c>
      <c r="B1767" t="s">
        <v>1910</v>
      </c>
      <c r="C1767">
        <v>2760</v>
      </c>
      <c r="D1767">
        <v>-40</v>
      </c>
      <c r="E1767">
        <v>-1.43</v>
      </c>
      <c r="F1767" t="s">
        <v>397</v>
      </c>
      <c r="G1767" t="s">
        <v>397</v>
      </c>
      <c r="H1767" t="s">
        <v>397</v>
      </c>
      <c r="I1767" t="s">
        <v>397</v>
      </c>
      <c r="J1767">
        <v>1632</v>
      </c>
      <c r="K1767">
        <v>1.69</v>
      </c>
      <c r="L1767">
        <v>0</v>
      </c>
      <c r="M1767">
        <v>0</v>
      </c>
    </row>
    <row r="1768" spans="1:13">
      <c r="A1768" s="28">
        <v>228670</v>
      </c>
      <c r="B1768" t="s">
        <v>1911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>
      <c r="A1769" s="28">
        <v>199550</v>
      </c>
      <c r="B1769" t="s">
        <v>1912</v>
      </c>
      <c r="C1769">
        <v>10540</v>
      </c>
      <c r="D1769">
        <v>-590</v>
      </c>
      <c r="E1769">
        <v>-5.3</v>
      </c>
      <c r="F1769" t="s">
        <v>397</v>
      </c>
      <c r="G1769" t="s">
        <v>397</v>
      </c>
      <c r="H1769" t="s">
        <v>397</v>
      </c>
      <c r="I1769" t="s">
        <v>397</v>
      </c>
      <c r="J1769" t="s">
        <v>397</v>
      </c>
      <c r="K1769" t="s">
        <v>397</v>
      </c>
      <c r="L1769">
        <v>0</v>
      </c>
      <c r="M1769">
        <v>0</v>
      </c>
    </row>
    <row r="1770" spans="1:13">
      <c r="A1770" s="28">
        <v>133750</v>
      </c>
      <c r="B1770" t="s">
        <v>1913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397</v>
      </c>
      <c r="I1770" t="s">
        <v>397</v>
      </c>
      <c r="J1770">
        <v>2978</v>
      </c>
      <c r="K1770">
        <v>0.96</v>
      </c>
      <c r="L1770">
        <v>0</v>
      </c>
      <c r="M1770">
        <v>0</v>
      </c>
    </row>
    <row r="1771" spans="1:13">
      <c r="A1771" s="28">
        <v>73570</v>
      </c>
      <c r="B1771" t="s">
        <v>1914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397</v>
      </c>
      <c r="I1771" t="s">
        <v>397</v>
      </c>
      <c r="J1771">
        <v>6722</v>
      </c>
      <c r="K1771">
        <v>0.8</v>
      </c>
      <c r="L1771">
        <v>0</v>
      </c>
      <c r="M1771">
        <v>0</v>
      </c>
    </row>
    <row r="1772" spans="1:13">
      <c r="A1772" s="28">
        <v>377030</v>
      </c>
      <c r="B1772" t="s">
        <v>1915</v>
      </c>
      <c r="C1772">
        <v>5920</v>
      </c>
      <c r="D1772">
        <v>-110</v>
      </c>
      <c r="E1772">
        <v>-1.82</v>
      </c>
      <c r="F1772" t="s">
        <v>397</v>
      </c>
      <c r="G1772" t="s">
        <v>397</v>
      </c>
      <c r="H1772" t="s">
        <v>397</v>
      </c>
      <c r="I1772" t="s">
        <v>397</v>
      </c>
      <c r="J1772">
        <v>1953</v>
      </c>
      <c r="K1772">
        <v>3.03</v>
      </c>
      <c r="L1772">
        <v>0</v>
      </c>
      <c r="M1772">
        <v>0</v>
      </c>
    </row>
    <row r="1773" spans="1:13">
      <c r="A1773" s="28">
        <v>1080</v>
      </c>
      <c r="B1773" t="s">
        <v>1916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397</v>
      </c>
      <c r="I1773" t="s">
        <v>397</v>
      </c>
      <c r="J1773">
        <v>88854</v>
      </c>
      <c r="K1773">
        <v>0.53</v>
      </c>
      <c r="L1773">
        <v>0</v>
      </c>
      <c r="M1773">
        <v>0</v>
      </c>
    </row>
    <row r="1774" spans="1:13">
      <c r="A1774" s="28">
        <v>424980</v>
      </c>
      <c r="B1774" t="s">
        <v>1917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397</v>
      </c>
      <c r="I1774" t="s">
        <v>397</v>
      </c>
      <c r="J1774">
        <v>5335</v>
      </c>
      <c r="K1774">
        <v>2.29</v>
      </c>
      <c r="L1774">
        <v>0</v>
      </c>
      <c r="M1774">
        <v>0</v>
      </c>
    </row>
    <row r="1775" spans="1:13">
      <c r="A1775" s="28">
        <v>305090</v>
      </c>
      <c r="B1775" t="s">
        <v>1918</v>
      </c>
      <c r="C1775">
        <v>5470</v>
      </c>
      <c r="D1775">
        <v>30</v>
      </c>
      <c r="E1775">
        <v>0.55000000000000004</v>
      </c>
      <c r="F1775" t="s">
        <v>397</v>
      </c>
      <c r="G1775" t="s">
        <v>397</v>
      </c>
      <c r="H1775" t="s">
        <v>397</v>
      </c>
      <c r="I1775" t="s">
        <v>397</v>
      </c>
      <c r="J1775">
        <v>366</v>
      </c>
      <c r="K1775">
        <v>14.95</v>
      </c>
      <c r="L1775">
        <v>0</v>
      </c>
      <c r="M1775">
        <v>0</v>
      </c>
    </row>
    <row r="1776" spans="1:13">
      <c r="A1776" s="28">
        <v>377480</v>
      </c>
      <c r="B1776" t="s">
        <v>1919</v>
      </c>
      <c r="C1776">
        <v>27150</v>
      </c>
      <c r="D1776">
        <v>-450</v>
      </c>
      <c r="E1776">
        <v>-1.63</v>
      </c>
      <c r="F1776" t="s">
        <v>397</v>
      </c>
      <c r="G1776" t="s">
        <v>397</v>
      </c>
      <c r="H1776" t="s">
        <v>397</v>
      </c>
      <c r="I1776" t="s">
        <v>397</v>
      </c>
      <c r="J1776">
        <v>4213</v>
      </c>
      <c r="K1776">
        <v>6.44</v>
      </c>
      <c r="L1776">
        <v>0</v>
      </c>
      <c r="M1776">
        <v>0</v>
      </c>
    </row>
    <row r="1777" spans="1:13">
      <c r="A1777" s="28">
        <v>195500</v>
      </c>
      <c r="B1777" t="s">
        <v>1920</v>
      </c>
      <c r="C1777">
        <v>3015</v>
      </c>
      <c r="D1777">
        <v>-20</v>
      </c>
      <c r="E1777">
        <v>-0.66</v>
      </c>
      <c r="F1777" t="s">
        <v>397</v>
      </c>
      <c r="G1777" t="s">
        <v>397</v>
      </c>
      <c r="H1777" t="s">
        <v>397</v>
      </c>
      <c r="I1777" t="s">
        <v>397</v>
      </c>
      <c r="J1777">
        <v>4069</v>
      </c>
      <c r="K1777">
        <v>0.74</v>
      </c>
      <c r="L1777">
        <v>0</v>
      </c>
      <c r="M1777">
        <v>0</v>
      </c>
    </row>
    <row r="1778" spans="1:13">
      <c r="A1778" s="28">
        <v>27740</v>
      </c>
      <c r="B1778" t="s">
        <v>1921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397</v>
      </c>
      <c r="I1778" t="s">
        <v>397</v>
      </c>
      <c r="J1778">
        <v>777</v>
      </c>
      <c r="K1778">
        <v>1.47</v>
      </c>
      <c r="L1778">
        <v>0</v>
      </c>
      <c r="M1778">
        <v>0</v>
      </c>
    </row>
    <row r="1779" spans="1:13">
      <c r="A1779" s="28">
        <v>439090</v>
      </c>
      <c r="B1779" t="s">
        <v>1922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>
      <c r="A1780" s="28">
        <v>219420</v>
      </c>
      <c r="B1780" t="s">
        <v>1923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397</v>
      </c>
      <c r="I1780" t="s">
        <v>397</v>
      </c>
      <c r="J1780">
        <v>3754</v>
      </c>
      <c r="K1780">
        <v>1.94</v>
      </c>
      <c r="L1780">
        <v>0</v>
      </c>
      <c r="M1780">
        <v>0</v>
      </c>
    </row>
    <row r="1781" spans="1:13">
      <c r="A1781" s="28">
        <v>42500</v>
      </c>
      <c r="B1781" t="s">
        <v>1924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397</v>
      </c>
      <c r="I1781" t="s">
        <v>397</v>
      </c>
      <c r="J1781">
        <v>6765</v>
      </c>
      <c r="K1781">
        <v>1</v>
      </c>
      <c r="L1781">
        <v>0</v>
      </c>
      <c r="M1781">
        <v>0</v>
      </c>
    </row>
    <row r="1782" spans="1:13">
      <c r="A1782" s="28">
        <v>377450</v>
      </c>
      <c r="B1782" t="s">
        <v>1925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397</v>
      </c>
      <c r="I1782" t="s">
        <v>397</v>
      </c>
      <c r="J1782">
        <v>8818</v>
      </c>
      <c r="K1782">
        <v>1.04</v>
      </c>
      <c r="L1782">
        <v>0</v>
      </c>
      <c r="M1782">
        <v>0</v>
      </c>
    </row>
    <row r="1783" spans="1:13">
      <c r="A1783" s="28">
        <v>302550</v>
      </c>
      <c r="B1783" t="s">
        <v>1926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397</v>
      </c>
      <c r="I1783" t="s">
        <v>397</v>
      </c>
      <c r="J1783">
        <v>977</v>
      </c>
      <c r="K1783">
        <v>2.91</v>
      </c>
      <c r="L1783">
        <v>0</v>
      </c>
      <c r="M1783">
        <v>0</v>
      </c>
    </row>
    <row r="1784" spans="1:13">
      <c r="A1784" s="28">
        <v>281740</v>
      </c>
      <c r="B1784" t="s">
        <v>1927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>
      <c r="A1785" s="28">
        <v>16100</v>
      </c>
      <c r="B1785" t="s">
        <v>1928</v>
      </c>
      <c r="C1785">
        <v>1977</v>
      </c>
      <c r="D1785">
        <v>-28</v>
      </c>
      <c r="E1785">
        <v>-1.4</v>
      </c>
      <c r="F1785" t="s">
        <v>397</v>
      </c>
      <c r="G1785" t="s">
        <v>397</v>
      </c>
      <c r="H1785" t="s">
        <v>397</v>
      </c>
      <c r="I1785" t="s">
        <v>397</v>
      </c>
      <c r="J1785">
        <v>2357</v>
      </c>
      <c r="K1785">
        <v>0.84</v>
      </c>
      <c r="L1785">
        <v>0</v>
      </c>
      <c r="M1785">
        <v>0</v>
      </c>
    </row>
    <row r="1786" spans="1:13">
      <c r="A1786" s="28">
        <v>19570</v>
      </c>
      <c r="B1786" t="s">
        <v>1929</v>
      </c>
      <c r="C1786">
        <v>644</v>
      </c>
      <c r="D1786">
        <v>1</v>
      </c>
      <c r="E1786">
        <v>0.16</v>
      </c>
      <c r="F1786" t="s">
        <v>397</v>
      </c>
      <c r="G1786" t="s">
        <v>397</v>
      </c>
      <c r="H1786" t="s">
        <v>397</v>
      </c>
      <c r="I1786" t="s">
        <v>397</v>
      </c>
      <c r="J1786">
        <v>768</v>
      </c>
      <c r="K1786">
        <v>0.84</v>
      </c>
      <c r="L1786">
        <v>0</v>
      </c>
      <c r="M1786">
        <v>0</v>
      </c>
    </row>
    <row r="1787" spans="1:13">
      <c r="A1787" s="28">
        <v>60240</v>
      </c>
      <c r="B1787" t="s">
        <v>1930</v>
      </c>
      <c r="C1787">
        <v>1570</v>
      </c>
      <c r="D1787">
        <v>18</v>
      </c>
      <c r="E1787">
        <v>1.1599999999999999</v>
      </c>
      <c r="F1787" t="s">
        <v>397</v>
      </c>
      <c r="G1787" t="s">
        <v>397</v>
      </c>
      <c r="H1787" t="s">
        <v>397</v>
      </c>
      <c r="I1787" t="s">
        <v>397</v>
      </c>
      <c r="J1787">
        <v>1490</v>
      </c>
      <c r="K1787">
        <v>1.05</v>
      </c>
      <c r="L1787">
        <v>0</v>
      </c>
      <c r="M1787">
        <v>0</v>
      </c>
    </row>
    <row r="1788" spans="1:13">
      <c r="A1788" s="28">
        <v>38060</v>
      </c>
      <c r="B1788" t="s">
        <v>1931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397</v>
      </c>
      <c r="I1788" t="s">
        <v>397</v>
      </c>
      <c r="J1788">
        <v>1992</v>
      </c>
      <c r="K1788">
        <v>0.56000000000000005</v>
      </c>
      <c r="L1788">
        <v>0</v>
      </c>
      <c r="M1788">
        <v>0</v>
      </c>
    </row>
    <row r="1789" spans="1:13">
      <c r="A1789" s="28">
        <v>328130</v>
      </c>
      <c r="B1789" t="s">
        <v>1932</v>
      </c>
      <c r="C1789">
        <v>64500</v>
      </c>
      <c r="D1789">
        <v>900</v>
      </c>
      <c r="E1789">
        <v>1.42</v>
      </c>
      <c r="F1789" t="s">
        <v>397</v>
      </c>
      <c r="G1789" t="s">
        <v>397</v>
      </c>
      <c r="H1789" t="s">
        <v>397</v>
      </c>
      <c r="I1789" t="s">
        <v>397</v>
      </c>
      <c r="J1789">
        <v>2721</v>
      </c>
      <c r="K1789">
        <v>23.7</v>
      </c>
      <c r="L1789">
        <v>0</v>
      </c>
      <c r="M1789">
        <v>0</v>
      </c>
    </row>
    <row r="1790" spans="1:13">
      <c r="A1790" s="28">
        <v>400</v>
      </c>
      <c r="B1790" t="s">
        <v>1933</v>
      </c>
      <c r="C1790">
        <v>2865</v>
      </c>
      <c r="D1790">
        <v>-95</v>
      </c>
      <c r="E1790">
        <v>-3.21</v>
      </c>
      <c r="F1790" t="s">
        <v>397</v>
      </c>
      <c r="G1790" t="s">
        <v>397</v>
      </c>
      <c r="H1790" t="s">
        <v>397</v>
      </c>
      <c r="I1790" t="s">
        <v>397</v>
      </c>
      <c r="J1790">
        <v>1451</v>
      </c>
      <c r="K1790">
        <v>1.97</v>
      </c>
      <c r="L1790">
        <v>0</v>
      </c>
      <c r="M1790">
        <v>0</v>
      </c>
    </row>
    <row r="1791" spans="1:13">
      <c r="A1791" s="28">
        <v>32350</v>
      </c>
      <c r="B1791" t="s">
        <v>1934</v>
      </c>
      <c r="C1791">
        <v>9000</v>
      </c>
      <c r="D1791">
        <v>-130</v>
      </c>
      <c r="E1791">
        <v>-1.42</v>
      </c>
      <c r="F1791" t="s">
        <v>397</v>
      </c>
      <c r="G1791" t="s">
        <v>397</v>
      </c>
      <c r="H1791" t="s">
        <v>397</v>
      </c>
      <c r="I1791" t="s">
        <v>397</v>
      </c>
      <c r="J1791">
        <v>3223</v>
      </c>
      <c r="K1791">
        <v>2.79</v>
      </c>
      <c r="L1791">
        <v>0</v>
      </c>
      <c r="M1791">
        <v>0</v>
      </c>
    </row>
    <row r="1792" spans="1:13">
      <c r="A1792" s="28">
        <v>108490</v>
      </c>
      <c r="B1792" t="s">
        <v>1935</v>
      </c>
      <c r="C1792">
        <v>26650</v>
      </c>
      <c r="D1792">
        <v>-350</v>
      </c>
      <c r="E1792">
        <v>-1.3</v>
      </c>
      <c r="F1792" t="s">
        <v>397</v>
      </c>
      <c r="G1792" t="s">
        <v>397</v>
      </c>
      <c r="H1792" t="s">
        <v>397</v>
      </c>
      <c r="I1792" t="s">
        <v>397</v>
      </c>
      <c r="J1792">
        <v>7148</v>
      </c>
      <c r="K1792">
        <v>3.73</v>
      </c>
      <c r="L1792">
        <v>0</v>
      </c>
      <c r="M1792">
        <v>0</v>
      </c>
    </row>
    <row r="1793" spans="1:13">
      <c r="A1793" s="28">
        <v>90360</v>
      </c>
      <c r="B1793" t="s">
        <v>1936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397</v>
      </c>
      <c r="I1793" t="s">
        <v>397</v>
      </c>
      <c r="J1793">
        <v>9222</v>
      </c>
      <c r="K1793">
        <v>3.7</v>
      </c>
      <c r="L1793">
        <v>0</v>
      </c>
      <c r="M1793">
        <v>0</v>
      </c>
    </row>
    <row r="1794" spans="1:13">
      <c r="A1794" s="28">
        <v>215100</v>
      </c>
      <c r="B1794" t="s">
        <v>1937</v>
      </c>
      <c r="C1794">
        <v>4775</v>
      </c>
      <c r="D1794">
        <v>5</v>
      </c>
      <c r="E1794">
        <v>0.1</v>
      </c>
      <c r="F1794" t="s">
        <v>397</v>
      </c>
      <c r="G1794" t="s">
        <v>397</v>
      </c>
      <c r="H1794" t="s">
        <v>397</v>
      </c>
      <c r="I1794" t="s">
        <v>397</v>
      </c>
      <c r="J1794">
        <v>1459</v>
      </c>
      <c r="K1794">
        <v>3.27</v>
      </c>
      <c r="L1794">
        <v>0</v>
      </c>
      <c r="M1794">
        <v>0</v>
      </c>
    </row>
    <row r="1795" spans="1:13">
      <c r="A1795" s="28">
        <v>277810</v>
      </c>
      <c r="B1795" t="s">
        <v>1938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>
      <c r="A1796" s="28">
        <v>66900</v>
      </c>
      <c r="B1796" t="s">
        <v>1939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397</v>
      </c>
      <c r="I1796" t="s">
        <v>397</v>
      </c>
      <c r="J1796">
        <v>7244</v>
      </c>
      <c r="K1796">
        <v>0.43</v>
      </c>
      <c r="L1796">
        <v>0</v>
      </c>
      <c r="M1796">
        <v>0</v>
      </c>
    </row>
    <row r="1797" spans="1:13">
      <c r="A1797" s="28">
        <v>196490</v>
      </c>
      <c r="B1797" t="s">
        <v>1940</v>
      </c>
      <c r="C1797">
        <v>1782</v>
      </c>
      <c r="D1797">
        <v>0</v>
      </c>
      <c r="E1797">
        <v>0</v>
      </c>
      <c r="F1797" t="s">
        <v>397</v>
      </c>
      <c r="G1797" t="s">
        <v>397</v>
      </c>
      <c r="H1797" t="s">
        <v>397</v>
      </c>
      <c r="I1797" t="s">
        <v>397</v>
      </c>
      <c r="J1797">
        <v>2984</v>
      </c>
      <c r="K1797">
        <v>0.6</v>
      </c>
      <c r="L1797">
        <v>0</v>
      </c>
      <c r="M1797">
        <v>0</v>
      </c>
    </row>
    <row r="1798" spans="1:13">
      <c r="A1798" s="28">
        <v>109740</v>
      </c>
      <c r="B1798" t="s">
        <v>1941</v>
      </c>
      <c r="C1798">
        <v>5440</v>
      </c>
      <c r="D1798">
        <v>-20</v>
      </c>
      <c r="E1798">
        <v>-0.37</v>
      </c>
      <c r="F1798" t="s">
        <v>397</v>
      </c>
      <c r="G1798" t="s">
        <v>397</v>
      </c>
      <c r="H1798" t="s">
        <v>397</v>
      </c>
      <c r="I1798" t="s">
        <v>397</v>
      </c>
      <c r="J1798">
        <v>5020</v>
      </c>
      <c r="K1798">
        <v>1.08</v>
      </c>
      <c r="L1798">
        <v>0</v>
      </c>
      <c r="M1798">
        <v>0</v>
      </c>
    </row>
    <row r="1799" spans="1:13">
      <c r="A1799" s="28">
        <v>224060</v>
      </c>
      <c r="B1799" t="s">
        <v>1942</v>
      </c>
      <c r="C1799">
        <v>5470</v>
      </c>
      <c r="D1799">
        <v>170</v>
      </c>
      <c r="E1799">
        <v>3.21</v>
      </c>
      <c r="F1799" t="s">
        <v>397</v>
      </c>
      <c r="G1799" t="s">
        <v>397</v>
      </c>
      <c r="H1799" t="s">
        <v>397</v>
      </c>
      <c r="I1799" t="s">
        <v>397</v>
      </c>
      <c r="J1799">
        <v>14734</v>
      </c>
      <c r="K1799">
        <v>0.37</v>
      </c>
      <c r="L1799">
        <v>0</v>
      </c>
      <c r="M1799">
        <v>0</v>
      </c>
    </row>
    <row r="1800" spans="1:13">
      <c r="A1800" s="28">
        <v>460860</v>
      </c>
      <c r="B1800" t="s">
        <v>1943</v>
      </c>
      <c r="C1800">
        <v>11360</v>
      </c>
      <c r="D1800">
        <v>-70</v>
      </c>
      <c r="E1800">
        <v>-0.61</v>
      </c>
      <c r="F1800" t="s">
        <v>397</v>
      </c>
      <c r="G1800" t="s">
        <v>397</v>
      </c>
      <c r="H1800">
        <v>4828</v>
      </c>
      <c r="I1800">
        <v>2.35</v>
      </c>
      <c r="J1800" t="s">
        <v>397</v>
      </c>
      <c r="K1800" t="s">
        <v>397</v>
      </c>
      <c r="L1800">
        <v>0</v>
      </c>
      <c r="M1800">
        <v>0</v>
      </c>
    </row>
    <row r="1801" spans="1:13">
      <c r="A1801" s="28">
        <v>460850</v>
      </c>
      <c r="B1801" t="s">
        <v>1944</v>
      </c>
      <c r="C1801">
        <v>6180</v>
      </c>
      <c r="D1801">
        <v>-60</v>
      </c>
      <c r="E1801">
        <v>-0.96</v>
      </c>
      <c r="F1801" t="s">
        <v>397</v>
      </c>
      <c r="G1801" t="s">
        <v>397</v>
      </c>
      <c r="H1801" t="s">
        <v>397</v>
      </c>
      <c r="I1801" t="s">
        <v>397</v>
      </c>
      <c r="J1801" t="s">
        <v>397</v>
      </c>
      <c r="K1801" t="s">
        <v>397</v>
      </c>
      <c r="L1801">
        <v>0</v>
      </c>
      <c r="M1801">
        <v>0</v>
      </c>
    </row>
    <row r="1802" spans="1:13">
      <c r="A1802" s="28">
        <v>100130</v>
      </c>
      <c r="B1802" t="s">
        <v>1945</v>
      </c>
      <c r="C1802">
        <v>2940</v>
      </c>
      <c r="D1802">
        <v>25</v>
      </c>
      <c r="E1802">
        <v>0.86</v>
      </c>
      <c r="F1802" t="s">
        <v>397</v>
      </c>
      <c r="G1802" t="s">
        <v>397</v>
      </c>
      <c r="H1802" t="s">
        <v>397</v>
      </c>
      <c r="I1802" t="s">
        <v>397</v>
      </c>
      <c r="J1802">
        <v>4637</v>
      </c>
      <c r="K1802">
        <v>0.63</v>
      </c>
      <c r="L1802">
        <v>0</v>
      </c>
      <c r="M1802">
        <v>0</v>
      </c>
    </row>
    <row r="1803" spans="1:13">
      <c r="A1803" s="28">
        <v>261200</v>
      </c>
      <c r="B1803" t="s">
        <v>1946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397</v>
      </c>
      <c r="I1803" t="s">
        <v>397</v>
      </c>
      <c r="J1803">
        <v>2073</v>
      </c>
      <c r="K1803">
        <v>4.45</v>
      </c>
      <c r="L1803">
        <v>0</v>
      </c>
      <c r="M1803">
        <v>0</v>
      </c>
    </row>
    <row r="1804" spans="1:13">
      <c r="A1804" s="28">
        <v>206560</v>
      </c>
      <c r="B1804" t="s">
        <v>1947</v>
      </c>
      <c r="C1804">
        <v>8030</v>
      </c>
      <c r="D1804">
        <v>-220</v>
      </c>
      <c r="E1804">
        <v>-2.67</v>
      </c>
      <c r="F1804" t="s">
        <v>397</v>
      </c>
      <c r="G1804" t="s">
        <v>397</v>
      </c>
      <c r="H1804" t="s">
        <v>397</v>
      </c>
      <c r="I1804" t="s">
        <v>397</v>
      </c>
      <c r="J1804">
        <v>2122</v>
      </c>
      <c r="K1804">
        <v>3.78</v>
      </c>
      <c r="L1804">
        <v>0</v>
      </c>
      <c r="M1804">
        <v>0</v>
      </c>
    </row>
    <row r="1805" spans="1:13">
      <c r="A1805" s="28">
        <v>263800</v>
      </c>
      <c r="B1805" t="s">
        <v>1948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397</v>
      </c>
      <c r="I1805" t="s">
        <v>397</v>
      </c>
      <c r="J1805">
        <v>1934</v>
      </c>
      <c r="K1805">
        <v>2.95</v>
      </c>
      <c r="L1805">
        <v>0</v>
      </c>
      <c r="M1805">
        <v>0</v>
      </c>
    </row>
    <row r="1806" spans="1:13">
      <c r="A1806" s="28">
        <v>194480</v>
      </c>
      <c r="B1806" t="s">
        <v>1949</v>
      </c>
      <c r="C1806">
        <v>46050</v>
      </c>
      <c r="D1806">
        <v>-1550</v>
      </c>
      <c r="E1806">
        <v>-3.26</v>
      </c>
      <c r="F1806" t="s">
        <v>397</v>
      </c>
      <c r="G1806" t="s">
        <v>397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>
      <c r="A1807" s="28">
        <v>24900</v>
      </c>
      <c r="B1807" t="s">
        <v>1950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397</v>
      </c>
      <c r="I1807" t="s">
        <v>397</v>
      </c>
      <c r="J1807">
        <v>2608</v>
      </c>
      <c r="K1807">
        <v>1.75</v>
      </c>
      <c r="L1807">
        <v>0</v>
      </c>
      <c r="M1807">
        <v>0</v>
      </c>
    </row>
    <row r="1808" spans="1:13">
      <c r="A1808" s="28">
        <v>77360</v>
      </c>
      <c r="B1808" t="s">
        <v>1951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397</v>
      </c>
      <c r="I1808" t="s">
        <v>397</v>
      </c>
      <c r="J1808">
        <v>6480</v>
      </c>
      <c r="K1808">
        <v>1.01</v>
      </c>
      <c r="L1808">
        <v>0</v>
      </c>
      <c r="M1808">
        <v>0</v>
      </c>
    </row>
    <row r="1809" spans="1:13">
      <c r="A1809" s="28">
        <v>317330</v>
      </c>
      <c r="B1809" t="s">
        <v>1952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397</v>
      </c>
      <c r="I1809" t="s">
        <v>397</v>
      </c>
      <c r="J1809">
        <v>10385</v>
      </c>
      <c r="K1809">
        <v>3.14</v>
      </c>
      <c r="L1809">
        <v>0</v>
      </c>
      <c r="M1809">
        <v>0</v>
      </c>
    </row>
    <row r="1810" spans="1:13">
      <c r="A1810" s="28">
        <v>213420</v>
      </c>
      <c r="B1810" t="s">
        <v>1953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>
      <c r="A1811" s="28">
        <v>299170</v>
      </c>
      <c r="B1811" t="s">
        <v>1954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397</v>
      </c>
      <c r="I1811" t="s">
        <v>397</v>
      </c>
      <c r="J1811">
        <v>1259</v>
      </c>
      <c r="K1811">
        <v>1.59</v>
      </c>
      <c r="L1811">
        <v>0</v>
      </c>
      <c r="M1811">
        <v>0</v>
      </c>
    </row>
    <row r="1812" spans="1:13">
      <c r="A1812" s="28">
        <v>376300</v>
      </c>
      <c r="B1812" t="s">
        <v>1955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>
      <c r="A1813" s="28">
        <v>393890</v>
      </c>
      <c r="B1813" t="s">
        <v>1956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>
      <c r="A1814" s="28">
        <v>32860</v>
      </c>
      <c r="B1814" t="s">
        <v>1957</v>
      </c>
      <c r="C1814">
        <v>3640</v>
      </c>
      <c r="D1814">
        <v>0</v>
      </c>
      <c r="E1814">
        <v>0</v>
      </c>
      <c r="F1814" t="s">
        <v>397</v>
      </c>
      <c r="G1814" t="s">
        <v>397</v>
      </c>
      <c r="H1814" t="s">
        <v>397</v>
      </c>
      <c r="I1814" t="s">
        <v>397</v>
      </c>
      <c r="J1814">
        <v>1411</v>
      </c>
      <c r="K1814">
        <v>2.58</v>
      </c>
      <c r="L1814">
        <v>0</v>
      </c>
      <c r="M1814">
        <v>0</v>
      </c>
    </row>
    <row r="1815" spans="1:13">
      <c r="A1815" s="28">
        <v>21045</v>
      </c>
      <c r="B1815" t="s">
        <v>1958</v>
      </c>
      <c r="C1815">
        <v>8430</v>
      </c>
      <c r="D1815">
        <v>-10</v>
      </c>
      <c r="E1815">
        <v>-0.12</v>
      </c>
      <c r="F1815" t="s">
        <v>397</v>
      </c>
      <c r="G1815" t="s">
        <v>397</v>
      </c>
      <c r="H1815" t="s">
        <v>397</v>
      </c>
      <c r="I1815" t="s">
        <v>397</v>
      </c>
      <c r="J1815" t="s">
        <v>397</v>
      </c>
      <c r="K1815" t="s">
        <v>397</v>
      </c>
      <c r="L1815">
        <v>0</v>
      </c>
      <c r="M1815">
        <v>0</v>
      </c>
    </row>
    <row r="1816" spans="1:13">
      <c r="A1816" s="28">
        <v>21040</v>
      </c>
      <c r="B1816" t="s">
        <v>1959</v>
      </c>
      <c r="C1816">
        <v>3995</v>
      </c>
      <c r="D1816">
        <v>-25</v>
      </c>
      <c r="E1816">
        <v>-0.62</v>
      </c>
      <c r="F1816" t="s">
        <v>397</v>
      </c>
      <c r="G1816" t="s">
        <v>397</v>
      </c>
      <c r="H1816" t="s">
        <v>397</v>
      </c>
      <c r="I1816" t="s">
        <v>397</v>
      </c>
      <c r="J1816">
        <v>6340</v>
      </c>
      <c r="K1816">
        <v>0.63</v>
      </c>
      <c r="L1816">
        <v>0</v>
      </c>
      <c r="M1816">
        <v>0</v>
      </c>
    </row>
    <row r="1817" spans="1:13">
      <c r="A1817" s="28">
        <v>69460</v>
      </c>
      <c r="B1817" t="s">
        <v>1960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397</v>
      </c>
      <c r="I1817" t="s">
        <v>397</v>
      </c>
      <c r="J1817">
        <v>1456</v>
      </c>
      <c r="K1817">
        <v>0.71</v>
      </c>
      <c r="L1817">
        <v>0</v>
      </c>
      <c r="M1817">
        <v>0</v>
      </c>
    </row>
    <row r="1818" spans="1:13">
      <c r="A1818" s="28">
        <v>5880</v>
      </c>
      <c r="B1818" t="s">
        <v>1961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>
      <c r="A1819" s="28">
        <v>1440</v>
      </c>
      <c r="B1819" t="s">
        <v>1962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397</v>
      </c>
      <c r="I1819" t="s">
        <v>397</v>
      </c>
      <c r="J1819">
        <v>6359</v>
      </c>
      <c r="K1819">
        <v>1.59</v>
      </c>
      <c r="L1819">
        <v>0</v>
      </c>
      <c r="M1819">
        <v>0</v>
      </c>
    </row>
    <row r="1820" spans="1:13">
      <c r="A1820" s="28">
        <v>1070</v>
      </c>
      <c r="B1820" t="s">
        <v>1963</v>
      </c>
      <c r="C1820">
        <v>7350</v>
      </c>
      <c r="D1820">
        <v>-10</v>
      </c>
      <c r="E1820">
        <v>-0.14000000000000001</v>
      </c>
      <c r="F1820" t="s">
        <v>397</v>
      </c>
      <c r="G1820" t="s">
        <v>397</v>
      </c>
      <c r="H1820" t="s">
        <v>397</v>
      </c>
      <c r="I1820" t="s">
        <v>397</v>
      </c>
      <c r="J1820">
        <v>37439</v>
      </c>
      <c r="K1820">
        <v>0.2</v>
      </c>
      <c r="L1820">
        <v>0</v>
      </c>
      <c r="M1820">
        <v>0</v>
      </c>
    </row>
    <row r="1821" spans="1:13">
      <c r="A1821" s="28">
        <v>10170</v>
      </c>
      <c r="B1821" t="s">
        <v>1964</v>
      </c>
      <c r="C1821">
        <v>1061</v>
      </c>
      <c r="D1821">
        <v>-9</v>
      </c>
      <c r="E1821">
        <v>-0.84</v>
      </c>
      <c r="F1821" t="s">
        <v>397</v>
      </c>
      <c r="G1821" t="s">
        <v>397</v>
      </c>
      <c r="H1821" t="s">
        <v>397</v>
      </c>
      <c r="I1821" t="s">
        <v>397</v>
      </c>
      <c r="J1821">
        <v>1420</v>
      </c>
      <c r="K1821">
        <v>0.75</v>
      </c>
      <c r="L1821">
        <v>0</v>
      </c>
      <c r="M1821">
        <v>0</v>
      </c>
    </row>
    <row r="1822" spans="1:13">
      <c r="A1822" s="28">
        <v>96350</v>
      </c>
      <c r="B1822" t="s">
        <v>1965</v>
      </c>
      <c r="C1822">
        <v>494</v>
      </c>
      <c r="D1822">
        <v>-3</v>
      </c>
      <c r="E1822">
        <v>-0.6</v>
      </c>
      <c r="F1822" t="s">
        <v>397</v>
      </c>
      <c r="G1822" t="s">
        <v>397</v>
      </c>
      <c r="H1822" t="s">
        <v>397</v>
      </c>
      <c r="I1822" t="s">
        <v>397</v>
      </c>
      <c r="J1822">
        <v>166</v>
      </c>
      <c r="K1822">
        <v>2.98</v>
      </c>
      <c r="L1822">
        <v>0</v>
      </c>
      <c r="M1822">
        <v>0</v>
      </c>
    </row>
    <row r="1823" spans="1:13">
      <c r="A1823" s="28">
        <v>12800</v>
      </c>
      <c r="B1823" t="s">
        <v>1966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397</v>
      </c>
      <c r="I1823" t="s">
        <v>397</v>
      </c>
      <c r="J1823">
        <v>3225</v>
      </c>
      <c r="K1823">
        <v>0.46</v>
      </c>
      <c r="L1823">
        <v>0</v>
      </c>
      <c r="M1823">
        <v>0</v>
      </c>
    </row>
    <row r="1824" spans="1:13">
      <c r="A1824" s="28">
        <v>4140</v>
      </c>
      <c r="B1824" t="s">
        <v>1967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397</v>
      </c>
      <c r="I1824" t="s">
        <v>397</v>
      </c>
      <c r="J1824">
        <v>2685</v>
      </c>
      <c r="K1824">
        <v>0.74</v>
      </c>
      <c r="L1824">
        <v>0</v>
      </c>
      <c r="M1824">
        <v>0</v>
      </c>
    </row>
    <row r="1825" spans="1:13">
      <c r="A1825" s="28">
        <v>99410</v>
      </c>
      <c r="B1825" t="s">
        <v>1968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397</v>
      </c>
      <c r="I1825" t="s">
        <v>397</v>
      </c>
      <c r="J1825">
        <v>2237</v>
      </c>
      <c r="K1825">
        <v>1.1299999999999999</v>
      </c>
      <c r="L1825">
        <v>0</v>
      </c>
      <c r="M1825">
        <v>0</v>
      </c>
    </row>
    <row r="1826" spans="1:13">
      <c r="A1826" s="28">
        <v>2210</v>
      </c>
      <c r="B1826" t="s">
        <v>1969</v>
      </c>
      <c r="C1826">
        <v>5100</v>
      </c>
      <c r="D1826">
        <v>-100</v>
      </c>
      <c r="E1826">
        <v>-1.92</v>
      </c>
      <c r="F1826" t="s">
        <v>397</v>
      </c>
      <c r="G1826" t="s">
        <v>397</v>
      </c>
      <c r="H1826" t="s">
        <v>397</v>
      </c>
      <c r="I1826" t="s">
        <v>397</v>
      </c>
      <c r="J1826">
        <v>1872</v>
      </c>
      <c r="K1826">
        <v>2.72</v>
      </c>
      <c r="L1826">
        <v>0</v>
      </c>
      <c r="M1826">
        <v>0</v>
      </c>
    </row>
    <row r="1827" spans="1:13">
      <c r="A1827" s="28">
        <v>84670</v>
      </c>
      <c r="B1827" t="s">
        <v>1970</v>
      </c>
      <c r="C1827">
        <v>11910</v>
      </c>
      <c r="D1827">
        <v>20</v>
      </c>
      <c r="E1827">
        <v>0.17</v>
      </c>
      <c r="F1827" t="s">
        <v>397</v>
      </c>
      <c r="G1827" t="s">
        <v>397</v>
      </c>
      <c r="H1827" t="s">
        <v>397</v>
      </c>
      <c r="I1827" t="s">
        <v>397</v>
      </c>
      <c r="J1827">
        <v>28704</v>
      </c>
      <c r="K1827">
        <v>0.41</v>
      </c>
      <c r="L1827">
        <v>0</v>
      </c>
      <c r="M1827">
        <v>0</v>
      </c>
    </row>
    <row r="1828" spans="1:13">
      <c r="A1828" s="28">
        <v>263720</v>
      </c>
      <c r="B1828" t="s">
        <v>1971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397</v>
      </c>
      <c r="I1828" t="s">
        <v>397</v>
      </c>
      <c r="J1828">
        <v>6066</v>
      </c>
      <c r="K1828">
        <v>3.92</v>
      </c>
      <c r="L1828">
        <v>0</v>
      </c>
      <c r="M1828">
        <v>0</v>
      </c>
    </row>
    <row r="1829" spans="1:13">
      <c r="A1829" s="28">
        <v>214680</v>
      </c>
      <c r="B1829" t="s">
        <v>1972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397</v>
      </c>
      <c r="I1829" t="s">
        <v>397</v>
      </c>
      <c r="J1829">
        <v>1041</v>
      </c>
      <c r="K1829">
        <v>3.41</v>
      </c>
      <c r="L1829">
        <v>0</v>
      </c>
      <c r="M1829">
        <v>0</v>
      </c>
    </row>
    <row r="1830" spans="1:13">
      <c r="A1830" s="28">
        <v>92200</v>
      </c>
      <c r="B1830" t="s">
        <v>1973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397</v>
      </c>
      <c r="I1830" t="s">
        <v>397</v>
      </c>
      <c r="J1830">
        <v>2625</v>
      </c>
      <c r="K1830">
        <v>1.99</v>
      </c>
      <c r="L1830">
        <v>0</v>
      </c>
      <c r="M1830">
        <v>0</v>
      </c>
    </row>
    <row r="1831" spans="1:13">
      <c r="A1831" s="28">
        <v>16670</v>
      </c>
      <c r="B1831" t="s">
        <v>1974</v>
      </c>
      <c r="C1831">
        <v>230</v>
      </c>
      <c r="D1831">
        <v>2</v>
      </c>
      <c r="E1831">
        <v>0.88</v>
      </c>
      <c r="F1831" t="s">
        <v>397</v>
      </c>
      <c r="G1831" t="s">
        <v>397</v>
      </c>
      <c r="H1831" t="s">
        <v>397</v>
      </c>
      <c r="I1831" t="s">
        <v>397</v>
      </c>
      <c r="J1831">
        <v>515</v>
      </c>
      <c r="K1831">
        <v>0.45</v>
      </c>
      <c r="L1831">
        <v>0</v>
      </c>
      <c r="M1831">
        <v>0</v>
      </c>
    </row>
    <row r="1832" spans="1:13">
      <c r="A1832" s="28">
        <v>217620</v>
      </c>
      <c r="B1832" t="s">
        <v>1975</v>
      </c>
      <c r="C1832">
        <v>441</v>
      </c>
      <c r="D1832">
        <v>-58</v>
      </c>
      <c r="E1832">
        <v>-11.62</v>
      </c>
      <c r="F1832" t="s">
        <v>397</v>
      </c>
      <c r="G1832" t="s">
        <v>397</v>
      </c>
      <c r="H1832" t="s">
        <v>397</v>
      </c>
      <c r="I1832" t="s">
        <v>397</v>
      </c>
      <c r="J1832">
        <v>214</v>
      </c>
      <c r="K1832">
        <v>2.06</v>
      </c>
      <c r="L1832">
        <v>0</v>
      </c>
      <c r="M1832">
        <v>0</v>
      </c>
    </row>
    <row r="1833" spans="1:13">
      <c r="A1833" s="28">
        <v>362990</v>
      </c>
      <c r="B1833" t="s">
        <v>1976</v>
      </c>
      <c r="C1833">
        <v>2950</v>
      </c>
      <c r="D1833">
        <v>-95</v>
      </c>
      <c r="E1833">
        <v>-3.12</v>
      </c>
      <c r="F1833" t="s">
        <v>397</v>
      </c>
      <c r="G1833" t="s">
        <v>397</v>
      </c>
      <c r="H1833" t="s">
        <v>397</v>
      </c>
      <c r="I1833" t="s">
        <v>397</v>
      </c>
      <c r="J1833" t="s">
        <v>397</v>
      </c>
      <c r="K1833" t="s">
        <v>397</v>
      </c>
      <c r="L1833">
        <v>0</v>
      </c>
      <c r="M1833">
        <v>0</v>
      </c>
    </row>
    <row r="1834" spans="1:13">
      <c r="A1834" s="28">
        <v>60570</v>
      </c>
      <c r="B1834" t="s">
        <v>1977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397</v>
      </c>
      <c r="I1834" t="s">
        <v>397</v>
      </c>
      <c r="J1834">
        <v>2951</v>
      </c>
      <c r="K1834">
        <v>1.0900000000000001</v>
      </c>
      <c r="L1834">
        <v>0</v>
      </c>
      <c r="M1834">
        <v>0</v>
      </c>
    </row>
    <row r="1835" spans="1:13">
      <c r="A1835" s="28">
        <v>223250</v>
      </c>
      <c r="B1835" t="s">
        <v>1978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397</v>
      </c>
      <c r="I1835" t="s">
        <v>397</v>
      </c>
      <c r="J1835">
        <v>2127</v>
      </c>
      <c r="K1835">
        <v>1.35</v>
      </c>
      <c r="L1835">
        <v>0</v>
      </c>
      <c r="M1835">
        <v>0</v>
      </c>
    </row>
    <row r="1836" spans="1:13">
      <c r="A1836" s="28">
        <v>203650</v>
      </c>
      <c r="B1836" t="s">
        <v>1979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397</v>
      </c>
      <c r="I1836" t="s">
        <v>397</v>
      </c>
      <c r="J1836">
        <v>1683</v>
      </c>
      <c r="K1836">
        <v>2.21</v>
      </c>
      <c r="L1836">
        <v>0</v>
      </c>
      <c r="M1836">
        <v>0</v>
      </c>
    </row>
    <row r="1837" spans="1:13">
      <c r="A1837" s="28">
        <v>30350</v>
      </c>
      <c r="B1837" t="s">
        <v>1980</v>
      </c>
      <c r="C1837">
        <v>621</v>
      </c>
      <c r="D1837">
        <v>143</v>
      </c>
      <c r="E1837">
        <v>29.92</v>
      </c>
      <c r="F1837" t="s">
        <v>397</v>
      </c>
      <c r="G1837" t="s">
        <v>397</v>
      </c>
      <c r="H1837" t="s">
        <v>397</v>
      </c>
      <c r="I1837" t="s">
        <v>397</v>
      </c>
      <c r="J1837">
        <v>972</v>
      </c>
      <c r="K1837">
        <v>0.64</v>
      </c>
      <c r="L1837">
        <v>0</v>
      </c>
      <c r="M1837">
        <v>0</v>
      </c>
    </row>
    <row r="1838" spans="1:13">
      <c r="A1838" s="28">
        <v>73190</v>
      </c>
      <c r="B1838" t="s">
        <v>1981</v>
      </c>
      <c r="C1838">
        <v>2735</v>
      </c>
      <c r="D1838">
        <v>35</v>
      </c>
      <c r="E1838">
        <v>1.3</v>
      </c>
      <c r="F1838" t="s">
        <v>397</v>
      </c>
      <c r="G1838" t="s">
        <v>397</v>
      </c>
      <c r="H1838" t="s">
        <v>397</v>
      </c>
      <c r="I1838" t="s">
        <v>397</v>
      </c>
      <c r="J1838">
        <v>1865</v>
      </c>
      <c r="K1838">
        <v>1.47</v>
      </c>
      <c r="L1838">
        <v>0</v>
      </c>
      <c r="M1838">
        <v>0</v>
      </c>
    </row>
    <row r="1839" spans="1:13">
      <c r="A1839" s="28" t="s">
        <v>1982</v>
      </c>
      <c r="B1839" t="s">
        <v>1983</v>
      </c>
      <c r="C1839">
        <v>8370</v>
      </c>
      <c r="D1839">
        <v>-10</v>
      </c>
      <c r="E1839">
        <v>-0.12</v>
      </c>
      <c r="F1839" t="s">
        <v>397</v>
      </c>
      <c r="G1839" t="s">
        <v>397</v>
      </c>
      <c r="H1839" t="s">
        <v>397</v>
      </c>
      <c r="I1839" t="s">
        <v>397</v>
      </c>
      <c r="J1839" t="s">
        <v>397</v>
      </c>
      <c r="K1839" t="s">
        <v>397</v>
      </c>
      <c r="L1839">
        <v>0</v>
      </c>
      <c r="M1839">
        <v>0</v>
      </c>
    </row>
    <row r="1840" spans="1:13">
      <c r="A1840" s="28" t="s">
        <v>1984</v>
      </c>
      <c r="B1840" t="s">
        <v>1985</v>
      </c>
      <c r="C1840">
        <v>6100</v>
      </c>
      <c r="D1840">
        <v>-120</v>
      </c>
      <c r="E1840">
        <v>-1.93</v>
      </c>
      <c r="F1840" t="s">
        <v>397</v>
      </c>
      <c r="G1840" t="s">
        <v>397</v>
      </c>
      <c r="H1840" t="s">
        <v>397</v>
      </c>
      <c r="I1840" t="s">
        <v>397</v>
      </c>
      <c r="J1840" t="s">
        <v>397</v>
      </c>
      <c r="K1840" t="s">
        <v>397</v>
      </c>
      <c r="L1840">
        <v>0</v>
      </c>
      <c r="M1840">
        <v>0</v>
      </c>
    </row>
    <row r="1841" spans="1:13">
      <c r="A1841" s="28">
        <v>336260</v>
      </c>
      <c r="B1841" t="s">
        <v>1986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>
      <c r="A1842" s="28">
        <v>34020</v>
      </c>
      <c r="B1842" t="s">
        <v>1987</v>
      </c>
      <c r="C1842">
        <v>17980</v>
      </c>
      <c r="D1842">
        <v>-250</v>
      </c>
      <c r="E1842">
        <v>-1.37</v>
      </c>
      <c r="F1842" t="s">
        <v>397</v>
      </c>
      <c r="G1842" t="s">
        <v>397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>
      <c r="A1843" s="28">
        <v>454910</v>
      </c>
      <c r="B1843" t="s">
        <v>1988</v>
      </c>
      <c r="C1843">
        <v>87100</v>
      </c>
      <c r="D1843">
        <v>-4900</v>
      </c>
      <c r="E1843">
        <v>-5.33</v>
      </c>
      <c r="F1843" t="s">
        <v>397</v>
      </c>
      <c r="G1843" t="s">
        <v>397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>
      <c r="A1844" s="28">
        <v>25900</v>
      </c>
      <c r="B1844" t="s">
        <v>1989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397</v>
      </c>
      <c r="I1844" t="s">
        <v>397</v>
      </c>
      <c r="J1844">
        <v>36422</v>
      </c>
      <c r="K1844">
        <v>1.72</v>
      </c>
      <c r="L1844">
        <v>0</v>
      </c>
      <c r="M1844">
        <v>0</v>
      </c>
    </row>
    <row r="1845" spans="1:13">
      <c r="A1845" s="28">
        <v>23790</v>
      </c>
      <c r="B1845" t="s">
        <v>1990</v>
      </c>
      <c r="C1845">
        <v>914</v>
      </c>
      <c r="D1845">
        <v>6</v>
      </c>
      <c r="E1845">
        <v>0.66</v>
      </c>
      <c r="F1845" t="s">
        <v>397</v>
      </c>
      <c r="G1845" t="s">
        <v>397</v>
      </c>
      <c r="H1845" t="s">
        <v>397</v>
      </c>
      <c r="I1845" t="s">
        <v>397</v>
      </c>
      <c r="J1845">
        <v>2298</v>
      </c>
      <c r="K1845">
        <v>0.4</v>
      </c>
      <c r="L1845">
        <v>0</v>
      </c>
      <c r="M1845">
        <v>0</v>
      </c>
    </row>
    <row r="1846" spans="1:13">
      <c r="A1846" s="28">
        <v>94170</v>
      </c>
      <c r="B1846" t="s">
        <v>1991</v>
      </c>
      <c r="C1846">
        <v>20450</v>
      </c>
      <c r="D1846">
        <v>1140</v>
      </c>
      <c r="E1846">
        <v>5.9</v>
      </c>
      <c r="F1846" t="s">
        <v>397</v>
      </c>
      <c r="G1846" t="s">
        <v>397</v>
      </c>
      <c r="H1846" t="s">
        <v>397</v>
      </c>
      <c r="I1846" t="s">
        <v>397</v>
      </c>
      <c r="J1846">
        <v>1227</v>
      </c>
      <c r="K1846">
        <v>16.670000000000002</v>
      </c>
      <c r="L1846">
        <v>0</v>
      </c>
      <c r="M1846">
        <v>0</v>
      </c>
    </row>
    <row r="1847" spans="1:13">
      <c r="A1847" s="28">
        <v>88910</v>
      </c>
      <c r="B1847" t="s">
        <v>1992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397</v>
      </c>
      <c r="I1847" t="s">
        <v>397</v>
      </c>
      <c r="J1847">
        <v>7525</v>
      </c>
      <c r="K1847">
        <v>0.37</v>
      </c>
      <c r="L1847">
        <v>0</v>
      </c>
      <c r="M1847">
        <v>0</v>
      </c>
    </row>
    <row r="1848" spans="1:13">
      <c r="A1848" s="28">
        <v>228340</v>
      </c>
      <c r="B1848" t="s">
        <v>1993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397</v>
      </c>
      <c r="I1848" t="s">
        <v>397</v>
      </c>
      <c r="J1848">
        <v>6146</v>
      </c>
      <c r="K1848">
        <v>0.36</v>
      </c>
      <c r="L1848">
        <v>0</v>
      </c>
      <c r="M1848">
        <v>0</v>
      </c>
    </row>
    <row r="1849" spans="1:13">
      <c r="A1849" s="28">
        <v>8970</v>
      </c>
      <c r="B1849" t="s">
        <v>1994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397</v>
      </c>
      <c r="I1849" t="s">
        <v>397</v>
      </c>
      <c r="J1849">
        <v>740</v>
      </c>
      <c r="K1849">
        <v>0.92</v>
      </c>
      <c r="L1849">
        <v>0</v>
      </c>
      <c r="M1849">
        <v>0</v>
      </c>
    </row>
    <row r="1850" spans="1:13">
      <c r="A1850" s="28">
        <v>82640</v>
      </c>
      <c r="B1850" t="s">
        <v>1995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>
      <c r="A1851" s="28">
        <v>100590</v>
      </c>
      <c r="B1851" t="s">
        <v>1996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397</v>
      </c>
      <c r="I1851" t="s">
        <v>397</v>
      </c>
      <c r="J1851">
        <v>5967</v>
      </c>
      <c r="K1851">
        <v>0.85</v>
      </c>
      <c r="L1851">
        <v>0</v>
      </c>
      <c r="M1851">
        <v>0</v>
      </c>
    </row>
    <row r="1852" spans="1:13">
      <c r="A1852" s="28">
        <v>446540</v>
      </c>
      <c r="B1852" t="s">
        <v>1997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397</v>
      </c>
      <c r="I1852" t="s">
        <v>397</v>
      </c>
      <c r="J1852">
        <v>1608</v>
      </c>
      <c r="K1852">
        <v>3.62</v>
      </c>
      <c r="L1852">
        <v>0</v>
      </c>
      <c r="M1852">
        <v>0</v>
      </c>
    </row>
    <row r="1853" spans="1:13">
      <c r="A1853" s="28">
        <v>2880</v>
      </c>
      <c r="B1853" t="s">
        <v>1998</v>
      </c>
      <c r="C1853">
        <v>1241</v>
      </c>
      <c r="D1853">
        <v>27</v>
      </c>
      <c r="E1853">
        <v>2.2200000000000002</v>
      </c>
      <c r="F1853" t="s">
        <v>397</v>
      </c>
      <c r="G1853" t="s">
        <v>397</v>
      </c>
      <c r="H1853" t="s">
        <v>397</v>
      </c>
      <c r="I1853" t="s">
        <v>397</v>
      </c>
      <c r="J1853">
        <v>2826</v>
      </c>
      <c r="K1853">
        <v>0.44</v>
      </c>
      <c r="L1853">
        <v>0</v>
      </c>
      <c r="M1853">
        <v>0</v>
      </c>
    </row>
    <row r="1854" spans="1:13">
      <c r="A1854" s="28">
        <v>5030</v>
      </c>
      <c r="B1854" t="s">
        <v>1999</v>
      </c>
      <c r="C1854">
        <v>486</v>
      </c>
      <c r="D1854">
        <v>0</v>
      </c>
      <c r="E1854">
        <v>0</v>
      </c>
      <c r="F1854" t="s">
        <v>397</v>
      </c>
      <c r="G1854" t="s">
        <v>397</v>
      </c>
      <c r="H1854" t="s">
        <v>397</v>
      </c>
      <c r="I1854" t="s">
        <v>397</v>
      </c>
      <c r="J1854">
        <v>316</v>
      </c>
      <c r="K1854">
        <v>1.54</v>
      </c>
      <c r="L1854">
        <v>0</v>
      </c>
      <c r="M1854">
        <v>0</v>
      </c>
    </row>
    <row r="1855" spans="1:13">
      <c r="A1855" s="28">
        <v>121800</v>
      </c>
      <c r="B1855" t="s">
        <v>2000</v>
      </c>
      <c r="C1855">
        <v>3320</v>
      </c>
      <c r="D1855">
        <v>0</v>
      </c>
      <c r="E1855">
        <v>0</v>
      </c>
      <c r="F1855" t="s">
        <v>397</v>
      </c>
      <c r="G1855" t="s">
        <v>397</v>
      </c>
      <c r="H1855" t="s">
        <v>397</v>
      </c>
      <c r="I1855" t="s">
        <v>397</v>
      </c>
      <c r="J1855">
        <v>10366</v>
      </c>
      <c r="K1855">
        <v>0.32</v>
      </c>
      <c r="L1855">
        <v>0</v>
      </c>
      <c r="M1855">
        <v>0</v>
      </c>
    </row>
    <row r="1856" spans="1:13">
      <c r="A1856" s="28">
        <v>126340</v>
      </c>
      <c r="B1856" t="s">
        <v>2001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397</v>
      </c>
      <c r="I1856" t="s">
        <v>397</v>
      </c>
      <c r="J1856">
        <v>10472</v>
      </c>
      <c r="K1856">
        <v>4.3099999999999996</v>
      </c>
      <c r="L1856">
        <v>0</v>
      </c>
      <c r="M1856">
        <v>0</v>
      </c>
    </row>
    <row r="1857" spans="1:13">
      <c r="A1857" s="28">
        <v>369370</v>
      </c>
      <c r="B1857" t="s">
        <v>2002</v>
      </c>
      <c r="C1857">
        <v>2310</v>
      </c>
      <c r="D1857">
        <v>0</v>
      </c>
      <c r="E1857">
        <v>0</v>
      </c>
      <c r="F1857" t="s">
        <v>397</v>
      </c>
      <c r="G1857" t="s">
        <v>397</v>
      </c>
      <c r="H1857" t="s">
        <v>397</v>
      </c>
      <c r="I1857" t="s">
        <v>397</v>
      </c>
      <c r="J1857">
        <v>845</v>
      </c>
      <c r="K1857">
        <v>2.73</v>
      </c>
      <c r="L1857">
        <v>0</v>
      </c>
      <c r="M1857">
        <v>0</v>
      </c>
    </row>
    <row r="1858" spans="1:13">
      <c r="A1858" s="28">
        <v>33560</v>
      </c>
      <c r="B1858" t="s">
        <v>2003</v>
      </c>
      <c r="C1858">
        <v>3325</v>
      </c>
      <c r="D1858">
        <v>160</v>
      </c>
      <c r="E1858">
        <v>5.0599999999999996</v>
      </c>
      <c r="F1858" t="s">
        <v>397</v>
      </c>
      <c r="G1858" t="s">
        <v>397</v>
      </c>
      <c r="H1858" t="s">
        <v>397</v>
      </c>
      <c r="I1858" t="s">
        <v>397</v>
      </c>
      <c r="J1858">
        <v>9397</v>
      </c>
      <c r="K1858">
        <v>0.35</v>
      </c>
      <c r="L1858">
        <v>0</v>
      </c>
      <c r="M1858">
        <v>0</v>
      </c>
    </row>
    <row r="1859" spans="1:13">
      <c r="A1859" s="28">
        <v>439580</v>
      </c>
      <c r="B1859" t="s">
        <v>2004</v>
      </c>
      <c r="C1859">
        <v>15070</v>
      </c>
      <c r="D1859">
        <v>-300</v>
      </c>
      <c r="E1859">
        <v>-1.95</v>
      </c>
      <c r="F1859" t="s">
        <v>397</v>
      </c>
      <c r="G1859" t="s">
        <v>397</v>
      </c>
      <c r="H1859" t="s">
        <v>397</v>
      </c>
      <c r="I1859" t="s">
        <v>397</v>
      </c>
      <c r="J1859">
        <v>152</v>
      </c>
      <c r="K1859">
        <v>99.14</v>
      </c>
      <c r="L1859">
        <v>0</v>
      </c>
      <c r="M1859">
        <v>0</v>
      </c>
    </row>
    <row r="1860" spans="1:13">
      <c r="A1860" s="28">
        <v>44480</v>
      </c>
      <c r="B1860" t="s">
        <v>2005</v>
      </c>
      <c r="C1860">
        <v>856</v>
      </c>
      <c r="D1860">
        <v>-39</v>
      </c>
      <c r="E1860">
        <v>-4.3600000000000003</v>
      </c>
      <c r="F1860" t="s">
        <v>397</v>
      </c>
      <c r="G1860" t="s">
        <v>397</v>
      </c>
      <c r="H1860" t="s">
        <v>397</v>
      </c>
      <c r="I1860" t="s">
        <v>397</v>
      </c>
      <c r="J1860">
        <v>873</v>
      </c>
      <c r="K1860">
        <v>0.98</v>
      </c>
      <c r="L1860">
        <v>0</v>
      </c>
      <c r="M1860">
        <v>0</v>
      </c>
    </row>
    <row r="1861" spans="1:13">
      <c r="A1861" s="28">
        <v>18290</v>
      </c>
      <c r="B1861" t="s">
        <v>2006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>
      <c r="A1862" s="28">
        <v>365900</v>
      </c>
      <c r="B1862" t="s">
        <v>2007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397</v>
      </c>
      <c r="I1862" t="s">
        <v>397</v>
      </c>
      <c r="J1862">
        <v>6716</v>
      </c>
      <c r="K1862">
        <v>0.59</v>
      </c>
      <c r="L1862">
        <v>0</v>
      </c>
      <c r="M1862">
        <v>0</v>
      </c>
    </row>
    <row r="1863" spans="1:13">
      <c r="A1863" s="28">
        <v>288330</v>
      </c>
      <c r="B1863" t="s">
        <v>2008</v>
      </c>
      <c r="C1863">
        <v>3205</v>
      </c>
      <c r="D1863">
        <v>0</v>
      </c>
      <c r="E1863">
        <v>0</v>
      </c>
      <c r="F1863" t="s">
        <v>397</v>
      </c>
      <c r="G1863" t="s">
        <v>397</v>
      </c>
      <c r="H1863" t="s">
        <v>397</v>
      </c>
      <c r="I1863" t="s">
        <v>397</v>
      </c>
      <c r="J1863">
        <v>2607</v>
      </c>
      <c r="K1863">
        <v>1.23</v>
      </c>
      <c r="L1863">
        <v>0</v>
      </c>
      <c r="M1863">
        <v>0</v>
      </c>
    </row>
    <row r="1864" spans="1:13">
      <c r="A1864" s="28">
        <v>406820</v>
      </c>
      <c r="B1864" t="s">
        <v>2009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397</v>
      </c>
      <c r="I1864" t="s">
        <v>397</v>
      </c>
      <c r="J1864">
        <v>10616</v>
      </c>
      <c r="K1864">
        <v>1.31</v>
      </c>
      <c r="L1864">
        <v>0</v>
      </c>
      <c r="M1864">
        <v>0</v>
      </c>
    </row>
    <row r="1865" spans="1:13">
      <c r="A1865" s="28">
        <v>338220</v>
      </c>
      <c r="B1865" t="s">
        <v>2010</v>
      </c>
      <c r="C1865">
        <v>34400</v>
      </c>
      <c r="D1865">
        <v>-1300</v>
      </c>
      <c r="E1865">
        <v>-3.64</v>
      </c>
      <c r="F1865" t="s">
        <v>397</v>
      </c>
      <c r="G1865" t="s">
        <v>397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397</v>
      </c>
      <c r="I1866" t="s">
        <v>397</v>
      </c>
      <c r="J1866">
        <v>3441</v>
      </c>
      <c r="K1866">
        <v>0.73</v>
      </c>
      <c r="L1866">
        <v>0</v>
      </c>
      <c r="M1866">
        <v>0</v>
      </c>
    </row>
    <row r="1867" spans="1:13">
      <c r="A1867" s="28">
        <v>82800</v>
      </c>
      <c r="B1867" t="s">
        <v>2011</v>
      </c>
      <c r="C1867">
        <v>3020</v>
      </c>
      <c r="D1867">
        <v>-45</v>
      </c>
      <c r="E1867">
        <v>-1.47</v>
      </c>
      <c r="F1867" t="s">
        <v>397</v>
      </c>
      <c r="G1867" t="s">
        <v>397</v>
      </c>
      <c r="H1867" t="s">
        <v>397</v>
      </c>
      <c r="I1867" t="s">
        <v>397</v>
      </c>
      <c r="J1867">
        <v>2260</v>
      </c>
      <c r="K1867">
        <v>1.34</v>
      </c>
      <c r="L1867">
        <v>0</v>
      </c>
      <c r="M1867">
        <v>0</v>
      </c>
    </row>
    <row r="1868" spans="1:13">
      <c r="A1868" s="28">
        <v>3000</v>
      </c>
      <c r="B1868" t="s">
        <v>2012</v>
      </c>
      <c r="C1868">
        <v>6390</v>
      </c>
      <c r="D1868">
        <v>-40</v>
      </c>
      <c r="E1868">
        <v>-0.62</v>
      </c>
      <c r="F1868" t="s">
        <v>397</v>
      </c>
      <c r="G1868" t="s">
        <v>397</v>
      </c>
      <c r="H1868" t="s">
        <v>397</v>
      </c>
      <c r="I1868" t="s">
        <v>397</v>
      </c>
      <c r="J1868">
        <v>3845</v>
      </c>
      <c r="K1868">
        <v>1.66</v>
      </c>
      <c r="L1868">
        <v>0</v>
      </c>
      <c r="M1868">
        <v>0</v>
      </c>
    </row>
    <row r="1869" spans="1:13">
      <c r="A1869" s="28">
        <v>226340</v>
      </c>
      <c r="B1869" t="s">
        <v>2013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>
      <c r="A1870" s="28">
        <v>890</v>
      </c>
      <c r="B1870" t="s">
        <v>2014</v>
      </c>
      <c r="C1870">
        <v>500</v>
      </c>
      <c r="D1870">
        <v>-6</v>
      </c>
      <c r="E1870">
        <v>-1.19</v>
      </c>
      <c r="F1870" t="s">
        <v>397</v>
      </c>
      <c r="G1870" t="s">
        <v>397</v>
      </c>
      <c r="H1870" t="s">
        <v>397</v>
      </c>
      <c r="I1870" t="s">
        <v>397</v>
      </c>
      <c r="J1870">
        <v>593</v>
      </c>
      <c r="K1870">
        <v>0.84</v>
      </c>
      <c r="L1870">
        <v>0</v>
      </c>
      <c r="M1870">
        <v>0</v>
      </c>
    </row>
    <row r="1871" spans="1:13">
      <c r="A1871" s="28">
        <v>6910</v>
      </c>
      <c r="B1871" t="s">
        <v>2015</v>
      </c>
      <c r="C1871">
        <v>3240</v>
      </c>
      <c r="D1871">
        <v>-35</v>
      </c>
      <c r="E1871">
        <v>-1.07</v>
      </c>
      <c r="F1871" t="s">
        <v>397</v>
      </c>
      <c r="G1871" t="s">
        <v>397</v>
      </c>
      <c r="H1871" t="s">
        <v>397</v>
      </c>
      <c r="I1871" t="s">
        <v>397</v>
      </c>
      <c r="J1871">
        <v>1651</v>
      </c>
      <c r="K1871">
        <v>1.96</v>
      </c>
      <c r="L1871">
        <v>0</v>
      </c>
      <c r="M1871">
        <v>0</v>
      </c>
    </row>
    <row r="1872" spans="1:13">
      <c r="A1872" s="28">
        <v>310210</v>
      </c>
      <c r="B1872" t="s">
        <v>2016</v>
      </c>
      <c r="C1872">
        <v>37400</v>
      </c>
      <c r="D1872">
        <v>-1450</v>
      </c>
      <c r="E1872">
        <v>-3.73</v>
      </c>
      <c r="F1872" t="s">
        <v>397</v>
      </c>
      <c r="G1872" t="s">
        <v>397</v>
      </c>
      <c r="H1872" t="s">
        <v>397</v>
      </c>
      <c r="I1872" t="s">
        <v>397</v>
      </c>
      <c r="J1872">
        <v>2291</v>
      </c>
      <c r="K1872">
        <v>16.32</v>
      </c>
      <c r="L1872">
        <v>0</v>
      </c>
      <c r="M1872">
        <v>0</v>
      </c>
    </row>
    <row r="1873" spans="1:13">
      <c r="A1873" s="28">
        <v>424760</v>
      </c>
      <c r="B1873" t="s">
        <v>2017</v>
      </c>
      <c r="C1873">
        <v>1515</v>
      </c>
      <c r="D1873">
        <v>-10</v>
      </c>
      <c r="E1873">
        <v>-0.66</v>
      </c>
      <c r="F1873" t="s">
        <v>397</v>
      </c>
      <c r="G1873" t="s">
        <v>397</v>
      </c>
      <c r="H1873" t="s">
        <v>397</v>
      </c>
      <c r="I1873" t="s">
        <v>397</v>
      </c>
      <c r="J1873" t="s">
        <v>397</v>
      </c>
      <c r="K1873" t="s">
        <v>397</v>
      </c>
      <c r="L1873">
        <v>0</v>
      </c>
      <c r="M1873">
        <v>0</v>
      </c>
    </row>
    <row r="1874" spans="1:13">
      <c r="A1874" s="28">
        <v>299910</v>
      </c>
      <c r="B1874" t="s">
        <v>2018</v>
      </c>
      <c r="C1874">
        <v>6880</v>
      </c>
      <c r="D1874">
        <v>0</v>
      </c>
      <c r="E1874">
        <v>0</v>
      </c>
      <c r="F1874" t="s">
        <v>397</v>
      </c>
      <c r="G1874" t="s">
        <v>397</v>
      </c>
      <c r="H1874" t="s">
        <v>397</v>
      </c>
      <c r="I1874" t="s">
        <v>397</v>
      </c>
      <c r="J1874" t="s">
        <v>397</v>
      </c>
      <c r="K1874" t="s">
        <v>397</v>
      </c>
      <c r="L1874">
        <v>0</v>
      </c>
      <c r="M1874">
        <v>0</v>
      </c>
    </row>
    <row r="1875" spans="1:13">
      <c r="A1875" s="28">
        <v>177350</v>
      </c>
      <c r="B1875" t="s">
        <v>2019</v>
      </c>
      <c r="C1875">
        <v>632</v>
      </c>
      <c r="D1875">
        <v>-21</v>
      </c>
      <c r="E1875">
        <v>-3.22</v>
      </c>
      <c r="F1875" t="s">
        <v>397</v>
      </c>
      <c r="G1875" t="s">
        <v>397</v>
      </c>
      <c r="H1875" t="s">
        <v>397</v>
      </c>
      <c r="I1875" t="s">
        <v>397</v>
      </c>
      <c r="J1875">
        <v>770</v>
      </c>
      <c r="K1875">
        <v>0.82</v>
      </c>
      <c r="L1875">
        <v>0</v>
      </c>
      <c r="M1875">
        <v>0</v>
      </c>
    </row>
    <row r="1876" spans="1:13">
      <c r="A1876" s="28">
        <v>206400</v>
      </c>
      <c r="B1876" t="s">
        <v>2020</v>
      </c>
      <c r="C1876">
        <v>4395</v>
      </c>
      <c r="D1876">
        <v>80</v>
      </c>
      <c r="E1876">
        <v>1.85</v>
      </c>
      <c r="F1876" t="s">
        <v>397</v>
      </c>
      <c r="G1876" t="s">
        <v>397</v>
      </c>
      <c r="H1876" t="s">
        <v>397</v>
      </c>
      <c r="I1876" t="s">
        <v>397</v>
      </c>
      <c r="J1876">
        <v>2426</v>
      </c>
      <c r="K1876">
        <v>1.81</v>
      </c>
      <c r="L1876">
        <v>0</v>
      </c>
      <c r="M1876">
        <v>0</v>
      </c>
    </row>
    <row r="1877" spans="1:13">
      <c r="A1877" s="28">
        <v>382900</v>
      </c>
      <c r="B1877" t="s">
        <v>2021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397</v>
      </c>
      <c r="I1877" t="s">
        <v>397</v>
      </c>
      <c r="J1877">
        <v>12395</v>
      </c>
      <c r="K1877">
        <v>1.49</v>
      </c>
      <c r="L1877">
        <v>0</v>
      </c>
      <c r="M1877">
        <v>0</v>
      </c>
    </row>
    <row r="1878" spans="1:13">
      <c r="A1878" s="28">
        <v>2410</v>
      </c>
      <c r="B1878" t="s">
        <v>2022</v>
      </c>
      <c r="C1878">
        <v>1713</v>
      </c>
      <c r="D1878">
        <v>-20</v>
      </c>
      <c r="E1878">
        <v>-1.1499999999999999</v>
      </c>
      <c r="F1878" t="s">
        <v>397</v>
      </c>
      <c r="G1878" t="s">
        <v>397</v>
      </c>
      <c r="H1878" t="s">
        <v>397</v>
      </c>
      <c r="I1878" t="s">
        <v>397</v>
      </c>
      <c r="J1878">
        <v>3085</v>
      </c>
      <c r="K1878">
        <v>0.56000000000000005</v>
      </c>
      <c r="L1878">
        <v>0</v>
      </c>
      <c r="M1878">
        <v>0</v>
      </c>
    </row>
    <row r="1879" spans="1:13">
      <c r="A1879" s="28">
        <v>148140</v>
      </c>
      <c r="B1879" t="s">
        <v>2023</v>
      </c>
      <c r="C1879">
        <v>6140</v>
      </c>
      <c r="D1879">
        <v>0</v>
      </c>
      <c r="E1879">
        <v>0</v>
      </c>
      <c r="F1879" t="s">
        <v>397</v>
      </c>
      <c r="G1879" t="s">
        <v>397</v>
      </c>
      <c r="H1879" t="s">
        <v>397</v>
      </c>
      <c r="I1879" t="s">
        <v>397</v>
      </c>
      <c r="J1879" t="s">
        <v>397</v>
      </c>
      <c r="K1879" t="s">
        <v>397</v>
      </c>
      <c r="L1879">
        <v>0</v>
      </c>
      <c r="M1879">
        <v>0</v>
      </c>
    </row>
    <row r="1880" spans="1:13">
      <c r="A1880" s="28">
        <v>2070</v>
      </c>
      <c r="B1880" t="s">
        <v>2024</v>
      </c>
      <c r="C1880">
        <v>1103</v>
      </c>
      <c r="D1880">
        <v>16</v>
      </c>
      <c r="E1880">
        <v>1.47</v>
      </c>
      <c r="F1880" t="s">
        <v>397</v>
      </c>
      <c r="G1880" t="s">
        <v>397</v>
      </c>
      <c r="H1880" t="s">
        <v>397</v>
      </c>
      <c r="I1880" t="s">
        <v>397</v>
      </c>
      <c r="J1880">
        <v>3232</v>
      </c>
      <c r="K1880">
        <v>0.34</v>
      </c>
      <c r="L1880">
        <v>0</v>
      </c>
      <c r="M1880">
        <v>0</v>
      </c>
    </row>
    <row r="1881" spans="1:13">
      <c r="A1881" s="28">
        <v>235980</v>
      </c>
      <c r="B1881" t="s">
        <v>2025</v>
      </c>
      <c r="C1881">
        <v>14890</v>
      </c>
      <c r="D1881">
        <v>-700</v>
      </c>
      <c r="E1881">
        <v>-4.49</v>
      </c>
      <c r="F1881" t="s">
        <v>397</v>
      </c>
      <c r="G1881" t="s">
        <v>397</v>
      </c>
      <c r="H1881" t="s">
        <v>397</v>
      </c>
      <c r="I1881" t="s">
        <v>397</v>
      </c>
      <c r="J1881">
        <v>1345</v>
      </c>
      <c r="K1881">
        <v>11.07</v>
      </c>
      <c r="L1881">
        <v>0</v>
      </c>
      <c r="M1881">
        <v>0</v>
      </c>
    </row>
    <row r="1882" spans="1:13">
      <c r="A1882" s="28">
        <v>307870</v>
      </c>
      <c r="B1882" t="s">
        <v>2026</v>
      </c>
      <c r="C1882">
        <v>1608</v>
      </c>
      <c r="D1882">
        <v>-70</v>
      </c>
      <c r="E1882">
        <v>-4.17</v>
      </c>
      <c r="F1882" t="s">
        <v>397</v>
      </c>
      <c r="G1882" t="s">
        <v>397</v>
      </c>
      <c r="H1882" t="s">
        <v>397</v>
      </c>
      <c r="I1882" t="s">
        <v>397</v>
      </c>
      <c r="J1882">
        <v>564</v>
      </c>
      <c r="K1882">
        <v>2.85</v>
      </c>
      <c r="L1882">
        <v>0</v>
      </c>
      <c r="M1882">
        <v>0</v>
      </c>
    </row>
    <row r="1883" spans="1:13">
      <c r="A1883" s="28">
        <v>1470</v>
      </c>
      <c r="B1883" t="s">
        <v>2027</v>
      </c>
      <c r="C1883">
        <v>2690</v>
      </c>
      <c r="D1883">
        <v>315</v>
      </c>
      <c r="E1883">
        <v>13.26</v>
      </c>
      <c r="F1883" t="s">
        <v>397</v>
      </c>
      <c r="G1883" t="s">
        <v>397</v>
      </c>
      <c r="H1883" t="s">
        <v>397</v>
      </c>
      <c r="I1883" t="s">
        <v>397</v>
      </c>
      <c r="J1883">
        <v>975</v>
      </c>
      <c r="K1883">
        <v>2.76</v>
      </c>
      <c r="L1883">
        <v>0</v>
      </c>
      <c r="M1883">
        <v>0</v>
      </c>
    </row>
    <row r="1884" spans="1:13">
      <c r="A1884" s="28">
        <v>9620</v>
      </c>
      <c r="B1884" t="s">
        <v>2028</v>
      </c>
      <c r="C1884">
        <v>1001</v>
      </c>
      <c r="D1884">
        <v>26</v>
      </c>
      <c r="E1884">
        <v>2.67</v>
      </c>
      <c r="F1884" t="s">
        <v>397</v>
      </c>
      <c r="G1884" t="s">
        <v>397</v>
      </c>
      <c r="H1884" t="s">
        <v>397</v>
      </c>
      <c r="I1884" t="s">
        <v>397</v>
      </c>
      <c r="J1884">
        <v>535</v>
      </c>
      <c r="K1884">
        <v>1.87</v>
      </c>
      <c r="L1884">
        <v>0</v>
      </c>
      <c r="M1884">
        <v>0</v>
      </c>
    </row>
    <row r="1885" spans="1:13">
      <c r="A1885" s="28">
        <v>419050</v>
      </c>
      <c r="B1885" t="s">
        <v>2029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397</v>
      </c>
      <c r="I1885" t="s">
        <v>397</v>
      </c>
      <c r="J1885">
        <v>910</v>
      </c>
      <c r="K1885">
        <v>3.11</v>
      </c>
      <c r="L1885">
        <v>0</v>
      </c>
      <c r="M1885">
        <v>0</v>
      </c>
    </row>
    <row r="1886" spans="1:13">
      <c r="A1886" s="28">
        <v>122350</v>
      </c>
      <c r="B1886" t="s">
        <v>2030</v>
      </c>
      <c r="C1886">
        <v>1975</v>
      </c>
      <c r="D1886">
        <v>-5</v>
      </c>
      <c r="E1886">
        <v>-0.25</v>
      </c>
      <c r="F1886" t="s">
        <v>397</v>
      </c>
      <c r="G1886" t="s">
        <v>397</v>
      </c>
      <c r="H1886" t="s">
        <v>397</v>
      </c>
      <c r="I1886" t="s">
        <v>397</v>
      </c>
      <c r="J1886">
        <v>3011</v>
      </c>
      <c r="K1886">
        <v>0.66</v>
      </c>
      <c r="L1886">
        <v>0</v>
      </c>
      <c r="M1886">
        <v>0</v>
      </c>
    </row>
    <row r="1887" spans="1:13">
      <c r="A1887" s="28">
        <v>452430</v>
      </c>
      <c r="B1887" t="s">
        <v>2031</v>
      </c>
      <c r="C1887">
        <v>41600</v>
      </c>
      <c r="D1887">
        <v>-2100</v>
      </c>
      <c r="E1887">
        <v>-4.8099999999999996</v>
      </c>
      <c r="F1887" t="s">
        <v>397</v>
      </c>
      <c r="G1887" t="s">
        <v>397</v>
      </c>
      <c r="H1887" t="s">
        <v>397</v>
      </c>
      <c r="I1887" t="s">
        <v>397</v>
      </c>
      <c r="J1887" t="s">
        <v>397</v>
      </c>
      <c r="K1887" t="s">
        <v>397</v>
      </c>
      <c r="L1887">
        <v>0</v>
      </c>
      <c r="M1887">
        <v>0</v>
      </c>
    </row>
    <row r="1888" spans="1:13">
      <c r="A1888" s="28">
        <v>8040</v>
      </c>
      <c r="B1888" t="s">
        <v>2032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397</v>
      </c>
      <c r="I1888" t="s">
        <v>397</v>
      </c>
      <c r="J1888">
        <v>1639</v>
      </c>
      <c r="K1888">
        <v>0.59</v>
      </c>
      <c r="L1888">
        <v>0</v>
      </c>
      <c r="M1888">
        <v>0</v>
      </c>
    </row>
    <row r="1889" spans="1:13">
      <c r="A1889" s="28">
        <v>210120</v>
      </c>
      <c r="B1889" t="s">
        <v>2033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397</v>
      </c>
      <c r="I1889" t="s">
        <v>397</v>
      </c>
      <c r="J1889">
        <v>4735</v>
      </c>
      <c r="K1889">
        <v>3.88</v>
      </c>
      <c r="L1889">
        <v>0</v>
      </c>
      <c r="M1889">
        <v>0</v>
      </c>
    </row>
    <row r="1890" spans="1:13">
      <c r="A1890" s="28">
        <v>65450</v>
      </c>
      <c r="B1890" t="s">
        <v>2034</v>
      </c>
      <c r="C1890">
        <v>5100</v>
      </c>
      <c r="D1890">
        <v>-30</v>
      </c>
      <c r="E1890">
        <v>-0.57999999999999996</v>
      </c>
      <c r="F1890" t="s">
        <v>397</v>
      </c>
      <c r="G1890" t="s">
        <v>397</v>
      </c>
      <c r="H1890" t="s">
        <v>397</v>
      </c>
      <c r="I1890" t="s">
        <v>397</v>
      </c>
      <c r="J1890">
        <v>2130</v>
      </c>
      <c r="K1890">
        <v>2.39</v>
      </c>
      <c r="L1890">
        <v>0</v>
      </c>
      <c r="M1890">
        <v>0</v>
      </c>
    </row>
    <row r="1891" spans="1:13">
      <c r="A1891" s="28">
        <v>238200</v>
      </c>
      <c r="B1891" t="s">
        <v>2035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397</v>
      </c>
      <c r="I1891" t="s">
        <v>397</v>
      </c>
      <c r="J1891">
        <v>6417</v>
      </c>
      <c r="K1891">
        <v>0.83</v>
      </c>
      <c r="L1891">
        <v>0</v>
      </c>
      <c r="M1891">
        <v>0</v>
      </c>
    </row>
    <row r="1892" spans="1:13">
      <c r="A1892" s="28">
        <v>148780</v>
      </c>
      <c r="B1892" t="s">
        <v>2036</v>
      </c>
      <c r="C1892">
        <v>1499</v>
      </c>
      <c r="D1892">
        <v>-13</v>
      </c>
      <c r="E1892">
        <v>-0.86</v>
      </c>
      <c r="F1892" t="s">
        <v>397</v>
      </c>
      <c r="G1892" t="s">
        <v>397</v>
      </c>
      <c r="H1892" t="s">
        <v>397</v>
      </c>
      <c r="I1892" t="s">
        <v>397</v>
      </c>
      <c r="J1892">
        <v>379</v>
      </c>
      <c r="K1892">
        <v>3.96</v>
      </c>
      <c r="L1892">
        <v>0</v>
      </c>
      <c r="M1892">
        <v>0</v>
      </c>
    </row>
    <row r="1893" spans="1:13">
      <c r="A1893" s="28">
        <v>357880</v>
      </c>
      <c r="B1893" t="s">
        <v>2037</v>
      </c>
      <c r="C1893">
        <v>5490</v>
      </c>
      <c r="D1893">
        <v>-10</v>
      </c>
      <c r="E1893">
        <v>-0.18</v>
      </c>
      <c r="F1893" t="s">
        <v>397</v>
      </c>
      <c r="G1893" t="s">
        <v>397</v>
      </c>
      <c r="H1893" t="s">
        <v>397</v>
      </c>
      <c r="I1893" t="s">
        <v>397</v>
      </c>
      <c r="J1893">
        <v>3236</v>
      </c>
      <c r="K1893">
        <v>1.7</v>
      </c>
      <c r="L1893">
        <v>0</v>
      </c>
      <c r="M1893">
        <v>0</v>
      </c>
    </row>
    <row r="1894" spans="1:13">
      <c r="A1894" s="28">
        <v>50090</v>
      </c>
      <c r="B1894" t="s">
        <v>2038</v>
      </c>
      <c r="C1894">
        <v>1011</v>
      </c>
      <c r="D1894">
        <v>-4</v>
      </c>
      <c r="E1894">
        <v>-0.39</v>
      </c>
      <c r="F1894" t="s">
        <v>397</v>
      </c>
      <c r="G1894" t="s">
        <v>397</v>
      </c>
      <c r="H1894" t="s">
        <v>397</v>
      </c>
      <c r="I1894" t="s">
        <v>397</v>
      </c>
      <c r="J1894">
        <v>1128</v>
      </c>
      <c r="K1894">
        <v>0.9</v>
      </c>
      <c r="L1894">
        <v>0</v>
      </c>
      <c r="M1894">
        <v>0</v>
      </c>
    </row>
    <row r="1895" spans="1:13">
      <c r="A1895" s="28">
        <v>419540</v>
      </c>
      <c r="B1895" t="s">
        <v>2039</v>
      </c>
      <c r="C1895">
        <v>2145</v>
      </c>
      <c r="D1895">
        <v>15</v>
      </c>
      <c r="E1895">
        <v>0.7</v>
      </c>
      <c r="F1895" t="s">
        <v>397</v>
      </c>
      <c r="G1895" t="s">
        <v>397</v>
      </c>
      <c r="H1895" t="s">
        <v>397</v>
      </c>
      <c r="I1895" t="s">
        <v>397</v>
      </c>
      <c r="J1895">
        <v>752</v>
      </c>
      <c r="K1895">
        <v>2.85</v>
      </c>
      <c r="L1895">
        <v>0</v>
      </c>
      <c r="M1895">
        <v>0</v>
      </c>
    </row>
    <row r="1896" spans="1:13">
      <c r="A1896" s="28">
        <v>30790</v>
      </c>
      <c r="B1896" t="s">
        <v>2040</v>
      </c>
      <c r="C1896">
        <v>904</v>
      </c>
      <c r="D1896">
        <v>0</v>
      </c>
      <c r="E1896">
        <v>0</v>
      </c>
      <c r="F1896" t="s">
        <v>397</v>
      </c>
      <c r="G1896" t="s">
        <v>397</v>
      </c>
      <c r="H1896" t="s">
        <v>397</v>
      </c>
      <c r="I1896" t="s">
        <v>397</v>
      </c>
      <c r="J1896">
        <v>277</v>
      </c>
      <c r="K1896">
        <v>3.26</v>
      </c>
      <c r="L1896">
        <v>0</v>
      </c>
      <c r="M1896">
        <v>0</v>
      </c>
    </row>
    <row r="1897" spans="1:13">
      <c r="A1897" s="28">
        <v>54220</v>
      </c>
      <c r="B1897" t="s">
        <v>2041</v>
      </c>
      <c r="C1897">
        <v>548</v>
      </c>
      <c r="D1897">
        <v>4</v>
      </c>
      <c r="E1897">
        <v>0.74</v>
      </c>
      <c r="F1897" t="s">
        <v>397</v>
      </c>
      <c r="G1897" t="s">
        <v>397</v>
      </c>
      <c r="H1897" t="s">
        <v>397</v>
      </c>
      <c r="I1897" t="s">
        <v>397</v>
      </c>
      <c r="J1897">
        <v>374</v>
      </c>
      <c r="K1897">
        <v>1.47</v>
      </c>
      <c r="L1897">
        <v>0</v>
      </c>
      <c r="M1897">
        <v>0</v>
      </c>
    </row>
    <row r="1898" spans="1:13">
      <c r="A1898" s="28">
        <v>138580</v>
      </c>
      <c r="B1898" t="s">
        <v>2042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397</v>
      </c>
      <c r="I1898" t="s">
        <v>397</v>
      </c>
      <c r="J1898">
        <v>3070</v>
      </c>
      <c r="K1898">
        <v>4.2699999999999996</v>
      </c>
      <c r="L1898">
        <v>0</v>
      </c>
      <c r="M1898">
        <v>0</v>
      </c>
    </row>
    <row r="1899" spans="1:13">
      <c r="A1899" s="28">
        <v>230980</v>
      </c>
      <c r="B1899" t="s">
        <v>2043</v>
      </c>
      <c r="C1899">
        <v>243</v>
      </c>
      <c r="D1899">
        <v>-1</v>
      </c>
      <c r="E1899">
        <v>-0.41</v>
      </c>
      <c r="F1899" t="s">
        <v>397</v>
      </c>
      <c r="G1899" t="s">
        <v>397</v>
      </c>
      <c r="H1899" t="s">
        <v>397</v>
      </c>
      <c r="I1899" t="s">
        <v>397</v>
      </c>
      <c r="J1899">
        <v>329</v>
      </c>
      <c r="K1899">
        <v>0.74</v>
      </c>
      <c r="L1899">
        <v>0</v>
      </c>
      <c r="M1899">
        <v>0</v>
      </c>
    </row>
    <row r="1900" spans="1:13">
      <c r="A1900" s="28">
        <v>65170</v>
      </c>
      <c r="B1900" t="s">
        <v>2044</v>
      </c>
      <c r="C1900">
        <v>412</v>
      </c>
      <c r="D1900">
        <v>-14</v>
      </c>
      <c r="E1900">
        <v>-3.29</v>
      </c>
      <c r="F1900" t="s">
        <v>397</v>
      </c>
      <c r="G1900" t="s">
        <v>397</v>
      </c>
      <c r="H1900" t="s">
        <v>397</v>
      </c>
      <c r="I1900" t="s">
        <v>397</v>
      </c>
      <c r="J1900">
        <v>380</v>
      </c>
      <c r="K1900">
        <v>1.08</v>
      </c>
      <c r="L1900">
        <v>0</v>
      </c>
      <c r="M1900">
        <v>0</v>
      </c>
    </row>
    <row r="1901" spans="1:13">
      <c r="A1901" s="28">
        <v>142760</v>
      </c>
      <c r="B1901" t="s">
        <v>2045</v>
      </c>
      <c r="C1901">
        <v>2440</v>
      </c>
      <c r="D1901">
        <v>-140</v>
      </c>
      <c r="E1901">
        <v>-5.43</v>
      </c>
      <c r="F1901" t="s">
        <v>397</v>
      </c>
      <c r="G1901" t="s">
        <v>397</v>
      </c>
      <c r="H1901" t="s">
        <v>397</v>
      </c>
      <c r="I1901" t="s">
        <v>397</v>
      </c>
      <c r="J1901">
        <v>690</v>
      </c>
      <c r="K1901">
        <v>3.54</v>
      </c>
      <c r="L1901">
        <v>0</v>
      </c>
      <c r="M1901">
        <v>0</v>
      </c>
    </row>
    <row r="1902" spans="1:13">
      <c r="A1902" s="28">
        <v>473370</v>
      </c>
      <c r="B1902" t="s">
        <v>2046</v>
      </c>
      <c r="C1902">
        <v>2030</v>
      </c>
      <c r="D1902">
        <v>5</v>
      </c>
      <c r="E1902">
        <v>0.25</v>
      </c>
      <c r="F1902" t="s">
        <v>397</v>
      </c>
      <c r="G1902" t="s">
        <v>397</v>
      </c>
      <c r="H1902" t="s">
        <v>397</v>
      </c>
      <c r="I1902" t="s">
        <v>397</v>
      </c>
      <c r="J1902" t="s">
        <v>397</v>
      </c>
      <c r="K1902" t="s">
        <v>397</v>
      </c>
      <c r="L1902">
        <v>0</v>
      </c>
      <c r="M1902">
        <v>0</v>
      </c>
    </row>
    <row r="1903" spans="1:13">
      <c r="A1903" s="28">
        <v>445360</v>
      </c>
      <c r="B1903" t="s">
        <v>2047</v>
      </c>
      <c r="C1903">
        <v>2085</v>
      </c>
      <c r="D1903">
        <v>-5</v>
      </c>
      <c r="E1903">
        <v>-0.24</v>
      </c>
      <c r="F1903" t="s">
        <v>397</v>
      </c>
      <c r="G1903" t="s">
        <v>397</v>
      </c>
      <c r="H1903" t="s">
        <v>397</v>
      </c>
      <c r="I1903" t="s">
        <v>397</v>
      </c>
      <c r="J1903" t="s">
        <v>397</v>
      </c>
      <c r="K1903" t="s">
        <v>397</v>
      </c>
      <c r="L1903">
        <v>0</v>
      </c>
      <c r="M1903">
        <v>0</v>
      </c>
    </row>
    <row r="1904" spans="1:13">
      <c r="A1904" s="28">
        <v>83650</v>
      </c>
      <c r="B1904" t="s">
        <v>2048</v>
      </c>
      <c r="C1904">
        <v>10330</v>
      </c>
      <c r="D1904">
        <v>-110</v>
      </c>
      <c r="E1904">
        <v>-1.05</v>
      </c>
      <c r="F1904" t="s">
        <v>397</v>
      </c>
      <c r="G1904" t="s">
        <v>397</v>
      </c>
      <c r="H1904" t="s">
        <v>397</v>
      </c>
      <c r="I1904" t="s">
        <v>397</v>
      </c>
      <c r="J1904">
        <v>1898</v>
      </c>
      <c r="K1904">
        <v>5.44</v>
      </c>
      <c r="L1904">
        <v>0</v>
      </c>
      <c r="M1904">
        <v>0</v>
      </c>
    </row>
    <row r="1905" spans="1:13">
      <c r="A1905" s="28">
        <v>413640</v>
      </c>
      <c r="B1905" t="s">
        <v>2049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397</v>
      </c>
      <c r="I1905" t="s">
        <v>397</v>
      </c>
      <c r="J1905">
        <v>2251</v>
      </c>
      <c r="K1905">
        <v>4.08</v>
      </c>
      <c r="L1905">
        <v>0</v>
      </c>
      <c r="M1905">
        <v>0</v>
      </c>
    </row>
    <row r="1906" spans="1:13">
      <c r="A1906" s="28">
        <v>146320</v>
      </c>
      <c r="B1906" t="s">
        <v>2050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397</v>
      </c>
      <c r="I1906" t="s">
        <v>397</v>
      </c>
      <c r="J1906">
        <v>5955</v>
      </c>
      <c r="K1906">
        <v>3.53</v>
      </c>
      <c r="L1906">
        <v>0</v>
      </c>
      <c r="M1906">
        <v>0</v>
      </c>
    </row>
    <row r="1907" spans="1:13">
      <c r="A1907" s="28">
        <v>66410</v>
      </c>
      <c r="B1907" t="s">
        <v>2051</v>
      </c>
      <c r="C1907">
        <v>1153</v>
      </c>
      <c r="D1907">
        <v>0</v>
      </c>
      <c r="E1907">
        <v>0</v>
      </c>
      <c r="F1907" t="s">
        <v>397</v>
      </c>
      <c r="G1907" t="s">
        <v>397</v>
      </c>
      <c r="H1907" t="s">
        <v>397</v>
      </c>
      <c r="I1907" t="s">
        <v>397</v>
      </c>
      <c r="J1907">
        <v>1886</v>
      </c>
      <c r="K1907">
        <v>0.61</v>
      </c>
      <c r="L1907">
        <v>0</v>
      </c>
      <c r="M1907">
        <v>0</v>
      </c>
    </row>
    <row r="1908" spans="1:13">
      <c r="A1908" s="28">
        <v>438700</v>
      </c>
      <c r="B1908" t="s">
        <v>2052</v>
      </c>
      <c r="C1908">
        <v>7300</v>
      </c>
      <c r="D1908">
        <v>-200</v>
      </c>
      <c r="E1908">
        <v>-2.67</v>
      </c>
      <c r="F1908" t="s">
        <v>397</v>
      </c>
      <c r="G1908" t="s">
        <v>397</v>
      </c>
      <c r="H1908" t="s">
        <v>397</v>
      </c>
      <c r="I1908" t="s">
        <v>397</v>
      </c>
      <c r="J1908">
        <v>2725</v>
      </c>
      <c r="K1908">
        <v>2.68</v>
      </c>
      <c r="L1908">
        <v>0</v>
      </c>
      <c r="M1908">
        <v>0</v>
      </c>
    </row>
    <row r="1909" spans="1:13">
      <c r="A1909" s="28">
        <v>331520</v>
      </c>
      <c r="B1909" t="s">
        <v>2053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397</v>
      </c>
      <c r="I1909" t="s">
        <v>397</v>
      </c>
      <c r="J1909">
        <v>517</v>
      </c>
      <c r="K1909">
        <v>1.72</v>
      </c>
      <c r="L1909">
        <v>0</v>
      </c>
      <c r="M1909">
        <v>0</v>
      </c>
    </row>
    <row r="1910" spans="1:13">
      <c r="A1910" s="28">
        <v>80160</v>
      </c>
      <c r="B1910" t="s">
        <v>2054</v>
      </c>
      <c r="C1910">
        <v>15700</v>
      </c>
      <c r="D1910">
        <v>-280</v>
      </c>
      <c r="E1910">
        <v>-1.75</v>
      </c>
      <c r="F1910" t="s">
        <v>397</v>
      </c>
      <c r="G1910" t="s">
        <v>397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>
      <c r="A1911" s="28">
        <v>218150</v>
      </c>
      <c r="B1911" t="s">
        <v>2055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397</v>
      </c>
      <c r="I1911" t="s">
        <v>397</v>
      </c>
      <c r="J1911">
        <v>2147</v>
      </c>
      <c r="K1911">
        <v>2.16</v>
      </c>
      <c r="L1911">
        <v>0</v>
      </c>
      <c r="M1911">
        <v>0</v>
      </c>
    </row>
    <row r="1912" spans="1:13">
      <c r="A1912" s="28">
        <v>25560</v>
      </c>
      <c r="B1912" t="s">
        <v>2056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397</v>
      </c>
      <c r="I1912" t="s">
        <v>397</v>
      </c>
      <c r="J1912">
        <v>3527</v>
      </c>
      <c r="K1912">
        <v>0.56999999999999995</v>
      </c>
      <c r="L1912">
        <v>0</v>
      </c>
      <c r="M1912">
        <v>0</v>
      </c>
    </row>
    <row r="1913" spans="1:13">
      <c r="A1913" s="28">
        <v>254490</v>
      </c>
      <c r="B1913" t="s">
        <v>2057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397</v>
      </c>
      <c r="I1913" t="s">
        <v>397</v>
      </c>
      <c r="J1913">
        <v>5065</v>
      </c>
      <c r="K1913">
        <v>4.09</v>
      </c>
      <c r="L1913">
        <v>0</v>
      </c>
      <c r="M1913">
        <v>0</v>
      </c>
    </row>
    <row r="1914" spans="1:13">
      <c r="A1914" s="28">
        <v>279600</v>
      </c>
      <c r="B1914" t="s">
        <v>2058</v>
      </c>
      <c r="C1914">
        <v>11710</v>
      </c>
      <c r="D1914">
        <v>-60</v>
      </c>
      <c r="E1914">
        <v>-0.51</v>
      </c>
      <c r="F1914" t="s">
        <v>397</v>
      </c>
      <c r="G1914" t="s">
        <v>397</v>
      </c>
      <c r="H1914" t="s">
        <v>397</v>
      </c>
      <c r="I1914" t="s">
        <v>397</v>
      </c>
      <c r="J1914">
        <v>3538</v>
      </c>
      <c r="K1914">
        <v>3.31</v>
      </c>
      <c r="L1914">
        <v>0</v>
      </c>
      <c r="M1914">
        <v>0</v>
      </c>
    </row>
    <row r="1915" spans="1:13">
      <c r="A1915" s="28">
        <v>6920</v>
      </c>
      <c r="B1915" t="s">
        <v>2059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397</v>
      </c>
      <c r="I1915" t="s">
        <v>397</v>
      </c>
      <c r="J1915">
        <v>2326</v>
      </c>
      <c r="K1915">
        <v>1.66</v>
      </c>
      <c r="L1915">
        <v>0</v>
      </c>
      <c r="M1915">
        <v>0</v>
      </c>
    </row>
    <row r="1916" spans="1:13">
      <c r="A1916" s="28">
        <v>33200</v>
      </c>
      <c r="B1916" t="s">
        <v>2060</v>
      </c>
      <c r="C1916">
        <v>3495</v>
      </c>
      <c r="D1916">
        <v>-105</v>
      </c>
      <c r="E1916">
        <v>-2.92</v>
      </c>
      <c r="F1916" t="s">
        <v>397</v>
      </c>
      <c r="G1916" t="s">
        <v>397</v>
      </c>
      <c r="H1916" t="s">
        <v>397</v>
      </c>
      <c r="I1916" t="s">
        <v>397</v>
      </c>
      <c r="J1916">
        <v>7598</v>
      </c>
      <c r="K1916">
        <v>0.46</v>
      </c>
      <c r="L1916">
        <v>0</v>
      </c>
      <c r="M1916">
        <v>0</v>
      </c>
    </row>
    <row r="1917" spans="1:13">
      <c r="A1917" s="28">
        <v>288980</v>
      </c>
      <c r="B1917" t="s">
        <v>2061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397</v>
      </c>
      <c r="I1917" t="s">
        <v>397</v>
      </c>
      <c r="J1917">
        <v>1131</v>
      </c>
      <c r="K1917">
        <v>1.98</v>
      </c>
      <c r="L1917">
        <v>0</v>
      </c>
      <c r="M1917">
        <v>0</v>
      </c>
    </row>
    <row r="1918" spans="1:13">
      <c r="A1918" s="28">
        <v>250060</v>
      </c>
      <c r="B1918" t="s">
        <v>2062</v>
      </c>
      <c r="C1918">
        <v>4145</v>
      </c>
      <c r="D1918">
        <v>-15</v>
      </c>
      <c r="E1918">
        <v>-0.36</v>
      </c>
      <c r="F1918" t="s">
        <v>397</v>
      </c>
      <c r="G1918" t="s">
        <v>397</v>
      </c>
      <c r="H1918" t="s">
        <v>397</v>
      </c>
      <c r="I1918" t="s">
        <v>397</v>
      </c>
      <c r="J1918">
        <v>742</v>
      </c>
      <c r="K1918">
        <v>5.59</v>
      </c>
      <c r="L1918">
        <v>0</v>
      </c>
      <c r="M1918">
        <v>0</v>
      </c>
    </row>
    <row r="1919" spans="1:13">
      <c r="A1919" s="28">
        <v>348030</v>
      </c>
      <c r="B1919" t="s">
        <v>2063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397</v>
      </c>
      <c r="I1919" t="s">
        <v>397</v>
      </c>
      <c r="J1919">
        <v>8312</v>
      </c>
      <c r="K1919">
        <v>0.99</v>
      </c>
      <c r="L1919">
        <v>0</v>
      </c>
      <c r="M1919">
        <v>0</v>
      </c>
    </row>
    <row r="1920" spans="1:13">
      <c r="A1920" s="28">
        <v>363260</v>
      </c>
      <c r="B1920" t="s">
        <v>2064</v>
      </c>
      <c r="C1920">
        <v>520</v>
      </c>
      <c r="D1920">
        <v>-9</v>
      </c>
      <c r="E1920">
        <v>-1.7</v>
      </c>
      <c r="F1920" t="s">
        <v>397</v>
      </c>
      <c r="G1920" t="s">
        <v>397</v>
      </c>
      <c r="H1920" t="s">
        <v>397</v>
      </c>
      <c r="I1920" t="s">
        <v>397</v>
      </c>
      <c r="J1920">
        <v>250</v>
      </c>
      <c r="K1920">
        <v>2.08</v>
      </c>
      <c r="L1920">
        <v>0</v>
      </c>
      <c r="M1920">
        <v>0</v>
      </c>
    </row>
    <row r="1921" spans="1:13">
      <c r="A1921" s="28">
        <v>87260</v>
      </c>
      <c r="B1921" t="s">
        <v>2065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397</v>
      </c>
      <c r="I1921" t="s">
        <v>397</v>
      </c>
      <c r="J1921">
        <v>1415</v>
      </c>
      <c r="K1921">
        <v>1.67</v>
      </c>
      <c r="L1921">
        <v>0</v>
      </c>
      <c r="M1921">
        <v>0</v>
      </c>
    </row>
    <row r="1922" spans="1:13">
      <c r="A1922" s="28">
        <v>80420</v>
      </c>
      <c r="B1922" t="s">
        <v>2066</v>
      </c>
      <c r="C1922">
        <v>2260</v>
      </c>
      <c r="D1922">
        <v>-45</v>
      </c>
      <c r="E1922">
        <v>-1.95</v>
      </c>
      <c r="F1922" t="s">
        <v>397</v>
      </c>
      <c r="G1922" t="s">
        <v>397</v>
      </c>
      <c r="H1922" t="s">
        <v>397</v>
      </c>
      <c r="I1922" t="s">
        <v>397</v>
      </c>
      <c r="J1922">
        <v>4472</v>
      </c>
      <c r="K1922">
        <v>0.51</v>
      </c>
      <c r="L1922">
        <v>0</v>
      </c>
      <c r="M1922">
        <v>0</v>
      </c>
    </row>
    <row r="1923" spans="1:13">
      <c r="A1923" s="28">
        <v>46310</v>
      </c>
      <c r="B1923" t="s">
        <v>2067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397</v>
      </c>
      <c r="I1923" t="s">
        <v>397</v>
      </c>
      <c r="J1923">
        <v>3002</v>
      </c>
      <c r="K1923">
        <v>0.95</v>
      </c>
      <c r="L1923">
        <v>0</v>
      </c>
      <c r="M1923">
        <v>0</v>
      </c>
    </row>
    <row r="1924" spans="1:13">
      <c r="A1924" s="28">
        <v>434480</v>
      </c>
      <c r="B1924" t="s">
        <v>2068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397</v>
      </c>
      <c r="I1924" t="s">
        <v>397</v>
      </c>
      <c r="J1924">
        <v>1490</v>
      </c>
      <c r="K1924">
        <v>3.65</v>
      </c>
      <c r="L1924">
        <v>0</v>
      </c>
      <c r="M1924">
        <v>0</v>
      </c>
    </row>
    <row r="1925" spans="1:13">
      <c r="A1925" s="28">
        <v>9900</v>
      </c>
      <c r="B1925" t="s">
        <v>2069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>
      <c r="A1926" s="28">
        <v>17180</v>
      </c>
      <c r="B1926" t="s">
        <v>2070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397</v>
      </c>
      <c r="I1926" t="s">
        <v>397</v>
      </c>
      <c r="J1926">
        <v>2648</v>
      </c>
      <c r="K1926">
        <v>0.79</v>
      </c>
      <c r="L1926">
        <v>0</v>
      </c>
      <c r="M1926">
        <v>0</v>
      </c>
    </row>
    <row r="1927" spans="1:13">
      <c r="A1927" s="28">
        <v>90370</v>
      </c>
      <c r="B1927" t="s">
        <v>2071</v>
      </c>
      <c r="C1927">
        <v>1987</v>
      </c>
      <c r="D1927">
        <v>-43</v>
      </c>
      <c r="E1927">
        <v>-2.12</v>
      </c>
      <c r="F1927" t="s">
        <v>397</v>
      </c>
      <c r="G1927" t="s">
        <v>397</v>
      </c>
      <c r="H1927" t="s">
        <v>397</v>
      </c>
      <c r="I1927" t="s">
        <v>397</v>
      </c>
      <c r="J1927">
        <v>3160</v>
      </c>
      <c r="K1927">
        <v>0.63</v>
      </c>
      <c r="L1927">
        <v>0</v>
      </c>
      <c r="M1927">
        <v>0</v>
      </c>
    </row>
    <row r="1928" spans="1:13">
      <c r="A1928" s="28">
        <v>140410</v>
      </c>
      <c r="B1928" t="s">
        <v>2072</v>
      </c>
      <c r="C1928">
        <v>41100</v>
      </c>
      <c r="D1928">
        <v>-1350</v>
      </c>
      <c r="E1928">
        <v>-3.18</v>
      </c>
      <c r="F1928" t="s">
        <v>397</v>
      </c>
      <c r="G1928" t="s">
        <v>397</v>
      </c>
      <c r="H1928" t="s">
        <v>397</v>
      </c>
      <c r="I1928" t="s">
        <v>397</v>
      </c>
      <c r="J1928">
        <v>981</v>
      </c>
      <c r="K1928">
        <v>41.9</v>
      </c>
      <c r="L1928">
        <v>0</v>
      </c>
      <c r="M1928">
        <v>0</v>
      </c>
    </row>
    <row r="1929" spans="1:13">
      <c r="A1929" s="28">
        <v>21880</v>
      </c>
      <c r="B1929" t="s">
        <v>2073</v>
      </c>
      <c r="C1929">
        <v>309</v>
      </c>
      <c r="D1929">
        <v>-7</v>
      </c>
      <c r="E1929">
        <v>-2.2200000000000002</v>
      </c>
      <c r="F1929" t="s">
        <v>397</v>
      </c>
      <c r="G1929" t="s">
        <v>397</v>
      </c>
      <c r="H1929" t="s">
        <v>397</v>
      </c>
      <c r="I1929" t="s">
        <v>397</v>
      </c>
      <c r="J1929">
        <v>355</v>
      </c>
      <c r="K1929">
        <v>0.87</v>
      </c>
      <c r="L1929">
        <v>0</v>
      </c>
      <c r="M1929">
        <v>0</v>
      </c>
    </row>
    <row r="1930" spans="1:13">
      <c r="A1930" s="28">
        <v>408920</v>
      </c>
      <c r="B1930" t="s">
        <v>2074</v>
      </c>
      <c r="C1930">
        <v>2385</v>
      </c>
      <c r="D1930">
        <v>-5</v>
      </c>
      <c r="E1930">
        <v>-0.21</v>
      </c>
      <c r="F1930" t="s">
        <v>397</v>
      </c>
      <c r="G1930" t="s">
        <v>397</v>
      </c>
      <c r="H1930" t="s">
        <v>397</v>
      </c>
      <c r="I1930" t="s">
        <v>397</v>
      </c>
      <c r="J1930">
        <v>1803</v>
      </c>
      <c r="K1930">
        <v>1.32</v>
      </c>
      <c r="L1930">
        <v>0</v>
      </c>
      <c r="M1930">
        <v>0</v>
      </c>
    </row>
    <row r="1931" spans="1:13">
      <c r="A1931" s="28">
        <v>65650</v>
      </c>
      <c r="B1931" t="s">
        <v>2075</v>
      </c>
      <c r="C1931">
        <v>1314</v>
      </c>
      <c r="D1931">
        <v>-25</v>
      </c>
      <c r="E1931">
        <v>-1.87</v>
      </c>
      <c r="F1931" t="s">
        <v>397</v>
      </c>
      <c r="G1931" t="s">
        <v>397</v>
      </c>
      <c r="H1931" t="s">
        <v>397</v>
      </c>
      <c r="I1931" t="s">
        <v>397</v>
      </c>
      <c r="J1931">
        <v>661</v>
      </c>
      <c r="K1931">
        <v>1.99</v>
      </c>
      <c r="L1931">
        <v>0</v>
      </c>
      <c r="M1931">
        <v>0</v>
      </c>
    </row>
    <row r="1932" spans="1:13">
      <c r="A1932" s="28">
        <v>78160</v>
      </c>
      <c r="B1932" t="s">
        <v>2076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397</v>
      </c>
      <c r="I1932" t="s">
        <v>397</v>
      </c>
      <c r="J1932">
        <v>9811</v>
      </c>
      <c r="K1932">
        <v>0.72</v>
      </c>
      <c r="L1932">
        <v>0</v>
      </c>
      <c r="M1932">
        <v>0</v>
      </c>
    </row>
    <row r="1933" spans="1:13">
      <c r="A1933" s="28">
        <v>54180</v>
      </c>
      <c r="B1933" t="s">
        <v>2077</v>
      </c>
      <c r="C1933">
        <v>810</v>
      </c>
      <c r="D1933">
        <v>-1</v>
      </c>
      <c r="E1933">
        <v>-0.12</v>
      </c>
      <c r="F1933" t="s">
        <v>397</v>
      </c>
      <c r="G1933" t="s">
        <v>397</v>
      </c>
      <c r="H1933" t="s">
        <v>397</v>
      </c>
      <c r="I1933" t="s">
        <v>397</v>
      </c>
      <c r="J1933">
        <v>2476</v>
      </c>
      <c r="K1933">
        <v>0.33</v>
      </c>
      <c r="L1933">
        <v>0</v>
      </c>
      <c r="M1933">
        <v>0</v>
      </c>
    </row>
    <row r="1934" spans="1:13">
      <c r="A1934" s="28">
        <v>14100</v>
      </c>
      <c r="B1934" t="s">
        <v>2078</v>
      </c>
      <c r="C1934">
        <v>2815</v>
      </c>
      <c r="D1934">
        <v>-20</v>
      </c>
      <c r="E1934">
        <v>-0.71</v>
      </c>
      <c r="F1934" t="s">
        <v>397</v>
      </c>
      <c r="G1934" t="s">
        <v>397</v>
      </c>
      <c r="H1934" t="s">
        <v>397</v>
      </c>
      <c r="I1934" t="s">
        <v>397</v>
      </c>
      <c r="J1934">
        <v>7165</v>
      </c>
      <c r="K1934">
        <v>0.39</v>
      </c>
      <c r="L1934">
        <v>0</v>
      </c>
      <c r="M1934">
        <v>0</v>
      </c>
    </row>
    <row r="1935" spans="1:13">
      <c r="A1935" s="28">
        <v>7120</v>
      </c>
      <c r="B1935" t="s">
        <v>2079</v>
      </c>
      <c r="C1935">
        <v>1092</v>
      </c>
      <c r="D1935">
        <v>2</v>
      </c>
      <c r="E1935">
        <v>0.18</v>
      </c>
      <c r="F1935" t="s">
        <v>397</v>
      </c>
      <c r="G1935" t="s">
        <v>397</v>
      </c>
      <c r="H1935" t="s">
        <v>397</v>
      </c>
      <c r="I1935" t="s">
        <v>397</v>
      </c>
      <c r="J1935">
        <v>2635</v>
      </c>
      <c r="K1935">
        <v>0.41</v>
      </c>
      <c r="L1935">
        <v>0</v>
      </c>
      <c r="M1935">
        <v>0</v>
      </c>
    </row>
    <row r="1936" spans="1:13">
      <c r="A1936" s="28">
        <v>442900</v>
      </c>
      <c r="B1936" t="s">
        <v>2080</v>
      </c>
      <c r="C1936">
        <v>9590</v>
      </c>
      <c r="D1936">
        <v>-20</v>
      </c>
      <c r="E1936">
        <v>-0.21</v>
      </c>
      <c r="F1936" t="s">
        <v>397</v>
      </c>
      <c r="G1936" t="s">
        <v>397</v>
      </c>
      <c r="H1936" t="s">
        <v>397</v>
      </c>
      <c r="I1936" t="s">
        <v>397</v>
      </c>
      <c r="J1936" t="s">
        <v>397</v>
      </c>
      <c r="K1936" t="s">
        <v>397</v>
      </c>
      <c r="L1936">
        <v>0</v>
      </c>
      <c r="M1936">
        <v>0</v>
      </c>
    </row>
    <row r="1937" spans="1:13">
      <c r="A1937" s="28">
        <v>100790</v>
      </c>
      <c r="B1937" t="s">
        <v>2081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397</v>
      </c>
      <c r="I1937" t="s">
        <v>397</v>
      </c>
      <c r="J1937">
        <v>6217</v>
      </c>
      <c r="K1937">
        <v>0.93</v>
      </c>
      <c r="L1937">
        <v>0</v>
      </c>
      <c r="M1937">
        <v>0</v>
      </c>
    </row>
    <row r="1938" spans="1:13">
      <c r="A1938" s="28">
        <v>412930</v>
      </c>
      <c r="B1938" t="s">
        <v>2082</v>
      </c>
      <c r="C1938">
        <v>2155</v>
      </c>
      <c r="D1938">
        <v>15</v>
      </c>
      <c r="E1938">
        <v>0.7</v>
      </c>
      <c r="F1938" t="s">
        <v>397</v>
      </c>
      <c r="G1938" t="s">
        <v>397</v>
      </c>
      <c r="H1938" t="s">
        <v>397</v>
      </c>
      <c r="I1938" t="s">
        <v>397</v>
      </c>
      <c r="J1938" t="s">
        <v>397</v>
      </c>
      <c r="K1938" t="s">
        <v>397</v>
      </c>
      <c r="L1938">
        <v>0</v>
      </c>
      <c r="M1938">
        <v>0</v>
      </c>
    </row>
    <row r="1939" spans="1:13">
      <c r="A1939" s="28">
        <v>267790</v>
      </c>
      <c r="B1939" t="s">
        <v>2083</v>
      </c>
      <c r="C1939">
        <v>7100</v>
      </c>
      <c r="D1939">
        <v>-10</v>
      </c>
      <c r="E1939">
        <v>-0.14000000000000001</v>
      </c>
      <c r="F1939" t="s">
        <v>397</v>
      </c>
      <c r="G1939" t="s">
        <v>397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>
      <c r="A1940" s="28">
        <v>323990</v>
      </c>
      <c r="B1940" t="s">
        <v>2084</v>
      </c>
      <c r="C1940">
        <v>19850</v>
      </c>
      <c r="D1940">
        <v>-1050</v>
      </c>
      <c r="E1940">
        <v>-5.0199999999999996</v>
      </c>
      <c r="F1940" t="s">
        <v>397</v>
      </c>
      <c r="G1940" t="s">
        <v>397</v>
      </c>
      <c r="H1940" t="s">
        <v>397</v>
      </c>
      <c r="I1940" t="s">
        <v>397</v>
      </c>
      <c r="J1940">
        <v>1198</v>
      </c>
      <c r="K1940">
        <v>16.57</v>
      </c>
      <c r="L1940">
        <v>0</v>
      </c>
      <c r="M1940">
        <v>0</v>
      </c>
    </row>
    <row r="1941" spans="1:13">
      <c r="A1941" s="28">
        <v>308080</v>
      </c>
      <c r="B1941" t="s">
        <v>2085</v>
      </c>
      <c r="C1941">
        <v>4970</v>
      </c>
      <c r="D1941">
        <v>5</v>
      </c>
      <c r="E1941">
        <v>0.1</v>
      </c>
      <c r="F1941" t="s">
        <v>397</v>
      </c>
      <c r="G1941" t="s">
        <v>397</v>
      </c>
      <c r="H1941" t="s">
        <v>397</v>
      </c>
      <c r="I1941" t="s">
        <v>397</v>
      </c>
      <c r="J1941">
        <v>4717</v>
      </c>
      <c r="K1941">
        <v>1.05</v>
      </c>
      <c r="L1941">
        <v>0</v>
      </c>
      <c r="M1941">
        <v>0</v>
      </c>
    </row>
    <row r="1942" spans="1:13">
      <c r="A1942" s="28">
        <v>32980</v>
      </c>
      <c r="B1942" t="s">
        <v>2086</v>
      </c>
      <c r="C1942">
        <v>1056</v>
      </c>
      <c r="D1942">
        <v>-17</v>
      </c>
      <c r="E1942">
        <v>-1.58</v>
      </c>
      <c r="F1942" t="s">
        <v>397</v>
      </c>
      <c r="G1942" t="s">
        <v>397</v>
      </c>
      <c r="H1942" t="s">
        <v>397</v>
      </c>
      <c r="I1942" t="s">
        <v>397</v>
      </c>
      <c r="J1942">
        <v>645</v>
      </c>
      <c r="K1942">
        <v>1.64</v>
      </c>
      <c r="L1942">
        <v>0</v>
      </c>
      <c r="M1942">
        <v>0</v>
      </c>
    </row>
    <row r="1943" spans="1:13">
      <c r="A1943" s="28">
        <v>86040</v>
      </c>
      <c r="B1943" t="s">
        <v>2087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397</v>
      </c>
      <c r="I1943" t="s">
        <v>397</v>
      </c>
      <c r="J1943">
        <v>3022</v>
      </c>
      <c r="K1943">
        <v>1.89</v>
      </c>
      <c r="L1943">
        <v>0</v>
      </c>
      <c r="M1943">
        <v>0</v>
      </c>
    </row>
    <row r="1944" spans="1:13">
      <c r="A1944" s="28">
        <v>199730</v>
      </c>
      <c r="B1944" t="s">
        <v>2088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397</v>
      </c>
      <c r="I1944" t="s">
        <v>397</v>
      </c>
      <c r="J1944">
        <v>4339</v>
      </c>
      <c r="K1944">
        <v>2.44</v>
      </c>
      <c r="L1944">
        <v>0</v>
      </c>
      <c r="M1944">
        <v>0</v>
      </c>
    </row>
    <row r="1945" spans="1:13">
      <c r="A1945" s="28">
        <v>251120</v>
      </c>
      <c r="B1945" t="s">
        <v>2089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>
      <c r="A1946" s="28">
        <v>38460</v>
      </c>
      <c r="B1946" t="s">
        <v>2090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397</v>
      </c>
      <c r="I1946" t="s">
        <v>397</v>
      </c>
      <c r="J1946">
        <v>5038</v>
      </c>
      <c r="K1946">
        <v>0.68</v>
      </c>
      <c r="L1946">
        <v>0</v>
      </c>
      <c r="M1946">
        <v>0</v>
      </c>
    </row>
    <row r="1947" spans="1:13">
      <c r="A1947" s="28">
        <v>86820</v>
      </c>
      <c r="B1947" t="s">
        <v>2091</v>
      </c>
      <c r="C1947">
        <v>16950</v>
      </c>
      <c r="D1947">
        <v>-340</v>
      </c>
      <c r="E1947">
        <v>-1.97</v>
      </c>
      <c r="F1947" t="s">
        <v>397</v>
      </c>
      <c r="G1947" t="s">
        <v>397</v>
      </c>
      <c r="H1947" t="s">
        <v>397</v>
      </c>
      <c r="I1947" t="s">
        <v>397</v>
      </c>
      <c r="J1947">
        <v>5456</v>
      </c>
      <c r="K1947">
        <v>3.11</v>
      </c>
      <c r="L1947">
        <v>0</v>
      </c>
      <c r="M1947">
        <v>0</v>
      </c>
    </row>
    <row r="1948" spans="1:13">
      <c r="A1948" s="28">
        <v>208710</v>
      </c>
      <c r="B1948" t="s">
        <v>2092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397</v>
      </c>
      <c r="I1948" t="s">
        <v>397</v>
      </c>
      <c r="J1948">
        <v>1212</v>
      </c>
      <c r="K1948">
        <v>0.55000000000000004</v>
      </c>
      <c r="L1948">
        <v>0</v>
      </c>
      <c r="M1948">
        <v>0</v>
      </c>
    </row>
    <row r="1949" spans="1:13">
      <c r="A1949" s="28">
        <v>314930</v>
      </c>
      <c r="B1949" t="s">
        <v>2093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397</v>
      </c>
      <c r="I1949" t="s">
        <v>397</v>
      </c>
      <c r="J1949">
        <v>1561</v>
      </c>
      <c r="K1949">
        <v>7.08</v>
      </c>
      <c r="L1949">
        <v>0</v>
      </c>
      <c r="M1949">
        <v>0</v>
      </c>
    </row>
    <row r="1950" spans="1:13">
      <c r="A1950" s="28">
        <v>64550</v>
      </c>
      <c r="B1950" t="s">
        <v>2094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397</v>
      </c>
      <c r="I1950" t="s">
        <v>397</v>
      </c>
      <c r="J1950">
        <v>9144</v>
      </c>
      <c r="K1950">
        <v>3.28</v>
      </c>
      <c r="L1950">
        <v>0</v>
      </c>
      <c r="M1950">
        <v>0</v>
      </c>
    </row>
    <row r="1951" spans="1:13">
      <c r="A1951" s="28">
        <v>301300</v>
      </c>
      <c r="B1951" t="s">
        <v>2095</v>
      </c>
      <c r="C1951">
        <v>7250</v>
      </c>
      <c r="D1951">
        <v>-110</v>
      </c>
      <c r="E1951">
        <v>-1.49</v>
      </c>
      <c r="F1951" t="s">
        <v>397</v>
      </c>
      <c r="G1951" t="s">
        <v>397</v>
      </c>
      <c r="H1951" t="s">
        <v>397</v>
      </c>
      <c r="I1951" t="s">
        <v>397</v>
      </c>
      <c r="J1951">
        <v>1017</v>
      </c>
      <c r="K1951">
        <v>7.13</v>
      </c>
      <c r="L1951">
        <v>0</v>
      </c>
      <c r="M1951">
        <v>0</v>
      </c>
    </row>
    <row r="1952" spans="1:13">
      <c r="A1952" s="28">
        <v>53030</v>
      </c>
      <c r="B1952" t="s">
        <v>2096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>
      <c r="A1953" s="28">
        <v>35620</v>
      </c>
      <c r="B1953" t="s">
        <v>2097</v>
      </c>
      <c r="C1953">
        <v>633</v>
      </c>
      <c r="D1953">
        <v>-4</v>
      </c>
      <c r="E1953">
        <v>-0.63</v>
      </c>
      <c r="F1953" t="s">
        <v>397</v>
      </c>
      <c r="G1953" t="s">
        <v>397</v>
      </c>
      <c r="H1953" t="s">
        <v>397</v>
      </c>
      <c r="I1953" t="s">
        <v>397</v>
      </c>
      <c r="J1953">
        <v>1160</v>
      </c>
      <c r="K1953">
        <v>0.55000000000000004</v>
      </c>
      <c r="L1953">
        <v>0</v>
      </c>
      <c r="M1953">
        <v>0</v>
      </c>
    </row>
    <row r="1954" spans="1:13">
      <c r="A1954" s="28">
        <v>18700</v>
      </c>
      <c r="B1954" t="s">
        <v>2098</v>
      </c>
      <c r="C1954">
        <v>1527</v>
      </c>
      <c r="D1954">
        <v>-8</v>
      </c>
      <c r="E1954">
        <v>-0.52</v>
      </c>
      <c r="F1954" t="s">
        <v>397</v>
      </c>
      <c r="G1954" t="s">
        <v>397</v>
      </c>
      <c r="H1954" t="s">
        <v>397</v>
      </c>
      <c r="I1954" t="s">
        <v>397</v>
      </c>
      <c r="J1954">
        <v>1705</v>
      </c>
      <c r="K1954">
        <v>0.9</v>
      </c>
      <c r="L1954">
        <v>0</v>
      </c>
      <c r="M1954">
        <v>0</v>
      </c>
    </row>
    <row r="1955" spans="1:13">
      <c r="A1955" s="28">
        <v>418470</v>
      </c>
      <c r="B1955" t="s">
        <v>2099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>
      <c r="A1956" s="28">
        <v>201490</v>
      </c>
      <c r="B1956" t="s">
        <v>2100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397</v>
      </c>
      <c r="I1956" t="s">
        <v>397</v>
      </c>
      <c r="J1956">
        <v>3872</v>
      </c>
      <c r="K1956">
        <v>0.74</v>
      </c>
      <c r="L1956">
        <v>0</v>
      </c>
      <c r="M1956">
        <v>0</v>
      </c>
    </row>
    <row r="1957" spans="1:13">
      <c r="A1957" s="28">
        <v>214610</v>
      </c>
      <c r="B1957" t="s">
        <v>2101</v>
      </c>
      <c r="C1957">
        <v>1755</v>
      </c>
      <c r="D1957">
        <v>56</v>
      </c>
      <c r="E1957">
        <v>3.3</v>
      </c>
      <c r="F1957" t="s">
        <v>397</v>
      </c>
      <c r="G1957" t="s">
        <v>397</v>
      </c>
      <c r="H1957" t="s">
        <v>397</v>
      </c>
      <c r="I1957" t="s">
        <v>397</v>
      </c>
      <c r="J1957">
        <v>690</v>
      </c>
      <c r="K1957">
        <v>2.54</v>
      </c>
      <c r="L1957">
        <v>0</v>
      </c>
      <c r="M1957">
        <v>0</v>
      </c>
    </row>
    <row r="1958" spans="1:13">
      <c r="A1958" s="28">
        <v>59090</v>
      </c>
      <c r="B1958" t="s">
        <v>2102</v>
      </c>
      <c r="C1958">
        <v>11090</v>
      </c>
      <c r="D1958">
        <v>-210</v>
      </c>
      <c r="E1958">
        <v>-1.86</v>
      </c>
      <c r="F1958" t="s">
        <v>397</v>
      </c>
      <c r="G1958" t="s">
        <v>397</v>
      </c>
      <c r="H1958" t="s">
        <v>397</v>
      </c>
      <c r="I1958" t="s">
        <v>397</v>
      </c>
      <c r="J1958">
        <v>4503</v>
      </c>
      <c r="K1958">
        <v>2.46</v>
      </c>
      <c r="L1958">
        <v>0</v>
      </c>
      <c r="M1958">
        <v>0</v>
      </c>
    </row>
    <row r="1959" spans="1:13">
      <c r="A1959" s="28">
        <v>85620</v>
      </c>
      <c r="B1959" t="s">
        <v>2103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>
      <c r="A1960" s="28">
        <v>448830</v>
      </c>
      <c r="B1960" t="s">
        <v>2104</v>
      </c>
      <c r="C1960">
        <v>2275</v>
      </c>
      <c r="D1960">
        <v>40</v>
      </c>
      <c r="E1960">
        <v>1.79</v>
      </c>
      <c r="F1960" t="s">
        <v>397</v>
      </c>
      <c r="G1960" t="s">
        <v>397</v>
      </c>
      <c r="H1960" t="s">
        <v>397</v>
      </c>
      <c r="I1960" t="s">
        <v>397</v>
      </c>
      <c r="J1960" t="s">
        <v>397</v>
      </c>
      <c r="K1960" t="s">
        <v>397</v>
      </c>
      <c r="L1960">
        <v>0</v>
      </c>
      <c r="M1960">
        <v>0</v>
      </c>
    </row>
    <row r="1961" spans="1:13">
      <c r="A1961" s="28">
        <v>446190</v>
      </c>
      <c r="B1961" t="s">
        <v>2105</v>
      </c>
      <c r="C1961">
        <v>2170</v>
      </c>
      <c r="D1961">
        <v>5</v>
      </c>
      <c r="E1961">
        <v>0.23</v>
      </c>
      <c r="F1961" t="s">
        <v>397</v>
      </c>
      <c r="G1961" t="s">
        <v>397</v>
      </c>
      <c r="H1961" t="s">
        <v>397</v>
      </c>
      <c r="I1961" t="s">
        <v>397</v>
      </c>
      <c r="J1961" t="s">
        <v>397</v>
      </c>
      <c r="K1961" t="s">
        <v>397</v>
      </c>
      <c r="L1961">
        <v>0</v>
      </c>
      <c r="M1961">
        <v>0</v>
      </c>
    </row>
    <row r="1962" spans="1:13">
      <c r="A1962" s="28">
        <v>300</v>
      </c>
      <c r="B1962" t="s">
        <v>2106</v>
      </c>
      <c r="C1962">
        <v>241</v>
      </c>
      <c r="D1962">
        <v>0</v>
      </c>
      <c r="E1962">
        <v>0</v>
      </c>
      <c r="F1962" t="s">
        <v>397</v>
      </c>
      <c r="G1962" t="s">
        <v>397</v>
      </c>
      <c r="H1962" t="s">
        <v>397</v>
      </c>
      <c r="I1962" t="s">
        <v>397</v>
      </c>
      <c r="J1962">
        <v>503</v>
      </c>
      <c r="K1962">
        <v>0.48</v>
      </c>
      <c r="L1962">
        <v>0</v>
      </c>
      <c r="M1962">
        <v>0</v>
      </c>
    </row>
    <row r="1963" spans="1:13">
      <c r="A1963" s="28">
        <v>290380</v>
      </c>
      <c r="B1963" t="s">
        <v>2107</v>
      </c>
      <c r="C1963">
        <v>2300</v>
      </c>
      <c r="D1963">
        <v>0</v>
      </c>
      <c r="E1963">
        <v>0</v>
      </c>
      <c r="F1963" t="s">
        <v>397</v>
      </c>
      <c r="G1963" t="s">
        <v>397</v>
      </c>
      <c r="H1963" t="s">
        <v>397</v>
      </c>
      <c r="I1963" t="s">
        <v>397</v>
      </c>
      <c r="J1963">
        <v>4311</v>
      </c>
      <c r="K1963">
        <v>0.53</v>
      </c>
      <c r="L1963">
        <v>0</v>
      </c>
      <c r="M1963">
        <v>0</v>
      </c>
    </row>
    <row r="1964" spans="1:13">
      <c r="A1964" s="28">
        <v>72130</v>
      </c>
      <c r="B1964" t="s">
        <v>2108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397</v>
      </c>
      <c r="I1964" t="s">
        <v>397</v>
      </c>
      <c r="J1964">
        <v>4499</v>
      </c>
      <c r="K1964">
        <v>0.79</v>
      </c>
      <c r="L1964">
        <v>0</v>
      </c>
      <c r="M1964">
        <v>0</v>
      </c>
    </row>
    <row r="1965" spans="1:13">
      <c r="A1965" s="28">
        <v>86960</v>
      </c>
      <c r="B1965" t="s">
        <v>2109</v>
      </c>
      <c r="C1965">
        <v>1836</v>
      </c>
      <c r="D1965">
        <v>-35</v>
      </c>
      <c r="E1965">
        <v>-1.87</v>
      </c>
      <c r="F1965" t="s">
        <v>397</v>
      </c>
      <c r="G1965" t="s">
        <v>397</v>
      </c>
      <c r="H1965" t="s">
        <v>397</v>
      </c>
      <c r="I1965" t="s">
        <v>397</v>
      </c>
      <c r="J1965">
        <v>1258</v>
      </c>
      <c r="K1965">
        <v>1.46</v>
      </c>
      <c r="L1965">
        <v>0</v>
      </c>
      <c r="M1965">
        <v>0</v>
      </c>
    </row>
    <row r="1966" spans="1:13">
      <c r="A1966" s="28">
        <v>99220</v>
      </c>
      <c r="B1966" t="s">
        <v>2110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397</v>
      </c>
      <c r="I1966" t="s">
        <v>397</v>
      </c>
      <c r="J1966">
        <v>1886</v>
      </c>
      <c r="K1966">
        <v>0.56999999999999995</v>
      </c>
      <c r="L1966">
        <v>0</v>
      </c>
      <c r="M1966">
        <v>0</v>
      </c>
    </row>
    <row r="1967" spans="1:13">
      <c r="A1967" s="28">
        <v>151910</v>
      </c>
      <c r="B1967" t="s">
        <v>2111</v>
      </c>
      <c r="C1967">
        <v>640</v>
      </c>
      <c r="D1967">
        <v>0</v>
      </c>
      <c r="E1967">
        <v>0</v>
      </c>
      <c r="F1967" t="s">
        <v>397</v>
      </c>
      <c r="G1967" t="s">
        <v>397</v>
      </c>
      <c r="H1967" t="s">
        <v>397</v>
      </c>
      <c r="I1967" t="s">
        <v>397</v>
      </c>
      <c r="J1967">
        <v>216</v>
      </c>
      <c r="K1967">
        <v>2.96</v>
      </c>
      <c r="L1967">
        <v>0</v>
      </c>
      <c r="M1967">
        <v>0</v>
      </c>
    </row>
    <row r="1968" spans="1:13">
      <c r="A1968" s="28">
        <v>19550</v>
      </c>
      <c r="B1968" t="s">
        <v>2112</v>
      </c>
      <c r="C1968">
        <v>901</v>
      </c>
      <c r="D1968">
        <v>-10</v>
      </c>
      <c r="E1968">
        <v>-1.1000000000000001</v>
      </c>
      <c r="F1968" t="s">
        <v>397</v>
      </c>
      <c r="G1968" t="s">
        <v>397</v>
      </c>
      <c r="H1968" t="s">
        <v>397</v>
      </c>
      <c r="I1968" t="s">
        <v>397</v>
      </c>
      <c r="J1968">
        <v>730</v>
      </c>
      <c r="K1968">
        <v>1.23</v>
      </c>
      <c r="L1968">
        <v>0</v>
      </c>
      <c r="M1968">
        <v>0</v>
      </c>
    </row>
    <row r="1969" spans="1:13">
      <c r="A1969" s="28">
        <v>419530</v>
      </c>
      <c r="B1969" t="s">
        <v>2113</v>
      </c>
      <c r="C1969">
        <v>15320</v>
      </c>
      <c r="D1969">
        <v>-80</v>
      </c>
      <c r="E1969">
        <v>-0.52</v>
      </c>
      <c r="F1969" t="s">
        <v>397</v>
      </c>
      <c r="G1969" t="s">
        <v>397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>
      <c r="A1970" s="28">
        <v>91340</v>
      </c>
      <c r="B1970" t="s">
        <v>2114</v>
      </c>
      <c r="C1970">
        <v>2565</v>
      </c>
      <c r="D1970">
        <v>-10</v>
      </c>
      <c r="E1970">
        <v>-0.39</v>
      </c>
      <c r="F1970" t="s">
        <v>397</v>
      </c>
      <c r="G1970" t="s">
        <v>397</v>
      </c>
      <c r="H1970" t="s">
        <v>397</v>
      </c>
      <c r="I1970" t="s">
        <v>397</v>
      </c>
      <c r="J1970">
        <v>8329</v>
      </c>
      <c r="K1970">
        <v>0.31</v>
      </c>
      <c r="L1970">
        <v>0</v>
      </c>
      <c r="M1970">
        <v>0</v>
      </c>
    </row>
    <row r="1971" spans="1:1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397</v>
      </c>
      <c r="G1971" t="s">
        <v>397</v>
      </c>
      <c r="H1971" t="s">
        <v>397</v>
      </c>
      <c r="I1971" t="s">
        <v>397</v>
      </c>
      <c r="J1971" t="s">
        <v>397</v>
      </c>
      <c r="K1971" t="s">
        <v>397</v>
      </c>
      <c r="L1971">
        <v>0</v>
      </c>
      <c r="M1971">
        <v>0</v>
      </c>
    </row>
    <row r="1972" spans="1:13">
      <c r="A1972" s="28">
        <v>222160</v>
      </c>
      <c r="B1972" t="s">
        <v>2115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397</v>
      </c>
      <c r="I1972" t="s">
        <v>397</v>
      </c>
      <c r="J1972">
        <v>2928</v>
      </c>
      <c r="K1972">
        <v>2.75</v>
      </c>
      <c r="L1972">
        <v>0</v>
      </c>
      <c r="M1972">
        <v>0</v>
      </c>
    </row>
    <row r="1973" spans="1:13">
      <c r="A1973" s="28">
        <v>104200</v>
      </c>
      <c r="B1973" t="s">
        <v>2116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397</v>
      </c>
      <c r="I1973" t="s">
        <v>397</v>
      </c>
      <c r="J1973">
        <v>5461</v>
      </c>
      <c r="K1973">
        <v>0.93</v>
      </c>
      <c r="L1973">
        <v>0</v>
      </c>
      <c r="M1973">
        <v>0</v>
      </c>
    </row>
    <row r="1974" spans="1:13">
      <c r="A1974" s="28">
        <v>181710</v>
      </c>
      <c r="B1974" t="s">
        <v>2117</v>
      </c>
      <c r="C1974">
        <v>25350</v>
      </c>
      <c r="D1974">
        <v>-350</v>
      </c>
      <c r="E1974">
        <v>-1.36</v>
      </c>
      <c r="F1974" t="s">
        <v>397</v>
      </c>
      <c r="G1974" t="s">
        <v>397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>
      <c r="A1975" s="28">
        <v>160550</v>
      </c>
      <c r="B1975" t="s">
        <v>2118</v>
      </c>
      <c r="C1975">
        <v>3710</v>
      </c>
      <c r="D1975">
        <v>-80</v>
      </c>
      <c r="E1975">
        <v>-2.11</v>
      </c>
      <c r="F1975" t="s">
        <v>397</v>
      </c>
      <c r="G1975" t="s">
        <v>397</v>
      </c>
      <c r="H1975" t="s">
        <v>397</v>
      </c>
      <c r="I1975" t="s">
        <v>397</v>
      </c>
      <c r="J1975">
        <v>4300</v>
      </c>
      <c r="K1975">
        <v>0.86</v>
      </c>
      <c r="L1975">
        <v>0</v>
      </c>
      <c r="M1975">
        <v>0</v>
      </c>
    </row>
    <row r="1976" spans="1:13">
      <c r="A1976" s="28">
        <v>38340</v>
      </c>
      <c r="B1976" t="s">
        <v>2119</v>
      </c>
      <c r="C1976">
        <v>1283</v>
      </c>
      <c r="D1976">
        <v>0</v>
      </c>
      <c r="E1976">
        <v>0</v>
      </c>
      <c r="F1976" t="s">
        <v>397</v>
      </c>
      <c r="G1976" t="s">
        <v>397</v>
      </c>
      <c r="H1976" t="s">
        <v>397</v>
      </c>
      <c r="I1976" t="s">
        <v>397</v>
      </c>
      <c r="J1976">
        <v>247</v>
      </c>
      <c r="K1976">
        <v>5.19</v>
      </c>
      <c r="L1976">
        <v>0</v>
      </c>
      <c r="M1976">
        <v>0</v>
      </c>
    </row>
    <row r="1977" spans="1:13">
      <c r="A1977" s="28">
        <v>680</v>
      </c>
      <c r="B1977" t="s">
        <v>2120</v>
      </c>
      <c r="C1977">
        <v>5640</v>
      </c>
      <c r="D1977">
        <v>1300</v>
      </c>
      <c r="E1977">
        <v>29.95</v>
      </c>
      <c r="F1977" t="s">
        <v>397</v>
      </c>
      <c r="G1977" t="s">
        <v>397</v>
      </c>
      <c r="H1977" t="s">
        <v>397</v>
      </c>
      <c r="I1977" t="s">
        <v>397</v>
      </c>
      <c r="J1977">
        <v>7510</v>
      </c>
      <c r="K1977">
        <v>0.75</v>
      </c>
      <c r="L1977">
        <v>0</v>
      </c>
      <c r="M1977">
        <v>0</v>
      </c>
    </row>
    <row r="1978" spans="1:13">
      <c r="A1978" s="28">
        <v>255220</v>
      </c>
      <c r="B1978" t="s">
        <v>2121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397</v>
      </c>
      <c r="I1978" t="s">
        <v>397</v>
      </c>
      <c r="J1978">
        <v>1980</v>
      </c>
      <c r="K1978">
        <v>1.4</v>
      </c>
      <c r="L1978">
        <v>0</v>
      </c>
      <c r="M1978">
        <v>0</v>
      </c>
    </row>
    <row r="1979" spans="1:13">
      <c r="A1979" s="28">
        <v>373220</v>
      </c>
      <c r="B1979" t="s">
        <v>2122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397</v>
      </c>
      <c r="G1980" t="s">
        <v>397</v>
      </c>
      <c r="H1980" t="s">
        <v>397</v>
      </c>
      <c r="I1980" t="s">
        <v>397</v>
      </c>
      <c r="J1980">
        <v>25521</v>
      </c>
      <c r="K1980">
        <v>0.44</v>
      </c>
      <c r="L1980">
        <v>0</v>
      </c>
      <c r="M1980">
        <v>0</v>
      </c>
    </row>
    <row r="1981" spans="1:13">
      <c r="A1981" s="28">
        <v>309960</v>
      </c>
      <c r="B1981" t="s">
        <v>2123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397</v>
      </c>
      <c r="I1981" t="s">
        <v>397</v>
      </c>
      <c r="J1981">
        <v>4723</v>
      </c>
      <c r="K1981">
        <v>0.91</v>
      </c>
      <c r="L1981">
        <v>0</v>
      </c>
      <c r="M1981">
        <v>0</v>
      </c>
    </row>
    <row r="1982" spans="1:13">
      <c r="A1982" s="28">
        <v>61970</v>
      </c>
      <c r="B1982" t="s">
        <v>2124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397</v>
      </c>
      <c r="I1982" t="s">
        <v>397</v>
      </c>
      <c r="J1982">
        <v>6142</v>
      </c>
      <c r="K1982">
        <v>1.17</v>
      </c>
      <c r="L1982">
        <v>0</v>
      </c>
      <c r="M1982">
        <v>0</v>
      </c>
    </row>
    <row r="1983" spans="1:13">
      <c r="A1983" s="28">
        <v>376190</v>
      </c>
      <c r="B1983" t="s">
        <v>2125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397</v>
      </c>
      <c r="I1983" t="s">
        <v>397</v>
      </c>
      <c r="J1983">
        <v>8229</v>
      </c>
      <c r="K1983">
        <v>0.88</v>
      </c>
      <c r="L1983">
        <v>0</v>
      </c>
      <c r="M1983">
        <v>0</v>
      </c>
    </row>
    <row r="1984" spans="1:13">
      <c r="A1984" s="28">
        <v>52900</v>
      </c>
      <c r="B1984" t="s">
        <v>2126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397</v>
      </c>
      <c r="I1984" t="s">
        <v>397</v>
      </c>
      <c r="J1984">
        <v>2046</v>
      </c>
      <c r="K1984">
        <v>0.67</v>
      </c>
      <c r="L1984">
        <v>0</v>
      </c>
      <c r="M1984">
        <v>0</v>
      </c>
    </row>
    <row r="1985" spans="1:13">
      <c r="A1985" s="28">
        <v>40</v>
      </c>
      <c r="B1985" t="s">
        <v>2127</v>
      </c>
      <c r="C1985">
        <v>465</v>
      </c>
      <c r="D1985">
        <v>0</v>
      </c>
      <c r="E1985">
        <v>0</v>
      </c>
      <c r="F1985" t="s">
        <v>397</v>
      </c>
      <c r="G1985" t="s">
        <v>397</v>
      </c>
      <c r="H1985" t="s">
        <v>397</v>
      </c>
      <c r="I1985" t="s">
        <v>397</v>
      </c>
      <c r="J1985">
        <v>345</v>
      </c>
      <c r="K1985">
        <v>1.35</v>
      </c>
      <c r="L1985">
        <v>0</v>
      </c>
      <c r="M1985">
        <v>0</v>
      </c>
    </row>
    <row r="1986" spans="1:13">
      <c r="A1986" s="28">
        <v>15590</v>
      </c>
      <c r="B1986" t="s">
        <v>2128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397</v>
      </c>
      <c r="I1986" t="s">
        <v>397</v>
      </c>
      <c r="J1986">
        <v>475</v>
      </c>
      <c r="K1986">
        <v>0.8</v>
      </c>
      <c r="L1986">
        <v>0</v>
      </c>
      <c r="M1986">
        <v>0</v>
      </c>
    </row>
    <row r="1987" spans="1:13">
      <c r="A1987" s="28">
        <v>33180</v>
      </c>
      <c r="B1987" t="s">
        <v>2129</v>
      </c>
      <c r="C1987">
        <v>6630</v>
      </c>
      <c r="D1987">
        <v>0</v>
      </c>
      <c r="E1987">
        <v>0</v>
      </c>
      <c r="F1987" t="s">
        <v>397</v>
      </c>
      <c r="G1987" t="s">
        <v>397</v>
      </c>
      <c r="H1987" t="s">
        <v>397</v>
      </c>
      <c r="I1987" t="s">
        <v>397</v>
      </c>
      <c r="J1987">
        <v>41565</v>
      </c>
      <c r="K1987">
        <v>0.16</v>
      </c>
      <c r="L1987">
        <v>0</v>
      </c>
      <c r="M1987">
        <v>0</v>
      </c>
    </row>
    <row r="1988" spans="1:13">
      <c r="A1988" s="28">
        <v>111870</v>
      </c>
      <c r="B1988" t="s">
        <v>2130</v>
      </c>
      <c r="C1988">
        <v>2970</v>
      </c>
      <c r="D1988">
        <v>0</v>
      </c>
      <c r="E1988">
        <v>0</v>
      </c>
      <c r="F1988" t="s">
        <v>397</v>
      </c>
      <c r="G1988" t="s">
        <v>397</v>
      </c>
      <c r="H1988" t="s">
        <v>397</v>
      </c>
      <c r="I1988" t="s">
        <v>397</v>
      </c>
      <c r="J1988">
        <v>10545</v>
      </c>
      <c r="K1988">
        <v>0.28000000000000003</v>
      </c>
      <c r="L1988">
        <v>0</v>
      </c>
      <c r="M1988">
        <v>0</v>
      </c>
    </row>
    <row r="1989" spans="1:13">
      <c r="A1989" s="28">
        <v>226360</v>
      </c>
      <c r="B1989" t="s">
        <v>2131</v>
      </c>
      <c r="C1989">
        <v>319</v>
      </c>
      <c r="D1989">
        <v>0</v>
      </c>
      <c r="E1989">
        <v>0</v>
      </c>
      <c r="F1989" t="s">
        <v>397</v>
      </c>
      <c r="G1989" t="s">
        <v>397</v>
      </c>
      <c r="H1989" t="s">
        <v>397</v>
      </c>
      <c r="I1989" t="s">
        <v>397</v>
      </c>
      <c r="J1989">
        <v>883</v>
      </c>
      <c r="K1989">
        <v>0.36</v>
      </c>
      <c r="L1989">
        <v>0</v>
      </c>
      <c r="M1989">
        <v>0</v>
      </c>
    </row>
    <row r="1990" spans="1:13">
      <c r="A1990" s="28">
        <v>36540</v>
      </c>
      <c r="B1990" t="s">
        <v>2132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>
      <c r="A1991" s="28">
        <v>40610</v>
      </c>
      <c r="B1991" t="s">
        <v>2133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397</v>
      </c>
      <c r="I1991" t="s">
        <v>397</v>
      </c>
      <c r="J1991">
        <v>9276</v>
      </c>
      <c r="K1991">
        <v>0.18</v>
      </c>
      <c r="L1991">
        <v>0</v>
      </c>
      <c r="M1991">
        <v>0</v>
      </c>
    </row>
    <row r="1992" spans="1:13">
      <c r="A1992" s="28">
        <v>114190</v>
      </c>
      <c r="B1992" t="s">
        <v>2134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397</v>
      </c>
      <c r="I1992" t="s">
        <v>397</v>
      </c>
      <c r="J1992">
        <v>1237</v>
      </c>
      <c r="K1992">
        <v>16.010000000000002</v>
      </c>
      <c r="L1992">
        <v>0</v>
      </c>
      <c r="M1992">
        <v>0</v>
      </c>
    </row>
    <row r="1993" spans="1:13">
      <c r="A1993" s="28">
        <v>77970</v>
      </c>
      <c r="B1993" t="s">
        <v>2135</v>
      </c>
      <c r="C1993">
        <v>13260</v>
      </c>
      <c r="D1993">
        <v>-300</v>
      </c>
      <c r="E1993">
        <v>-2.21</v>
      </c>
      <c r="F1993" t="s">
        <v>397</v>
      </c>
      <c r="G1993" t="s">
        <v>397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>
      <c r="A1994" s="28">
        <v>36620</v>
      </c>
      <c r="B1994" t="s">
        <v>2136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>
      <c r="A1995" s="28">
        <v>399720</v>
      </c>
      <c r="B1995" t="s">
        <v>2137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>
      <c r="A1996" s="28">
        <v>52220</v>
      </c>
      <c r="B1996" t="s">
        <v>2138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397</v>
      </c>
      <c r="I1996" t="s">
        <v>397</v>
      </c>
      <c r="J1996">
        <v>2431</v>
      </c>
      <c r="K1996">
        <v>1.35</v>
      </c>
      <c r="L1996">
        <v>0</v>
      </c>
      <c r="M1996">
        <v>0</v>
      </c>
    </row>
    <row r="1997" spans="1:13">
      <c r="A1997" s="28">
        <v>37270</v>
      </c>
      <c r="B1997" t="s">
        <v>2139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397</v>
      </c>
      <c r="I1997" t="s">
        <v>397</v>
      </c>
      <c r="J1997">
        <v>2248</v>
      </c>
      <c r="K1997">
        <v>1.87</v>
      </c>
      <c r="L1997">
        <v>0</v>
      </c>
      <c r="M1997">
        <v>0</v>
      </c>
    </row>
    <row r="1998" spans="1:13">
      <c r="A1998" s="28">
        <v>317240</v>
      </c>
      <c r="B1998" t="s">
        <v>2140</v>
      </c>
      <c r="C1998">
        <v>377</v>
      </c>
      <c r="D1998">
        <v>10</v>
      </c>
      <c r="E1998">
        <v>2.72</v>
      </c>
      <c r="F1998" t="s">
        <v>397</v>
      </c>
      <c r="G1998" t="s">
        <v>397</v>
      </c>
      <c r="H1998" t="s">
        <v>397</v>
      </c>
      <c r="I1998" t="s">
        <v>397</v>
      </c>
      <c r="J1998">
        <v>190</v>
      </c>
      <c r="K1998">
        <v>1.98</v>
      </c>
      <c r="L1998">
        <v>0</v>
      </c>
      <c r="M1998">
        <v>0</v>
      </c>
    </row>
    <row r="1999" spans="1:13">
      <c r="A1999" s="28">
        <v>22220</v>
      </c>
      <c r="B1999" t="s">
        <v>2141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397</v>
      </c>
      <c r="I1999" t="s">
        <v>397</v>
      </c>
      <c r="J1999">
        <v>1824</v>
      </c>
      <c r="K1999">
        <v>0.61</v>
      </c>
      <c r="L1999">
        <v>0</v>
      </c>
      <c r="M1999">
        <v>0</v>
      </c>
    </row>
    <row r="2000" spans="1:13">
      <c r="A2000" s="28">
        <v>161570</v>
      </c>
      <c r="B2000" t="s">
        <v>2142</v>
      </c>
      <c r="C2000">
        <v>366</v>
      </c>
      <c r="D2000">
        <v>0</v>
      </c>
      <c r="E2000">
        <v>0</v>
      </c>
      <c r="F2000" t="s">
        <v>397</v>
      </c>
      <c r="G2000" t="s">
        <v>397</v>
      </c>
      <c r="H2000" t="s">
        <v>397</v>
      </c>
      <c r="I2000" t="s">
        <v>397</v>
      </c>
      <c r="J2000">
        <v>858</v>
      </c>
      <c r="K2000">
        <v>0.43</v>
      </c>
      <c r="L2000">
        <v>0</v>
      </c>
      <c r="M2000">
        <v>0</v>
      </c>
    </row>
    <row r="2001" spans="1:13">
      <c r="A2001" s="28">
        <v>89230</v>
      </c>
      <c r="B2001" t="s">
        <v>2143</v>
      </c>
      <c r="C2001">
        <v>1934</v>
      </c>
      <c r="D2001">
        <v>78</v>
      </c>
      <c r="E2001">
        <v>4.2</v>
      </c>
      <c r="F2001" t="s">
        <v>397</v>
      </c>
      <c r="G2001" t="s">
        <v>397</v>
      </c>
      <c r="H2001" t="s">
        <v>397</v>
      </c>
      <c r="I2001" t="s">
        <v>397</v>
      </c>
      <c r="J2001">
        <v>3400</v>
      </c>
      <c r="K2001">
        <v>0.56999999999999995</v>
      </c>
      <c r="L2001">
        <v>0</v>
      </c>
      <c r="M2001">
        <v>0</v>
      </c>
    </row>
    <row r="2002" spans="1:13">
      <c r="A2002" s="28">
        <v>84870</v>
      </c>
      <c r="B2002" t="s">
        <v>2144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397</v>
      </c>
      <c r="I2002" t="s">
        <v>397</v>
      </c>
      <c r="J2002">
        <v>2886</v>
      </c>
      <c r="K2002">
        <v>0.56999999999999995</v>
      </c>
      <c r="L2002">
        <v>0</v>
      </c>
      <c r="M2002">
        <v>0</v>
      </c>
    </row>
    <row r="2003" spans="1:13">
      <c r="A2003" s="28">
        <v>2820</v>
      </c>
      <c r="B2003" t="s">
        <v>2145</v>
      </c>
      <c r="C2003">
        <v>2400</v>
      </c>
      <c r="D2003">
        <v>-85</v>
      </c>
      <c r="E2003">
        <v>-3.42</v>
      </c>
      <c r="F2003" t="s">
        <v>397</v>
      </c>
      <c r="G2003" t="s">
        <v>397</v>
      </c>
      <c r="H2003" t="s">
        <v>397</v>
      </c>
      <c r="I2003" t="s">
        <v>397</v>
      </c>
      <c r="J2003">
        <v>12936</v>
      </c>
      <c r="K2003">
        <v>0.19</v>
      </c>
      <c r="L2003">
        <v>0</v>
      </c>
      <c r="M2003">
        <v>0</v>
      </c>
    </row>
    <row r="2004" spans="1:13">
      <c r="A2004" s="28">
        <v>71970</v>
      </c>
      <c r="B2004" t="s">
        <v>2146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>
      <c r="A2005" s="28">
        <v>465770</v>
      </c>
      <c r="B2005" t="s">
        <v>2147</v>
      </c>
      <c r="C2005">
        <v>8500</v>
      </c>
      <c r="D2005">
        <v>-240</v>
      </c>
      <c r="E2005">
        <v>-2.75</v>
      </c>
      <c r="F2005" t="s">
        <v>397</v>
      </c>
      <c r="G2005" t="s">
        <v>397</v>
      </c>
      <c r="H2005" t="s">
        <v>397</v>
      </c>
      <c r="I2005" t="s">
        <v>397</v>
      </c>
      <c r="J2005" t="s">
        <v>397</v>
      </c>
      <c r="K2005" t="s">
        <v>397</v>
      </c>
      <c r="L2005">
        <v>0</v>
      </c>
      <c r="M2005">
        <v>0</v>
      </c>
    </row>
    <row r="2006" spans="1:13">
      <c r="A2006" s="28">
        <v>49470</v>
      </c>
      <c r="B2006" t="s">
        <v>2148</v>
      </c>
      <c r="C2006">
        <v>403</v>
      </c>
      <c r="D2006">
        <v>-107</v>
      </c>
      <c r="E2006">
        <v>-20.98</v>
      </c>
      <c r="F2006" t="s">
        <v>397</v>
      </c>
      <c r="G2006" t="s">
        <v>397</v>
      </c>
      <c r="H2006" t="s">
        <v>397</v>
      </c>
      <c r="I2006" t="s">
        <v>397</v>
      </c>
      <c r="J2006">
        <v>790</v>
      </c>
      <c r="K2006">
        <v>0.51</v>
      </c>
      <c r="L2006">
        <v>0</v>
      </c>
      <c r="M2006">
        <v>0</v>
      </c>
    </row>
    <row r="2007" spans="1:13">
      <c r="A2007" s="28">
        <v>11810</v>
      </c>
      <c r="B2007" t="s">
        <v>2149</v>
      </c>
      <c r="C2007">
        <v>9170</v>
      </c>
      <c r="D2007">
        <v>-150</v>
      </c>
      <c r="E2007">
        <v>-1.61</v>
      </c>
      <c r="F2007" t="s">
        <v>397</v>
      </c>
      <c r="G2007" t="s">
        <v>397</v>
      </c>
      <c r="H2007" t="s">
        <v>397</v>
      </c>
      <c r="I2007" t="s">
        <v>397</v>
      </c>
      <c r="J2007">
        <v>1647</v>
      </c>
      <c r="K2007">
        <v>5.57</v>
      </c>
      <c r="L2007">
        <v>0</v>
      </c>
      <c r="M2007">
        <v>0</v>
      </c>
    </row>
    <row r="2008" spans="1:13">
      <c r="A2008" s="28">
        <v>63440</v>
      </c>
      <c r="B2008" t="s">
        <v>2150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397</v>
      </c>
      <c r="I2008" t="s">
        <v>397</v>
      </c>
      <c r="J2008">
        <v>1136</v>
      </c>
      <c r="K2008">
        <v>1.57</v>
      </c>
      <c r="L2008">
        <v>0</v>
      </c>
      <c r="M2008">
        <v>0</v>
      </c>
    </row>
    <row r="2009" spans="1:13">
      <c r="A2009" s="28">
        <v>48550</v>
      </c>
      <c r="B2009" t="s">
        <v>2151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397</v>
      </c>
      <c r="I2009" t="s">
        <v>397</v>
      </c>
      <c r="J2009">
        <v>1115</v>
      </c>
      <c r="K2009">
        <v>1.5</v>
      </c>
      <c r="L2009">
        <v>0</v>
      </c>
      <c r="M2009">
        <v>0</v>
      </c>
    </row>
    <row r="2010" spans="1:13">
      <c r="A2010" s="28">
        <v>100090</v>
      </c>
      <c r="B2010" t="s">
        <v>2152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>
      <c r="A2011" s="28">
        <v>361610</v>
      </c>
      <c r="B2011" t="s">
        <v>2153</v>
      </c>
      <c r="C2011">
        <v>72600</v>
      </c>
      <c r="D2011">
        <v>-2400</v>
      </c>
      <c r="E2011">
        <v>-3.2</v>
      </c>
      <c r="F2011" t="s">
        <v>397</v>
      </c>
      <c r="G2011" t="s">
        <v>397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>
      <c r="A2012" s="28">
        <v>402340</v>
      </c>
      <c r="B2012" t="s">
        <v>2154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>
      <c r="A2013" s="28">
        <v>326030</v>
      </c>
      <c r="B2013" t="s">
        <v>2155</v>
      </c>
      <c r="C2013">
        <v>93900</v>
      </c>
      <c r="D2013">
        <v>-2100</v>
      </c>
      <c r="E2013">
        <v>-2.19</v>
      </c>
      <c r="F2013" t="s">
        <v>397</v>
      </c>
      <c r="G2013" t="s">
        <v>397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>
      <c r="A2014" s="28">
        <v>302440</v>
      </c>
      <c r="B2014" t="s">
        <v>2156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397</v>
      </c>
      <c r="I2014" t="s">
        <v>397</v>
      </c>
      <c r="J2014">
        <v>22683</v>
      </c>
      <c r="K2014">
        <v>2.67</v>
      </c>
      <c r="L2014">
        <v>0</v>
      </c>
      <c r="M2014">
        <v>0</v>
      </c>
    </row>
    <row r="2015" spans="1:13">
      <c r="A2015" s="28">
        <v>4060</v>
      </c>
      <c r="B2015" t="s">
        <v>2157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397</v>
      </c>
      <c r="I2015" t="s">
        <v>397</v>
      </c>
      <c r="J2015">
        <v>1234</v>
      </c>
      <c r="K2015">
        <v>0.35</v>
      </c>
      <c r="L2015">
        <v>0</v>
      </c>
      <c r="M2015">
        <v>0</v>
      </c>
    </row>
    <row r="2016" spans="1:13">
      <c r="A2016" s="28">
        <v>1380</v>
      </c>
      <c r="B2016" t="s">
        <v>2158</v>
      </c>
      <c r="C2016">
        <v>2280</v>
      </c>
      <c r="D2016">
        <v>35</v>
      </c>
      <c r="E2016">
        <v>1.56</v>
      </c>
      <c r="F2016" t="s">
        <v>397</v>
      </c>
      <c r="G2016" t="s">
        <v>397</v>
      </c>
      <c r="H2016" t="s">
        <v>397</v>
      </c>
      <c r="I2016" t="s">
        <v>397</v>
      </c>
      <c r="J2016">
        <v>2695</v>
      </c>
      <c r="K2016">
        <v>0.85</v>
      </c>
      <c r="L2016">
        <v>0</v>
      </c>
      <c r="M2016">
        <v>0</v>
      </c>
    </row>
    <row r="2017" spans="1:13">
      <c r="A2017" s="28">
        <v>184230</v>
      </c>
      <c r="B2017" t="s">
        <v>2159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397</v>
      </c>
      <c r="I2017" t="s">
        <v>397</v>
      </c>
      <c r="J2017">
        <v>865</v>
      </c>
      <c r="K2017">
        <v>0.8</v>
      </c>
      <c r="L2017">
        <v>0</v>
      </c>
      <c r="M2017">
        <v>0</v>
      </c>
    </row>
    <row r="2018" spans="1:13">
      <c r="A2018" s="28">
        <v>3620</v>
      </c>
      <c r="B2018" t="s">
        <v>2160</v>
      </c>
      <c r="C2018">
        <v>7840</v>
      </c>
      <c r="D2018">
        <v>-50</v>
      </c>
      <c r="E2018">
        <v>-0.63</v>
      </c>
      <c r="F2018" t="s">
        <v>397</v>
      </c>
      <c r="G2018" t="s">
        <v>397</v>
      </c>
      <c r="H2018" t="s">
        <v>397</v>
      </c>
      <c r="I2018" t="s">
        <v>397</v>
      </c>
      <c r="J2018">
        <v>5846</v>
      </c>
      <c r="K2018">
        <v>1.34</v>
      </c>
      <c r="L2018">
        <v>0</v>
      </c>
      <c r="M2018">
        <v>0</v>
      </c>
    </row>
    <row r="2019" spans="1:13">
      <c r="A2019" s="28">
        <v>44180</v>
      </c>
      <c r="B2019" t="s">
        <v>2161</v>
      </c>
      <c r="C2019">
        <v>679</v>
      </c>
      <c r="D2019">
        <v>5</v>
      </c>
      <c r="E2019">
        <v>0.74</v>
      </c>
      <c r="F2019" t="s">
        <v>397</v>
      </c>
      <c r="G2019" t="s">
        <v>397</v>
      </c>
      <c r="H2019" t="s">
        <v>397</v>
      </c>
      <c r="I2019" t="s">
        <v>397</v>
      </c>
      <c r="J2019">
        <v>1464</v>
      </c>
      <c r="K2019">
        <v>0.46</v>
      </c>
      <c r="L2019">
        <v>0</v>
      </c>
      <c r="M2019">
        <v>0</v>
      </c>
    </row>
    <row r="2020" spans="1:13">
      <c r="A2020" s="28">
        <v>119650</v>
      </c>
      <c r="B2020" t="s">
        <v>2162</v>
      </c>
      <c r="C2020">
        <v>1369</v>
      </c>
      <c r="D2020">
        <v>-9</v>
      </c>
      <c r="E2020">
        <v>-0.65</v>
      </c>
      <c r="F2020" t="s">
        <v>397</v>
      </c>
      <c r="G2020" t="s">
        <v>397</v>
      </c>
      <c r="H2020" t="s">
        <v>397</v>
      </c>
      <c r="I2020" t="s">
        <v>397</v>
      </c>
      <c r="J2020">
        <v>1562</v>
      </c>
      <c r="K2020">
        <v>0.88</v>
      </c>
      <c r="L2020">
        <v>0</v>
      </c>
      <c r="M2020">
        <v>0</v>
      </c>
    </row>
    <row r="2021" spans="1:13">
      <c r="A2021" s="28">
        <v>83660</v>
      </c>
      <c r="B2021" t="s">
        <v>2163</v>
      </c>
      <c r="C2021">
        <v>1244</v>
      </c>
      <c r="D2021">
        <v>-2</v>
      </c>
      <c r="E2021">
        <v>-0.16</v>
      </c>
      <c r="F2021" t="s">
        <v>397</v>
      </c>
      <c r="G2021" t="s">
        <v>397</v>
      </c>
      <c r="H2021" t="s">
        <v>397</v>
      </c>
      <c r="I2021" t="s">
        <v>397</v>
      </c>
      <c r="J2021">
        <v>79</v>
      </c>
      <c r="K2021">
        <v>15.75</v>
      </c>
      <c r="L2021">
        <v>0</v>
      </c>
      <c r="M2021">
        <v>0</v>
      </c>
    </row>
    <row r="2022" spans="1:13">
      <c r="A2022" s="28">
        <v>214270</v>
      </c>
      <c r="B2022" t="s">
        <v>2164</v>
      </c>
      <c r="C2022">
        <v>2835</v>
      </c>
      <c r="D2022">
        <v>10</v>
      </c>
      <c r="E2022">
        <v>0.35</v>
      </c>
      <c r="F2022" t="s">
        <v>397</v>
      </c>
      <c r="G2022" t="s">
        <v>397</v>
      </c>
      <c r="H2022" t="s">
        <v>397</v>
      </c>
      <c r="I2022" t="s">
        <v>397</v>
      </c>
      <c r="J2022">
        <v>3566</v>
      </c>
      <c r="K2022">
        <v>0.8</v>
      </c>
      <c r="L2022">
        <v>0</v>
      </c>
      <c r="M2022">
        <v>0</v>
      </c>
    </row>
    <row r="2023" spans="1:13">
      <c r="A2023" s="28">
        <v>50120</v>
      </c>
      <c r="B2023" t="s">
        <v>2165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397</v>
      </c>
      <c r="I2023" t="s">
        <v>397</v>
      </c>
      <c r="J2023">
        <v>8242</v>
      </c>
      <c r="K2023">
        <v>0.32</v>
      </c>
      <c r="L2023">
        <v>0</v>
      </c>
      <c r="M2023">
        <v>0</v>
      </c>
    </row>
    <row r="2024" spans="1:13">
      <c r="A2024" s="28">
        <v>37370</v>
      </c>
      <c r="B2024" t="s">
        <v>2166</v>
      </c>
      <c r="C2024">
        <v>9660</v>
      </c>
      <c r="D2024">
        <v>-130</v>
      </c>
      <c r="E2024">
        <v>-1.33</v>
      </c>
      <c r="F2024" t="s">
        <v>397</v>
      </c>
      <c r="G2024" t="s">
        <v>397</v>
      </c>
      <c r="H2024" t="s">
        <v>397</v>
      </c>
      <c r="I2024" t="s">
        <v>397</v>
      </c>
      <c r="J2024">
        <v>7337</v>
      </c>
      <c r="K2024">
        <v>1.32</v>
      </c>
      <c r="L2024">
        <v>0</v>
      </c>
      <c r="M2024">
        <v>0</v>
      </c>
    </row>
    <row r="2025" spans="1:13">
      <c r="A2025" s="28">
        <v>245620</v>
      </c>
      <c r="B2025" t="s">
        <v>2167</v>
      </c>
      <c r="C2025">
        <v>501</v>
      </c>
      <c r="D2025">
        <v>-27</v>
      </c>
      <c r="E2025">
        <v>-5.1100000000000003</v>
      </c>
      <c r="F2025" t="s">
        <v>397</v>
      </c>
      <c r="G2025" t="s">
        <v>397</v>
      </c>
      <c r="H2025" t="s">
        <v>397</v>
      </c>
      <c r="I2025" t="s">
        <v>397</v>
      </c>
      <c r="J2025">
        <v>350</v>
      </c>
      <c r="K2025">
        <v>1.43</v>
      </c>
      <c r="L2025">
        <v>0</v>
      </c>
      <c r="M2025">
        <v>0</v>
      </c>
    </row>
    <row r="2026" spans="1:13">
      <c r="A2026" s="28">
        <v>180400</v>
      </c>
      <c r="B2026" t="s">
        <v>2168</v>
      </c>
      <c r="C2026">
        <v>3895</v>
      </c>
      <c r="D2026">
        <v>-110</v>
      </c>
      <c r="E2026">
        <v>-2.75</v>
      </c>
      <c r="F2026" t="s">
        <v>397</v>
      </c>
      <c r="G2026" t="s">
        <v>397</v>
      </c>
      <c r="H2026" t="s">
        <v>397</v>
      </c>
      <c r="I2026" t="s">
        <v>397</v>
      </c>
      <c r="J2026">
        <v>1184</v>
      </c>
      <c r="K2026">
        <v>3.29</v>
      </c>
      <c r="L2026">
        <v>0</v>
      </c>
      <c r="M2026">
        <v>0</v>
      </c>
    </row>
    <row r="2027" spans="1:13">
      <c r="A2027" s="28">
        <v>17860</v>
      </c>
      <c r="B2027" t="s">
        <v>2169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397</v>
      </c>
      <c r="I2027" t="s">
        <v>397</v>
      </c>
      <c r="J2027">
        <v>28146</v>
      </c>
      <c r="K2027">
        <v>5.66</v>
      </c>
      <c r="L2027">
        <v>0</v>
      </c>
      <c r="M2027">
        <v>0</v>
      </c>
    </row>
    <row r="2028" spans="1:13">
      <c r="A2028" s="28">
        <v>241520</v>
      </c>
      <c r="B2028" t="s">
        <v>2170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397</v>
      </c>
      <c r="I2028" t="s">
        <v>397</v>
      </c>
      <c r="J2028">
        <v>3364</v>
      </c>
      <c r="K2028">
        <v>1.24</v>
      </c>
      <c r="L2028">
        <v>0</v>
      </c>
      <c r="M2028">
        <v>0</v>
      </c>
    </row>
    <row r="2029" spans="1:13">
      <c r="A2029" s="28">
        <v>25440</v>
      </c>
      <c r="B2029" t="s">
        <v>2171</v>
      </c>
      <c r="C2029">
        <v>1930</v>
      </c>
      <c r="D2029">
        <v>-6</v>
      </c>
      <c r="E2029">
        <v>-0.31</v>
      </c>
      <c r="F2029" t="s">
        <v>397</v>
      </c>
      <c r="G2029" t="s">
        <v>397</v>
      </c>
      <c r="H2029" t="s">
        <v>397</v>
      </c>
      <c r="I2029" t="s">
        <v>397</v>
      </c>
      <c r="J2029">
        <v>2195</v>
      </c>
      <c r="K2029">
        <v>0.88</v>
      </c>
      <c r="L2029">
        <v>0</v>
      </c>
      <c r="M2029">
        <v>0</v>
      </c>
    </row>
    <row r="2030" spans="1:13">
      <c r="A2030" s="28">
        <v>60900</v>
      </c>
      <c r="B2030" t="s">
        <v>2172</v>
      </c>
      <c r="C2030">
        <v>1480</v>
      </c>
      <c r="D2030">
        <v>-77</v>
      </c>
      <c r="E2030">
        <v>-4.95</v>
      </c>
      <c r="F2030" t="s">
        <v>397</v>
      </c>
      <c r="G2030" t="s">
        <v>397</v>
      </c>
      <c r="H2030" t="s">
        <v>397</v>
      </c>
      <c r="I2030" t="s">
        <v>397</v>
      </c>
      <c r="J2030">
        <v>1740</v>
      </c>
      <c r="K2030">
        <v>0.85</v>
      </c>
      <c r="L2030">
        <v>0</v>
      </c>
      <c r="M2030">
        <v>0</v>
      </c>
    </row>
    <row r="2031" spans="1:13">
      <c r="A2031" s="28">
        <v>456440</v>
      </c>
      <c r="B2031" t="s">
        <v>2173</v>
      </c>
      <c r="C2031">
        <v>2270</v>
      </c>
      <c r="D2031">
        <v>10</v>
      </c>
      <c r="E2031">
        <v>0.44</v>
      </c>
      <c r="F2031" t="s">
        <v>397</v>
      </c>
      <c r="G2031" t="s">
        <v>397</v>
      </c>
      <c r="H2031" t="s">
        <v>397</v>
      </c>
      <c r="I2031" t="s">
        <v>397</v>
      </c>
      <c r="J2031" t="s">
        <v>397</v>
      </c>
      <c r="K2031" t="s">
        <v>397</v>
      </c>
      <c r="L2031">
        <v>0</v>
      </c>
      <c r="M2031">
        <v>0</v>
      </c>
    </row>
    <row r="2032" spans="1:13">
      <c r="A2032" s="28">
        <v>12030</v>
      </c>
      <c r="B2032" t="s">
        <v>2174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397</v>
      </c>
      <c r="I2032" t="s">
        <v>397</v>
      </c>
      <c r="J2032">
        <v>1492</v>
      </c>
      <c r="K2032">
        <v>1.0900000000000001</v>
      </c>
      <c r="L2032">
        <v>0</v>
      </c>
      <c r="M2032">
        <v>0</v>
      </c>
    </row>
    <row r="2033" spans="1:13">
      <c r="A2033" s="28">
        <v>65770</v>
      </c>
      <c r="B2033" t="s">
        <v>2175</v>
      </c>
      <c r="C2033">
        <v>1237</v>
      </c>
      <c r="D2033">
        <v>-13</v>
      </c>
      <c r="E2033">
        <v>-1.04</v>
      </c>
      <c r="F2033" t="s">
        <v>397</v>
      </c>
      <c r="G2033" t="s">
        <v>397</v>
      </c>
      <c r="H2033" t="s">
        <v>397</v>
      </c>
      <c r="I2033" t="s">
        <v>397</v>
      </c>
      <c r="J2033">
        <v>936</v>
      </c>
      <c r="K2033">
        <v>1.32</v>
      </c>
      <c r="L2033">
        <v>0</v>
      </c>
      <c r="M2033">
        <v>0</v>
      </c>
    </row>
    <row r="2034" spans="1:13">
      <c r="A2034" s="28">
        <v>464680</v>
      </c>
      <c r="B2034" t="s">
        <v>2176</v>
      </c>
      <c r="C2034">
        <v>1999</v>
      </c>
      <c r="D2034">
        <v>2</v>
      </c>
      <c r="E2034">
        <v>0.1</v>
      </c>
      <c r="F2034" t="s">
        <v>397</v>
      </c>
      <c r="G2034" t="s">
        <v>397</v>
      </c>
      <c r="H2034" t="s">
        <v>397</v>
      </c>
      <c r="I2034" t="s">
        <v>397</v>
      </c>
      <c r="J2034" t="s">
        <v>397</v>
      </c>
      <c r="K2034" t="s">
        <v>397</v>
      </c>
      <c r="L2034">
        <v>0</v>
      </c>
      <c r="M2034">
        <v>0</v>
      </c>
    </row>
    <row r="2035" spans="1:13">
      <c r="A2035" s="28">
        <v>56730</v>
      </c>
      <c r="B2035" t="s">
        <v>2177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397</v>
      </c>
      <c r="I2035" t="s">
        <v>397</v>
      </c>
      <c r="J2035">
        <v>569</v>
      </c>
      <c r="K2035">
        <v>2.0699999999999998</v>
      </c>
      <c r="L2035">
        <v>0</v>
      </c>
      <c r="M2035">
        <v>0</v>
      </c>
    </row>
    <row r="2036" spans="1:13">
      <c r="A2036" s="28">
        <v>58820</v>
      </c>
      <c r="B2036" t="s">
        <v>2178</v>
      </c>
      <c r="C2036">
        <v>2170</v>
      </c>
      <c r="D2036">
        <v>-25</v>
      </c>
      <c r="E2036">
        <v>-1.1399999999999999</v>
      </c>
      <c r="F2036" t="s">
        <v>397</v>
      </c>
      <c r="G2036" t="s">
        <v>397</v>
      </c>
      <c r="H2036" t="s">
        <v>397</v>
      </c>
      <c r="I2036" t="s">
        <v>397</v>
      </c>
      <c r="J2036">
        <v>1332</v>
      </c>
      <c r="K2036">
        <v>1.63</v>
      </c>
      <c r="L2036">
        <v>0</v>
      </c>
      <c r="M2036">
        <v>0</v>
      </c>
    </row>
    <row r="2037" spans="1:13">
      <c r="A2037" s="28">
        <v>11155</v>
      </c>
      <c r="B2037" t="s">
        <v>2179</v>
      </c>
      <c r="C2037">
        <v>19950</v>
      </c>
      <c r="D2037">
        <v>80</v>
      </c>
      <c r="E2037">
        <v>0.4</v>
      </c>
      <c r="F2037" t="s">
        <v>397</v>
      </c>
      <c r="G2037" t="s">
        <v>397</v>
      </c>
      <c r="H2037" t="s">
        <v>397</v>
      </c>
      <c r="I2037" t="s">
        <v>397</v>
      </c>
      <c r="J2037" t="s">
        <v>397</v>
      </c>
      <c r="K2037" t="s">
        <v>397</v>
      </c>
      <c r="L2037">
        <v>0</v>
      </c>
      <c r="M2037">
        <v>0</v>
      </c>
    </row>
    <row r="2038" spans="1:13">
      <c r="A2038" s="28">
        <v>11150</v>
      </c>
      <c r="B2038" t="s">
        <v>2180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397</v>
      </c>
      <c r="I2038" t="s">
        <v>397</v>
      </c>
      <c r="J2038">
        <v>2107</v>
      </c>
      <c r="K2038">
        <v>1.28</v>
      </c>
      <c r="L2038">
        <v>0</v>
      </c>
      <c r="M2038">
        <v>0</v>
      </c>
    </row>
    <row r="2039" spans="1:13">
      <c r="A2039" s="28">
        <v>311690</v>
      </c>
      <c r="B2039" t="s">
        <v>2181</v>
      </c>
      <c r="C2039">
        <v>14650</v>
      </c>
      <c r="D2039">
        <v>90</v>
      </c>
      <c r="E2039">
        <v>0.62</v>
      </c>
      <c r="F2039" t="s">
        <v>397</v>
      </c>
      <c r="G2039" t="s">
        <v>397</v>
      </c>
      <c r="H2039" t="s">
        <v>397</v>
      </c>
      <c r="I2039" t="s">
        <v>397</v>
      </c>
      <c r="J2039">
        <v>7423</v>
      </c>
      <c r="K2039">
        <v>1.97</v>
      </c>
      <c r="L2039">
        <v>0</v>
      </c>
      <c r="M2039">
        <v>0</v>
      </c>
    </row>
    <row r="2040" spans="1:13">
      <c r="A2040" s="28">
        <v>35760</v>
      </c>
      <c r="B2040" t="s">
        <v>2182</v>
      </c>
      <c r="C2040">
        <v>76300</v>
      </c>
      <c r="D2040">
        <v>-100</v>
      </c>
      <c r="E2040">
        <v>-0.13</v>
      </c>
      <c r="F2040" t="s">
        <v>397</v>
      </c>
      <c r="G2040" t="s">
        <v>397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>
      <c r="A2041" s="28">
        <v>79160</v>
      </c>
      <c r="B2041" t="s">
        <v>2183</v>
      </c>
      <c r="C2041">
        <v>5670</v>
      </c>
      <c r="D2041">
        <v>-60</v>
      </c>
      <c r="E2041">
        <v>-1.05</v>
      </c>
      <c r="F2041" t="s">
        <v>397</v>
      </c>
      <c r="G2041" t="s">
        <v>397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>
      <c r="A2042" s="28">
        <v>83790</v>
      </c>
      <c r="B2042" t="s">
        <v>2184</v>
      </c>
      <c r="C2042">
        <v>3380</v>
      </c>
      <c r="D2042">
        <v>280</v>
      </c>
      <c r="E2042">
        <v>9.0299999999999994</v>
      </c>
      <c r="F2042" t="s">
        <v>397</v>
      </c>
      <c r="G2042" t="s">
        <v>397</v>
      </c>
      <c r="H2042" t="s">
        <v>397</v>
      </c>
      <c r="I2042" t="s">
        <v>397</v>
      </c>
      <c r="J2042">
        <v>2732</v>
      </c>
      <c r="K2042">
        <v>1.24</v>
      </c>
      <c r="L2042">
        <v>0</v>
      </c>
      <c r="M2042">
        <v>0</v>
      </c>
    </row>
    <row r="2043" spans="1:13">
      <c r="A2043" s="28">
        <v>13720</v>
      </c>
      <c r="B2043" t="s">
        <v>2185</v>
      </c>
      <c r="C2043">
        <v>1738</v>
      </c>
      <c r="D2043">
        <v>-108</v>
      </c>
      <c r="E2043">
        <v>-5.85</v>
      </c>
      <c r="F2043" t="s">
        <v>397</v>
      </c>
      <c r="G2043" t="s">
        <v>397</v>
      </c>
      <c r="H2043" t="s">
        <v>397</v>
      </c>
      <c r="I2043" t="s">
        <v>397</v>
      </c>
      <c r="J2043">
        <v>1580</v>
      </c>
      <c r="K2043">
        <v>1.1000000000000001</v>
      </c>
      <c r="L2043">
        <v>0</v>
      </c>
      <c r="M2043">
        <v>0</v>
      </c>
    </row>
    <row r="2044" spans="1:13">
      <c r="A2044" s="28">
        <v>139050</v>
      </c>
      <c r="B2044" t="s">
        <v>2186</v>
      </c>
      <c r="C2044">
        <v>7730</v>
      </c>
      <c r="D2044">
        <v>510</v>
      </c>
      <c r="E2044">
        <v>7.06</v>
      </c>
      <c r="F2044" t="s">
        <v>397</v>
      </c>
      <c r="G2044" t="s">
        <v>397</v>
      </c>
      <c r="H2044" t="s">
        <v>397</v>
      </c>
      <c r="I2044" t="s">
        <v>397</v>
      </c>
      <c r="J2044">
        <v>5010</v>
      </c>
      <c r="K2044">
        <v>1.54</v>
      </c>
      <c r="L2044">
        <v>0</v>
      </c>
      <c r="M2044">
        <v>0</v>
      </c>
    </row>
    <row r="2045" spans="1:13">
      <c r="A2045" s="28">
        <v>54620</v>
      </c>
      <c r="B2045" t="s">
        <v>2187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397</v>
      </c>
      <c r="I2045" t="s">
        <v>397</v>
      </c>
      <c r="J2045">
        <v>10864</v>
      </c>
      <c r="K2045">
        <v>0.67</v>
      </c>
      <c r="L2045">
        <v>0</v>
      </c>
      <c r="M2045">
        <v>0</v>
      </c>
    </row>
    <row r="2046" spans="1:13">
      <c r="A2046" s="28">
        <v>130500</v>
      </c>
      <c r="B2046" t="s">
        <v>2188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397</v>
      </c>
      <c r="I2046" t="s">
        <v>397</v>
      </c>
      <c r="J2046">
        <v>5072</v>
      </c>
      <c r="K2046">
        <v>0.54</v>
      </c>
      <c r="L2046">
        <v>0</v>
      </c>
      <c r="M2046">
        <v>0</v>
      </c>
    </row>
    <row r="2047" spans="1:13">
      <c r="A2047" s="28">
        <v>114090</v>
      </c>
      <c r="B2047" t="s">
        <v>2189</v>
      </c>
      <c r="C2047">
        <v>12240</v>
      </c>
      <c r="D2047">
        <v>-40</v>
      </c>
      <c r="E2047">
        <v>-0.33</v>
      </c>
      <c r="F2047" t="s">
        <v>397</v>
      </c>
      <c r="G2047" t="s">
        <v>397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>
      <c r="A2048" s="28">
        <v>1250</v>
      </c>
      <c r="B2048" t="s">
        <v>2190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397</v>
      </c>
      <c r="I2048" t="s">
        <v>397</v>
      </c>
      <c r="J2048">
        <v>4813</v>
      </c>
      <c r="K2048">
        <v>0.57999999999999996</v>
      </c>
      <c r="L2048">
        <v>0</v>
      </c>
      <c r="M2048">
        <v>0</v>
      </c>
    </row>
    <row r="2049" spans="1:13">
      <c r="A2049" s="28">
        <v>440290</v>
      </c>
      <c r="B2049" t="s">
        <v>2191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397</v>
      </c>
      <c r="I2049" t="s">
        <v>397</v>
      </c>
      <c r="J2049">
        <v>2444</v>
      </c>
      <c r="K2049">
        <v>1.32</v>
      </c>
      <c r="L2049">
        <v>0</v>
      </c>
      <c r="M2049">
        <v>0</v>
      </c>
    </row>
    <row r="2050" spans="1:13">
      <c r="A2050" s="28">
        <v>458320</v>
      </c>
      <c r="B2050" t="s">
        <v>2192</v>
      </c>
      <c r="C2050">
        <v>2300</v>
      </c>
      <c r="D2050">
        <v>-80</v>
      </c>
      <c r="E2050">
        <v>-3.36</v>
      </c>
      <c r="F2050" t="s">
        <v>397</v>
      </c>
      <c r="G2050" t="s">
        <v>397</v>
      </c>
      <c r="H2050" t="s">
        <v>397</v>
      </c>
      <c r="I2050" t="s">
        <v>397</v>
      </c>
      <c r="J2050" t="s">
        <v>397</v>
      </c>
      <c r="K2050" t="s">
        <v>397</v>
      </c>
      <c r="L2050">
        <v>0</v>
      </c>
      <c r="M2050">
        <v>0</v>
      </c>
    </row>
    <row r="2051" spans="1:13">
      <c r="A2051" s="28">
        <v>455250</v>
      </c>
      <c r="B2051" t="s">
        <v>2193</v>
      </c>
      <c r="C2051">
        <v>2200</v>
      </c>
      <c r="D2051">
        <v>5</v>
      </c>
      <c r="E2051">
        <v>0.23</v>
      </c>
      <c r="F2051" t="s">
        <v>397</v>
      </c>
      <c r="G2051" t="s">
        <v>397</v>
      </c>
      <c r="H2051" t="s">
        <v>397</v>
      </c>
      <c r="I2051" t="s">
        <v>397</v>
      </c>
      <c r="J2051" t="s">
        <v>397</v>
      </c>
      <c r="K2051" t="s">
        <v>397</v>
      </c>
      <c r="L2051">
        <v>0</v>
      </c>
      <c r="M2051">
        <v>0</v>
      </c>
    </row>
    <row r="2052" spans="1:13">
      <c r="A2052" s="28">
        <v>24840</v>
      </c>
      <c r="B2052" t="s">
        <v>2194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397</v>
      </c>
      <c r="I2052" t="s">
        <v>397</v>
      </c>
      <c r="J2052">
        <v>3072</v>
      </c>
      <c r="K2052">
        <v>0.46</v>
      </c>
      <c r="L2052">
        <v>0</v>
      </c>
      <c r="M2052">
        <v>0</v>
      </c>
    </row>
    <row r="2053" spans="1:13">
      <c r="A2053" s="28">
        <v>67290</v>
      </c>
      <c r="B2053" t="s">
        <v>2195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397</v>
      </c>
      <c r="I2053" t="s">
        <v>397</v>
      </c>
      <c r="J2053">
        <v>1105</v>
      </c>
      <c r="K2053">
        <v>1.82</v>
      </c>
      <c r="L2053">
        <v>0</v>
      </c>
      <c r="M2053">
        <v>0</v>
      </c>
    </row>
    <row r="2054" spans="1:13">
      <c r="A2054" s="28">
        <v>99520</v>
      </c>
      <c r="B2054" t="s">
        <v>2196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397</v>
      </c>
      <c r="I2054" t="s">
        <v>397</v>
      </c>
      <c r="J2054">
        <v>413</v>
      </c>
      <c r="K2054">
        <v>3.11</v>
      </c>
      <c r="L2054">
        <v>0</v>
      </c>
      <c r="M2054">
        <v>0</v>
      </c>
    </row>
    <row r="2055" spans="1:13">
      <c r="A2055" s="28">
        <v>3560</v>
      </c>
      <c r="B2055" t="s">
        <v>2197</v>
      </c>
      <c r="C2055">
        <v>10760</v>
      </c>
      <c r="D2055">
        <v>0</v>
      </c>
      <c r="E2055">
        <v>0</v>
      </c>
      <c r="F2055" t="s">
        <v>397</v>
      </c>
      <c r="G2055" t="s">
        <v>397</v>
      </c>
      <c r="H2055" t="s">
        <v>397</v>
      </c>
      <c r="I2055" t="s">
        <v>397</v>
      </c>
      <c r="J2055">
        <v>13641</v>
      </c>
      <c r="K2055">
        <v>0.79</v>
      </c>
      <c r="L2055">
        <v>0</v>
      </c>
      <c r="M2055">
        <v>0</v>
      </c>
    </row>
    <row r="2056" spans="1:13">
      <c r="A2056" s="28">
        <v>469480</v>
      </c>
      <c r="B2056" t="s">
        <v>2198</v>
      </c>
      <c r="C2056">
        <v>2185</v>
      </c>
      <c r="D2056">
        <v>10</v>
      </c>
      <c r="E2056">
        <v>0.46</v>
      </c>
      <c r="F2056" t="s">
        <v>397</v>
      </c>
      <c r="G2056" t="s">
        <v>397</v>
      </c>
      <c r="H2056" t="s">
        <v>397</v>
      </c>
      <c r="I2056" t="s">
        <v>397</v>
      </c>
      <c r="J2056" t="s">
        <v>397</v>
      </c>
      <c r="K2056" t="s">
        <v>397</v>
      </c>
      <c r="L2056">
        <v>0</v>
      </c>
      <c r="M2056">
        <v>0</v>
      </c>
    </row>
    <row r="2057" spans="1:13">
      <c r="A2057" s="28">
        <v>467930</v>
      </c>
      <c r="B2057" t="s">
        <v>2199</v>
      </c>
      <c r="C2057">
        <v>2210</v>
      </c>
      <c r="D2057">
        <v>20</v>
      </c>
      <c r="E2057">
        <v>0.91</v>
      </c>
      <c r="F2057" t="s">
        <v>397</v>
      </c>
      <c r="G2057" t="s">
        <v>397</v>
      </c>
      <c r="H2057" t="s">
        <v>397</v>
      </c>
      <c r="I2057" t="s">
        <v>397</v>
      </c>
      <c r="J2057" t="s">
        <v>397</v>
      </c>
      <c r="K2057" t="s">
        <v>397</v>
      </c>
      <c r="L2057">
        <v>0</v>
      </c>
      <c r="M2057">
        <v>0</v>
      </c>
    </row>
    <row r="2058" spans="1:13">
      <c r="A2058" s="28">
        <v>448760</v>
      </c>
      <c r="B2058" t="s">
        <v>2200</v>
      </c>
      <c r="C2058">
        <v>2435</v>
      </c>
      <c r="D2058">
        <v>5</v>
      </c>
      <c r="E2058">
        <v>0.21</v>
      </c>
      <c r="F2058" t="s">
        <v>397</v>
      </c>
      <c r="G2058" t="s">
        <v>397</v>
      </c>
      <c r="H2058" t="s">
        <v>397</v>
      </c>
      <c r="I2058" t="s">
        <v>397</v>
      </c>
      <c r="J2058" t="s">
        <v>397</v>
      </c>
      <c r="K2058" t="s">
        <v>397</v>
      </c>
      <c r="L2058">
        <v>0</v>
      </c>
      <c r="M2058">
        <v>0</v>
      </c>
    </row>
    <row r="2059" spans="1:13">
      <c r="A2059" s="28">
        <v>442770</v>
      </c>
      <c r="B2059" t="s">
        <v>2201</v>
      </c>
      <c r="C2059">
        <v>2455</v>
      </c>
      <c r="D2059">
        <v>5</v>
      </c>
      <c r="E2059">
        <v>0.2</v>
      </c>
      <c r="F2059" t="s">
        <v>397</v>
      </c>
      <c r="G2059" t="s">
        <v>397</v>
      </c>
      <c r="H2059" t="s">
        <v>397</v>
      </c>
      <c r="I2059" t="s">
        <v>397</v>
      </c>
      <c r="J2059" t="s">
        <v>397</v>
      </c>
      <c r="K2059" t="s">
        <v>397</v>
      </c>
      <c r="L2059">
        <v>0</v>
      </c>
      <c r="M2059">
        <v>0</v>
      </c>
    </row>
    <row r="2060" spans="1:13">
      <c r="A2060" s="28">
        <v>439730</v>
      </c>
      <c r="B2060" t="s">
        <v>2202</v>
      </c>
      <c r="C2060">
        <v>2595</v>
      </c>
      <c r="D2060">
        <v>-5</v>
      </c>
      <c r="E2060">
        <v>-0.19</v>
      </c>
      <c r="F2060" t="s">
        <v>397</v>
      </c>
      <c r="G2060" t="s">
        <v>397</v>
      </c>
      <c r="H2060" t="s">
        <v>397</v>
      </c>
      <c r="I2060" t="s">
        <v>397</v>
      </c>
      <c r="J2060" t="s">
        <v>397</v>
      </c>
      <c r="K2060" t="s">
        <v>397</v>
      </c>
      <c r="L2060">
        <v>0</v>
      </c>
      <c r="M2060">
        <v>0</v>
      </c>
    </row>
    <row r="2061" spans="1:13">
      <c r="A2061" s="28">
        <v>46210</v>
      </c>
      <c r="B2061" t="s">
        <v>2203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397</v>
      </c>
      <c r="I2061" t="s">
        <v>397</v>
      </c>
      <c r="J2061">
        <v>986</v>
      </c>
      <c r="K2061">
        <v>4.68</v>
      </c>
      <c r="L2061">
        <v>0</v>
      </c>
      <c r="M2061">
        <v>0</v>
      </c>
    </row>
    <row r="2062" spans="1:13">
      <c r="A2062" s="28">
        <v>115450</v>
      </c>
      <c r="B2062" t="s">
        <v>2204</v>
      </c>
      <c r="C2062">
        <v>10130</v>
      </c>
      <c r="D2062">
        <v>180</v>
      </c>
      <c r="E2062">
        <v>1.81</v>
      </c>
      <c r="F2062" t="s">
        <v>397</v>
      </c>
      <c r="G2062" t="s">
        <v>397</v>
      </c>
      <c r="H2062" t="s">
        <v>397</v>
      </c>
      <c r="I2062" t="s">
        <v>397</v>
      </c>
      <c r="J2062">
        <v>1733</v>
      </c>
      <c r="K2062">
        <v>5.85</v>
      </c>
      <c r="L2062">
        <v>0</v>
      </c>
      <c r="M2062">
        <v>0</v>
      </c>
    </row>
    <row r="2063" spans="1:13">
      <c r="A2063" s="28">
        <v>47920</v>
      </c>
      <c r="B2063" t="s">
        <v>2205</v>
      </c>
      <c r="C2063">
        <v>31750</v>
      </c>
      <c r="D2063">
        <v>2200</v>
      </c>
      <c r="E2063">
        <v>7.45</v>
      </c>
      <c r="F2063" t="s">
        <v>397</v>
      </c>
      <c r="G2063" t="s">
        <v>397</v>
      </c>
      <c r="H2063" t="s">
        <v>397</v>
      </c>
      <c r="I2063" t="s">
        <v>397</v>
      </c>
      <c r="J2063">
        <v>3083</v>
      </c>
      <c r="K2063">
        <v>10.3</v>
      </c>
      <c r="L2063">
        <v>0</v>
      </c>
      <c r="M2063">
        <v>0</v>
      </c>
    </row>
    <row r="2064" spans="1:13">
      <c r="A2064" s="28">
        <v>24850</v>
      </c>
      <c r="B2064" t="s">
        <v>2206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397</v>
      </c>
      <c r="I2064" t="s">
        <v>397</v>
      </c>
      <c r="J2064">
        <v>864</v>
      </c>
      <c r="K2064">
        <v>4.84</v>
      </c>
      <c r="L2064">
        <v>0</v>
      </c>
      <c r="M2064">
        <v>0</v>
      </c>
    </row>
    <row r="2065" spans="1:13">
      <c r="A2065" s="28">
        <v>67630</v>
      </c>
      <c r="B2065" t="s">
        <v>2207</v>
      </c>
      <c r="C2065">
        <v>19290</v>
      </c>
      <c r="D2065">
        <v>0</v>
      </c>
      <c r="E2065">
        <v>0</v>
      </c>
      <c r="F2065" t="s">
        <v>397</v>
      </c>
      <c r="G2065" t="s">
        <v>397</v>
      </c>
      <c r="H2065" t="s">
        <v>397</v>
      </c>
      <c r="I2065" t="s">
        <v>397</v>
      </c>
      <c r="J2065">
        <v>2314</v>
      </c>
      <c r="K2065">
        <v>8.34</v>
      </c>
      <c r="L2065">
        <v>0</v>
      </c>
      <c r="M2065">
        <v>0</v>
      </c>
    </row>
    <row r="2066" spans="1:13">
      <c r="A2066" s="28">
        <v>278650</v>
      </c>
      <c r="B2066" t="s">
        <v>2208</v>
      </c>
      <c r="C2066">
        <v>3885</v>
      </c>
      <c r="D2066">
        <v>-5</v>
      </c>
      <c r="E2066">
        <v>-0.13</v>
      </c>
      <c r="F2066" t="s">
        <v>397</v>
      </c>
      <c r="G2066" t="s">
        <v>397</v>
      </c>
      <c r="H2066" t="s">
        <v>397</v>
      </c>
      <c r="I2066" t="s">
        <v>397</v>
      </c>
      <c r="J2066">
        <v>968</v>
      </c>
      <c r="K2066">
        <v>4.01</v>
      </c>
      <c r="L2066">
        <v>0</v>
      </c>
      <c r="M2066">
        <v>0</v>
      </c>
    </row>
    <row r="2067" spans="1:13">
      <c r="A2067" s="28">
        <v>3580</v>
      </c>
      <c r="B2067" t="s">
        <v>2209</v>
      </c>
      <c r="C2067">
        <v>7040</v>
      </c>
      <c r="D2067">
        <v>170</v>
      </c>
      <c r="E2067">
        <v>2.4700000000000002</v>
      </c>
      <c r="F2067" t="s">
        <v>397</v>
      </c>
      <c r="G2067" t="s">
        <v>397</v>
      </c>
      <c r="H2067" t="s">
        <v>397</v>
      </c>
      <c r="I2067" t="s">
        <v>397</v>
      </c>
      <c r="J2067">
        <v>1507</v>
      </c>
      <c r="K2067">
        <v>4.67</v>
      </c>
      <c r="L2067">
        <v>0</v>
      </c>
      <c r="M2067">
        <v>0</v>
      </c>
    </row>
    <row r="2068" spans="1:13">
      <c r="A2068" s="28">
        <v>28300</v>
      </c>
      <c r="B2068" t="s">
        <v>2210</v>
      </c>
      <c r="C2068">
        <v>102400</v>
      </c>
      <c r="D2068">
        <v>-100</v>
      </c>
      <c r="E2068">
        <v>-0.1</v>
      </c>
      <c r="F2068" t="s">
        <v>397</v>
      </c>
      <c r="G2068" t="s">
        <v>397</v>
      </c>
      <c r="H2068" t="s">
        <v>397</v>
      </c>
      <c r="I2068" t="s">
        <v>397</v>
      </c>
      <c r="J2068">
        <v>5023</v>
      </c>
      <c r="K2068">
        <v>20.39</v>
      </c>
      <c r="L2068">
        <v>0</v>
      </c>
      <c r="M2068">
        <v>0</v>
      </c>
    </row>
    <row r="2069" spans="1:13">
      <c r="A2069" s="28">
        <v>14790</v>
      </c>
      <c r="B2069" t="s">
        <v>2211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>
      <c r="A2070" s="28">
        <v>97230</v>
      </c>
      <c r="B2070" t="s">
        <v>2212</v>
      </c>
      <c r="C2070">
        <v>3395</v>
      </c>
      <c r="D2070">
        <v>-140</v>
      </c>
      <c r="E2070">
        <v>-3.96</v>
      </c>
      <c r="F2070" t="s">
        <v>397</v>
      </c>
      <c r="G2070" t="s">
        <v>397</v>
      </c>
      <c r="H2070" t="s">
        <v>397</v>
      </c>
      <c r="I2070" t="s">
        <v>397</v>
      </c>
      <c r="J2070">
        <v>4624</v>
      </c>
      <c r="K2070">
        <v>0.73</v>
      </c>
      <c r="L2070">
        <v>0</v>
      </c>
      <c r="M2070">
        <v>0</v>
      </c>
    </row>
    <row r="2071" spans="1:13">
      <c r="A2071" s="28">
        <v>329180</v>
      </c>
      <c r="B2071" t="s">
        <v>2213</v>
      </c>
      <c r="C2071">
        <v>117100</v>
      </c>
      <c r="D2071">
        <v>-2700</v>
      </c>
      <c r="E2071">
        <v>-2.25</v>
      </c>
      <c r="F2071" t="s">
        <v>397</v>
      </c>
      <c r="G2071" t="s">
        <v>397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>
      <c r="A2072" s="28">
        <v>9540</v>
      </c>
      <c r="B2072" t="s">
        <v>2214</v>
      </c>
      <c r="C2072">
        <v>123800</v>
      </c>
      <c r="D2072">
        <v>5300</v>
      </c>
      <c r="E2072">
        <v>4.47</v>
      </c>
      <c r="F2072" t="s">
        <v>397</v>
      </c>
      <c r="G2072" t="s">
        <v>397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>
      <c r="A2073" s="28">
        <v>217730</v>
      </c>
      <c r="B2073" t="s">
        <v>2215</v>
      </c>
      <c r="C2073">
        <v>1844</v>
      </c>
      <c r="D2073">
        <v>-24</v>
      </c>
      <c r="E2073">
        <v>-1.28</v>
      </c>
      <c r="F2073" t="s">
        <v>397</v>
      </c>
      <c r="G2073" t="s">
        <v>397</v>
      </c>
      <c r="H2073" t="s">
        <v>397</v>
      </c>
      <c r="I2073" t="s">
        <v>397</v>
      </c>
      <c r="J2073">
        <v>1185</v>
      </c>
      <c r="K2073">
        <v>1.56</v>
      </c>
      <c r="L2073">
        <v>0</v>
      </c>
      <c r="M2073">
        <v>0</v>
      </c>
    </row>
    <row r="2074" spans="1:13">
      <c r="A2074" s="28">
        <v>11420</v>
      </c>
      <c r="B2074" t="s">
        <v>2216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397</v>
      </c>
      <c r="I2074" t="s">
        <v>397</v>
      </c>
      <c r="J2074">
        <v>1210</v>
      </c>
      <c r="K2074">
        <v>2.08</v>
      </c>
      <c r="L2074">
        <v>0</v>
      </c>
      <c r="M2074">
        <v>0</v>
      </c>
    </row>
    <row r="2075" spans="1:13">
      <c r="A2075" s="28">
        <v>24890</v>
      </c>
      <c r="B2075" t="s">
        <v>2217</v>
      </c>
      <c r="C2075">
        <v>1821</v>
      </c>
      <c r="D2075">
        <v>-6</v>
      </c>
      <c r="E2075">
        <v>-0.33</v>
      </c>
      <c r="F2075" t="s">
        <v>397</v>
      </c>
      <c r="G2075" t="s">
        <v>397</v>
      </c>
      <c r="H2075" t="s">
        <v>397</v>
      </c>
      <c r="I2075" t="s">
        <v>397</v>
      </c>
      <c r="J2075">
        <v>1532</v>
      </c>
      <c r="K2075">
        <v>1.19</v>
      </c>
      <c r="L2075">
        <v>0</v>
      </c>
      <c r="M2075">
        <v>0</v>
      </c>
    </row>
    <row r="2076" spans="1:13">
      <c r="A2076" s="28">
        <v>376930</v>
      </c>
      <c r="B2076" t="s">
        <v>2218</v>
      </c>
      <c r="C2076">
        <v>2965</v>
      </c>
      <c r="D2076">
        <v>-10</v>
      </c>
      <c r="E2076">
        <v>-0.34</v>
      </c>
      <c r="F2076" t="s">
        <v>397</v>
      </c>
      <c r="G2076" t="s">
        <v>397</v>
      </c>
      <c r="H2076" t="s">
        <v>397</v>
      </c>
      <c r="I2076" t="s">
        <v>397</v>
      </c>
      <c r="J2076">
        <v>428</v>
      </c>
      <c r="K2076">
        <v>6.93</v>
      </c>
      <c r="L2076">
        <v>0</v>
      </c>
      <c r="M2076">
        <v>0</v>
      </c>
    </row>
    <row r="2077" spans="1:13">
      <c r="A2077" s="28">
        <v>64260</v>
      </c>
      <c r="B2077" t="s">
        <v>2219</v>
      </c>
      <c r="C2077">
        <v>4095</v>
      </c>
      <c r="D2077">
        <v>-135</v>
      </c>
      <c r="E2077">
        <v>-3.19</v>
      </c>
      <c r="F2077" t="s">
        <v>397</v>
      </c>
      <c r="G2077" t="s">
        <v>397</v>
      </c>
      <c r="H2077" t="s">
        <v>397</v>
      </c>
      <c r="I2077" t="s">
        <v>397</v>
      </c>
      <c r="J2077">
        <v>4804</v>
      </c>
      <c r="K2077">
        <v>0.85</v>
      </c>
      <c r="L2077">
        <v>0</v>
      </c>
      <c r="M2077">
        <v>0</v>
      </c>
    </row>
    <row r="2078" spans="1:13">
      <c r="A2078" s="28">
        <v>85670</v>
      </c>
      <c r="B2078" t="s">
        <v>2220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>
      <c r="A2079" s="28">
        <v>214870</v>
      </c>
      <c r="B2079" t="s">
        <v>2221</v>
      </c>
      <c r="C2079">
        <v>1383</v>
      </c>
      <c r="D2079">
        <v>0</v>
      </c>
      <c r="E2079">
        <v>0</v>
      </c>
      <c r="F2079" t="s">
        <v>397</v>
      </c>
      <c r="G2079" t="s">
        <v>397</v>
      </c>
      <c r="H2079" t="s">
        <v>397</v>
      </c>
      <c r="I2079" t="s">
        <v>397</v>
      </c>
      <c r="J2079" t="s">
        <v>397</v>
      </c>
      <c r="K2079" t="s">
        <v>397</v>
      </c>
      <c r="L2079">
        <v>0</v>
      </c>
      <c r="M2079">
        <v>0</v>
      </c>
    </row>
    <row r="2080" spans="1:13">
      <c r="A2080" s="28">
        <v>12340</v>
      </c>
      <c r="B2080" t="s">
        <v>2222</v>
      </c>
      <c r="C2080">
        <v>819</v>
      </c>
      <c r="D2080">
        <v>-11</v>
      </c>
      <c r="E2080">
        <v>-1.33</v>
      </c>
      <c r="F2080" t="s">
        <v>397</v>
      </c>
      <c r="G2080" t="s">
        <v>397</v>
      </c>
      <c r="H2080" t="s">
        <v>397</v>
      </c>
      <c r="I2080" t="s">
        <v>397</v>
      </c>
      <c r="J2080">
        <v>520</v>
      </c>
      <c r="K2080">
        <v>1.58</v>
      </c>
      <c r="L2080">
        <v>0</v>
      </c>
      <c r="M2080">
        <v>0</v>
      </c>
    </row>
    <row r="2081" spans="1:13">
      <c r="A2081" s="28">
        <v>60260</v>
      </c>
      <c r="B2081" t="s">
        <v>2223</v>
      </c>
      <c r="C2081">
        <v>740</v>
      </c>
      <c r="D2081">
        <v>9</v>
      </c>
      <c r="E2081">
        <v>1.23</v>
      </c>
      <c r="F2081" t="s">
        <v>397</v>
      </c>
      <c r="G2081" t="s">
        <v>397</v>
      </c>
      <c r="H2081" t="s">
        <v>397</v>
      </c>
      <c r="I2081" t="s">
        <v>397</v>
      </c>
      <c r="J2081">
        <v>439</v>
      </c>
      <c r="K2081">
        <v>1.69</v>
      </c>
      <c r="L2081">
        <v>0</v>
      </c>
      <c r="M2081">
        <v>0</v>
      </c>
    </row>
    <row r="2082" spans="1:13">
      <c r="A2082" s="28">
        <v>348340</v>
      </c>
      <c r="B2082" t="s">
        <v>2224</v>
      </c>
      <c r="C2082">
        <v>39450</v>
      </c>
      <c r="D2082">
        <v>50</v>
      </c>
      <c r="E2082">
        <v>0.13</v>
      </c>
      <c r="F2082" t="s">
        <v>397</v>
      </c>
      <c r="G2082" t="s">
        <v>397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>
      <c r="A2083" s="28">
        <v>332290</v>
      </c>
      <c r="B2083" t="s">
        <v>2225</v>
      </c>
      <c r="C2083">
        <v>1613</v>
      </c>
      <c r="D2083">
        <v>1</v>
      </c>
      <c r="E2083">
        <v>0.06</v>
      </c>
      <c r="F2083" t="s">
        <v>397</v>
      </c>
      <c r="G2083" t="s">
        <v>397</v>
      </c>
      <c r="H2083" t="s">
        <v>397</v>
      </c>
      <c r="I2083" t="s">
        <v>397</v>
      </c>
      <c r="J2083">
        <v>866</v>
      </c>
      <c r="K2083">
        <v>1.86</v>
      </c>
      <c r="L2083">
        <v>0</v>
      </c>
      <c r="M2083">
        <v>0</v>
      </c>
    </row>
    <row r="2084" spans="1:13">
      <c r="A2084" s="28">
        <v>40160</v>
      </c>
      <c r="B2084" t="s">
        <v>2226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397</v>
      </c>
      <c r="I2084" t="s">
        <v>397</v>
      </c>
      <c r="J2084">
        <v>7039</v>
      </c>
      <c r="K2084">
        <v>0.53</v>
      </c>
      <c r="L2084">
        <v>0</v>
      </c>
      <c r="M2084">
        <v>0</v>
      </c>
    </row>
    <row r="2085" spans="1:13">
      <c r="A2085" s="28">
        <v>69140</v>
      </c>
      <c r="B2085" t="s">
        <v>2227</v>
      </c>
      <c r="C2085">
        <v>1502</v>
      </c>
      <c r="D2085">
        <v>-48</v>
      </c>
      <c r="E2085">
        <v>-3.1</v>
      </c>
      <c r="F2085" t="s">
        <v>397</v>
      </c>
      <c r="G2085" t="s">
        <v>397</v>
      </c>
      <c r="H2085" t="s">
        <v>397</v>
      </c>
      <c r="I2085" t="s">
        <v>397</v>
      </c>
      <c r="J2085">
        <v>3169</v>
      </c>
      <c r="K2085">
        <v>0.47</v>
      </c>
      <c r="L2085">
        <v>0</v>
      </c>
      <c r="M2085">
        <v>0</v>
      </c>
    </row>
    <row r="2086" spans="1:13">
      <c r="A2086" s="28">
        <v>65560</v>
      </c>
      <c r="B2086" t="s">
        <v>2228</v>
      </c>
      <c r="C2086">
        <v>11540</v>
      </c>
      <c r="D2086">
        <v>0</v>
      </c>
      <c r="E2086">
        <v>0</v>
      </c>
      <c r="F2086" t="s">
        <v>397</v>
      </c>
      <c r="G2086" t="s">
        <v>397</v>
      </c>
      <c r="H2086" t="s">
        <v>397</v>
      </c>
      <c r="I2086" t="s">
        <v>397</v>
      </c>
      <c r="J2086">
        <v>3562</v>
      </c>
      <c r="K2086">
        <v>3.24</v>
      </c>
      <c r="L2086">
        <v>0</v>
      </c>
      <c r="M2086">
        <v>0</v>
      </c>
    </row>
    <row r="2087" spans="1:13">
      <c r="A2087" s="28">
        <v>142280</v>
      </c>
      <c r="B2087" t="s">
        <v>2229</v>
      </c>
      <c r="C2087">
        <v>4155</v>
      </c>
      <c r="D2087">
        <v>-35</v>
      </c>
      <c r="E2087">
        <v>-0.84</v>
      </c>
      <c r="F2087" t="s">
        <v>397</v>
      </c>
      <c r="G2087" t="s">
        <v>397</v>
      </c>
      <c r="H2087" t="s">
        <v>397</v>
      </c>
      <c r="I2087" t="s">
        <v>397</v>
      </c>
      <c r="J2087">
        <v>1577</v>
      </c>
      <c r="K2087">
        <v>2.63</v>
      </c>
      <c r="L2087">
        <v>0</v>
      </c>
      <c r="M2087">
        <v>0</v>
      </c>
    </row>
    <row r="2088" spans="1:13">
      <c r="A2088" s="28">
        <v>106520</v>
      </c>
      <c r="B2088" t="s">
        <v>2230</v>
      </c>
      <c r="C2088">
        <v>411</v>
      </c>
      <c r="D2088">
        <v>0</v>
      </c>
      <c r="E2088">
        <v>0</v>
      </c>
      <c r="F2088" t="s">
        <v>397</v>
      </c>
      <c r="G2088" t="s">
        <v>397</v>
      </c>
      <c r="H2088" t="s">
        <v>397</v>
      </c>
      <c r="I2088" t="s">
        <v>397</v>
      </c>
      <c r="J2088">
        <v>1432</v>
      </c>
      <c r="K2088">
        <v>0.28999999999999998</v>
      </c>
      <c r="L2088">
        <v>0</v>
      </c>
      <c r="M2088">
        <v>0</v>
      </c>
    </row>
    <row r="2089" spans="1:13">
      <c r="A2089" s="28">
        <v>39560</v>
      </c>
      <c r="B2089" t="s">
        <v>2231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397</v>
      </c>
      <c r="I2089" t="s">
        <v>397</v>
      </c>
      <c r="J2089">
        <v>10652</v>
      </c>
      <c r="K2089">
        <v>0.38</v>
      </c>
      <c r="L2089">
        <v>0</v>
      </c>
      <c r="M2089">
        <v>0</v>
      </c>
    </row>
    <row r="2090" spans="1:13">
      <c r="A2090" s="28">
        <v>104620</v>
      </c>
      <c r="B2090" t="s">
        <v>2232</v>
      </c>
      <c r="C2090">
        <v>6900</v>
      </c>
      <c r="D2090">
        <v>20</v>
      </c>
      <c r="E2090">
        <v>0.28999999999999998</v>
      </c>
      <c r="F2090" t="s">
        <v>397</v>
      </c>
      <c r="G2090" t="s">
        <v>397</v>
      </c>
      <c r="H2090" t="s">
        <v>397</v>
      </c>
      <c r="I2090" t="s">
        <v>397</v>
      </c>
      <c r="J2090">
        <v>2075</v>
      </c>
      <c r="K2090">
        <v>3.33</v>
      </c>
      <c r="L2090">
        <v>0</v>
      </c>
      <c r="M2090">
        <v>0</v>
      </c>
    </row>
    <row r="2091" spans="1:13">
      <c r="A2091" s="28">
        <v>251270</v>
      </c>
      <c r="B2091" t="s">
        <v>2233</v>
      </c>
      <c r="C2091">
        <v>59100</v>
      </c>
      <c r="D2091">
        <v>-1700</v>
      </c>
      <c r="E2091">
        <v>-2.8</v>
      </c>
      <c r="F2091" t="s">
        <v>397</v>
      </c>
      <c r="G2091" t="s">
        <v>397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>
      <c r="A2092" s="28">
        <v>217270</v>
      </c>
      <c r="B2092" t="s">
        <v>2234</v>
      </c>
      <c r="C2092">
        <v>6680</v>
      </c>
      <c r="D2092">
        <v>-20</v>
      </c>
      <c r="E2092">
        <v>-0.3</v>
      </c>
      <c r="F2092" t="s">
        <v>397</v>
      </c>
      <c r="G2092" t="s">
        <v>397</v>
      </c>
      <c r="H2092" t="s">
        <v>397</v>
      </c>
      <c r="I2092" t="s">
        <v>397</v>
      </c>
      <c r="J2092">
        <v>8628</v>
      </c>
      <c r="K2092">
        <v>0.77</v>
      </c>
      <c r="L2092">
        <v>0</v>
      </c>
      <c r="M2092">
        <v>0</v>
      </c>
    </row>
    <row r="2093" spans="1:13">
      <c r="A2093" s="28">
        <v>225570</v>
      </c>
      <c r="B2093" t="s">
        <v>2235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>
      <c r="A2094" s="28">
        <v>92790</v>
      </c>
      <c r="B2094" t="s">
        <v>2236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397</v>
      </c>
      <c r="I2094" t="s">
        <v>397</v>
      </c>
      <c r="J2094">
        <v>259899</v>
      </c>
      <c r="K2094">
        <v>0.03</v>
      </c>
      <c r="L2094">
        <v>0</v>
      </c>
      <c r="M2094">
        <v>0</v>
      </c>
    </row>
    <row r="2095" spans="1:13">
      <c r="A2095" s="28">
        <v>396270</v>
      </c>
      <c r="B2095" t="s">
        <v>2237</v>
      </c>
      <c r="C2095">
        <v>12180</v>
      </c>
      <c r="D2095">
        <v>-500</v>
      </c>
      <c r="E2095">
        <v>-3.94</v>
      </c>
      <c r="F2095" t="s">
        <v>397</v>
      </c>
      <c r="G2095" t="s">
        <v>397</v>
      </c>
      <c r="H2095" t="s">
        <v>397</v>
      </c>
      <c r="I2095" t="s">
        <v>397</v>
      </c>
      <c r="J2095">
        <v>2260</v>
      </c>
      <c r="K2095">
        <v>5.39</v>
      </c>
      <c r="L2095">
        <v>0</v>
      </c>
      <c r="M2095">
        <v>0</v>
      </c>
    </row>
    <row r="2096" spans="1:13">
      <c r="A2096" s="28">
        <v>137940</v>
      </c>
      <c r="B2096" t="s">
        <v>2238</v>
      </c>
      <c r="C2096">
        <v>408</v>
      </c>
      <c r="D2096">
        <v>0</v>
      </c>
      <c r="E2096">
        <v>0</v>
      </c>
      <c r="F2096" t="s">
        <v>397</v>
      </c>
      <c r="G2096" t="s">
        <v>397</v>
      </c>
      <c r="H2096" t="s">
        <v>397</v>
      </c>
      <c r="I2096" t="s">
        <v>397</v>
      </c>
      <c r="J2096">
        <v>1304</v>
      </c>
      <c r="K2096">
        <v>0.31</v>
      </c>
      <c r="L2096">
        <v>0</v>
      </c>
      <c r="M2096">
        <v>0</v>
      </c>
    </row>
    <row r="2097" spans="1:13">
      <c r="A2097" s="28">
        <v>89140</v>
      </c>
      <c r="B2097" t="s">
        <v>2239</v>
      </c>
      <c r="C2097">
        <v>4350</v>
      </c>
      <c r="D2097">
        <v>-165</v>
      </c>
      <c r="E2097">
        <v>-3.65</v>
      </c>
      <c r="F2097" t="s">
        <v>397</v>
      </c>
      <c r="G2097" t="s">
        <v>397</v>
      </c>
      <c r="H2097" t="s">
        <v>397</v>
      </c>
      <c r="I2097" t="s">
        <v>397</v>
      </c>
      <c r="J2097">
        <v>13940</v>
      </c>
      <c r="K2097">
        <v>0.31</v>
      </c>
      <c r="L2097">
        <v>0</v>
      </c>
      <c r="M2097">
        <v>0</v>
      </c>
    </row>
    <row r="2098" spans="1:13">
      <c r="A2098" s="28">
        <v>330860</v>
      </c>
      <c r="B2098" t="s">
        <v>2240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397</v>
      </c>
      <c r="I2098" t="s">
        <v>397</v>
      </c>
      <c r="J2098">
        <v>21047</v>
      </c>
      <c r="K2098">
        <v>1.72</v>
      </c>
      <c r="L2098">
        <v>0</v>
      </c>
      <c r="M2098">
        <v>0</v>
      </c>
    </row>
    <row r="2099" spans="1:13">
      <c r="A2099" s="28">
        <v>33640</v>
      </c>
      <c r="B2099" t="s">
        <v>2241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397</v>
      </c>
      <c r="I2099" t="s">
        <v>397</v>
      </c>
      <c r="J2099">
        <v>10934</v>
      </c>
      <c r="K2099">
        <v>1.74</v>
      </c>
      <c r="L2099">
        <v>0</v>
      </c>
      <c r="M2099">
        <v>0</v>
      </c>
    </row>
    <row r="2100" spans="1:13">
      <c r="A2100" s="28">
        <v>7390</v>
      </c>
      <c r="B2100" t="s">
        <v>2242</v>
      </c>
      <c r="C2100">
        <v>6990</v>
      </c>
      <c r="D2100">
        <v>-80</v>
      </c>
      <c r="E2100">
        <v>-1.1299999999999999</v>
      </c>
      <c r="F2100" t="s">
        <v>397</v>
      </c>
      <c r="G2100" t="s">
        <v>397</v>
      </c>
      <c r="H2100" t="s">
        <v>397</v>
      </c>
      <c r="I2100" t="s">
        <v>397</v>
      </c>
      <c r="J2100">
        <v>913</v>
      </c>
      <c r="K2100">
        <v>7.66</v>
      </c>
      <c r="L2100">
        <v>0</v>
      </c>
      <c r="M2100">
        <v>0</v>
      </c>
    </row>
    <row r="2101" spans="1:13">
      <c r="A2101" s="28">
        <v>340360</v>
      </c>
      <c r="B2101" t="s">
        <v>2243</v>
      </c>
      <c r="C2101">
        <v>2435</v>
      </c>
      <c r="D2101">
        <v>-20</v>
      </c>
      <c r="E2101">
        <v>-0.81</v>
      </c>
      <c r="F2101" t="s">
        <v>397</v>
      </c>
      <c r="G2101" t="s">
        <v>397</v>
      </c>
      <c r="H2101" t="s">
        <v>397</v>
      </c>
      <c r="I2101" t="s">
        <v>397</v>
      </c>
      <c r="J2101">
        <v>468</v>
      </c>
      <c r="K2101">
        <v>5.2</v>
      </c>
      <c r="L2101">
        <v>0</v>
      </c>
      <c r="M2101">
        <v>0</v>
      </c>
    </row>
    <row r="2102" spans="1:13">
      <c r="A2102" s="28">
        <v>154040</v>
      </c>
      <c r="B2102" t="s">
        <v>2244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397</v>
      </c>
      <c r="I2102" t="s">
        <v>397</v>
      </c>
      <c r="J2102">
        <v>2011</v>
      </c>
      <c r="K2102">
        <v>0.88</v>
      </c>
      <c r="L2102">
        <v>0</v>
      </c>
      <c r="M2102">
        <v>0</v>
      </c>
    </row>
    <row r="2103" spans="1:13">
      <c r="A2103" s="28">
        <v>53950</v>
      </c>
      <c r="B2103" t="s">
        <v>2245</v>
      </c>
      <c r="C2103">
        <v>1206</v>
      </c>
      <c r="D2103">
        <v>0</v>
      </c>
      <c r="E2103">
        <v>0</v>
      </c>
      <c r="F2103" t="s">
        <v>397</v>
      </c>
      <c r="G2103" t="s">
        <v>397</v>
      </c>
      <c r="H2103" t="s">
        <v>397</v>
      </c>
      <c r="I2103" t="s">
        <v>397</v>
      </c>
      <c r="J2103">
        <v>2976</v>
      </c>
      <c r="K2103">
        <v>0.41</v>
      </c>
      <c r="L2103">
        <v>0</v>
      </c>
      <c r="M2103">
        <v>0</v>
      </c>
    </row>
    <row r="2104" spans="1:13">
      <c r="A2104" s="28">
        <v>442310</v>
      </c>
      <c r="B2104" t="s">
        <v>2246</v>
      </c>
      <c r="C2104">
        <v>2245</v>
      </c>
      <c r="D2104">
        <v>0</v>
      </c>
      <c r="E2104">
        <v>0</v>
      </c>
      <c r="F2104" t="s">
        <v>397</v>
      </c>
      <c r="G2104" t="s">
        <v>397</v>
      </c>
      <c r="H2104" t="s">
        <v>397</v>
      </c>
      <c r="I2104" t="s">
        <v>397</v>
      </c>
      <c r="J2104" t="s">
        <v>397</v>
      </c>
      <c r="K2104" t="s">
        <v>397</v>
      </c>
      <c r="L2104">
        <v>0</v>
      </c>
      <c r="M2104">
        <v>0</v>
      </c>
    </row>
    <row r="2105" spans="1:13">
      <c r="A2105" s="28">
        <v>6345</v>
      </c>
      <c r="B2105" t="s">
        <v>2247</v>
      </c>
      <c r="C2105">
        <v>2530</v>
      </c>
      <c r="D2105">
        <v>35</v>
      </c>
      <c r="E2105">
        <v>1.4</v>
      </c>
      <c r="F2105" t="s">
        <v>397</v>
      </c>
      <c r="G2105" t="s">
        <v>397</v>
      </c>
      <c r="H2105" t="s">
        <v>397</v>
      </c>
      <c r="I2105" t="s">
        <v>397</v>
      </c>
      <c r="J2105" t="s">
        <v>397</v>
      </c>
      <c r="K2105" t="s">
        <v>397</v>
      </c>
      <c r="L2105">
        <v>0</v>
      </c>
      <c r="M2105">
        <v>0</v>
      </c>
    </row>
    <row r="2106" spans="1:13">
      <c r="A2106" s="28">
        <v>6340</v>
      </c>
      <c r="B2106" t="s">
        <v>2248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397</v>
      </c>
      <c r="I2106" t="s">
        <v>397</v>
      </c>
      <c r="J2106">
        <v>1273</v>
      </c>
      <c r="K2106">
        <v>1.08</v>
      </c>
      <c r="L2106">
        <v>0</v>
      </c>
      <c r="M2106">
        <v>0</v>
      </c>
    </row>
    <row r="2107" spans="1:13">
      <c r="A2107" s="28">
        <v>9320</v>
      </c>
      <c r="B2107" t="s">
        <v>2249</v>
      </c>
      <c r="C2107">
        <v>1244</v>
      </c>
      <c r="D2107">
        <v>0</v>
      </c>
      <c r="E2107">
        <v>0</v>
      </c>
      <c r="F2107" t="s">
        <v>397</v>
      </c>
      <c r="G2107" t="s">
        <v>397</v>
      </c>
      <c r="H2107" t="s">
        <v>397</v>
      </c>
      <c r="I2107" t="s">
        <v>397</v>
      </c>
      <c r="J2107">
        <v>539</v>
      </c>
      <c r="K2107">
        <v>2.31</v>
      </c>
      <c r="L2107">
        <v>0</v>
      </c>
      <c r="M2107">
        <v>0</v>
      </c>
    </row>
    <row r="2108" spans="1:13">
      <c r="A2108" s="28">
        <v>47040</v>
      </c>
      <c r="B2108" t="s">
        <v>2250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>
      <c r="A2109" s="28">
        <v>14160</v>
      </c>
      <c r="B2109" t="s">
        <v>2251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397</v>
      </c>
      <c r="I2109" t="s">
        <v>397</v>
      </c>
      <c r="J2109">
        <v>1753</v>
      </c>
      <c r="K2109">
        <v>0.68</v>
      </c>
      <c r="L2109">
        <v>0</v>
      </c>
      <c r="M2109">
        <v>0</v>
      </c>
    </row>
    <row r="2110" spans="1:13">
      <c r="A2110" s="28">
        <v>108380</v>
      </c>
      <c r="B2110" t="s">
        <v>2252</v>
      </c>
      <c r="C2110">
        <v>13040</v>
      </c>
      <c r="D2110">
        <v>-180</v>
      </c>
      <c r="E2110">
        <v>-1.36</v>
      </c>
      <c r="F2110" t="s">
        <v>397</v>
      </c>
      <c r="G2110" t="s">
        <v>397</v>
      </c>
      <c r="H2110" t="s">
        <v>397</v>
      </c>
      <c r="I2110" t="s">
        <v>397</v>
      </c>
      <c r="J2110">
        <v>23432</v>
      </c>
      <c r="K2110">
        <v>0.56000000000000005</v>
      </c>
      <c r="L2110">
        <v>0</v>
      </c>
      <c r="M2110">
        <v>0</v>
      </c>
    </row>
    <row r="2111" spans="1:13">
      <c r="A2111" s="28">
        <v>9190</v>
      </c>
      <c r="B2111" t="s">
        <v>2253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397</v>
      </c>
      <c r="I2111" t="s">
        <v>397</v>
      </c>
      <c r="J2111">
        <v>3353</v>
      </c>
      <c r="K2111">
        <v>0.56999999999999995</v>
      </c>
      <c r="L2111">
        <v>0</v>
      </c>
      <c r="M2111">
        <v>0</v>
      </c>
    </row>
    <row r="2112" spans="1:13">
      <c r="A2112" s="28">
        <v>45390</v>
      </c>
      <c r="B2112" t="s">
        <v>2254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397</v>
      </c>
      <c r="I2112" t="s">
        <v>397</v>
      </c>
      <c r="J2112">
        <v>1561</v>
      </c>
      <c r="K2112">
        <v>1.98</v>
      </c>
      <c r="L2112">
        <v>0</v>
      </c>
      <c r="M2112">
        <v>0</v>
      </c>
    </row>
    <row r="2113" spans="1:13">
      <c r="A2113" s="28">
        <v>471050</v>
      </c>
      <c r="B2113" t="s">
        <v>2255</v>
      </c>
      <c r="C2113">
        <v>2300</v>
      </c>
      <c r="D2113">
        <v>0</v>
      </c>
      <c r="E2113">
        <v>0</v>
      </c>
      <c r="F2113" t="s">
        <v>397</v>
      </c>
      <c r="G2113" t="s">
        <v>397</v>
      </c>
      <c r="H2113" t="s">
        <v>397</v>
      </c>
      <c r="I2113" t="s">
        <v>397</v>
      </c>
      <c r="J2113" t="s">
        <v>397</v>
      </c>
      <c r="K2113" t="s">
        <v>397</v>
      </c>
      <c r="L2113">
        <v>0</v>
      </c>
      <c r="M2113">
        <v>0</v>
      </c>
    </row>
    <row r="2114" spans="1:13">
      <c r="A2114" s="28">
        <v>457630</v>
      </c>
      <c r="B2114" t="s">
        <v>2256</v>
      </c>
      <c r="C2114">
        <v>2620</v>
      </c>
      <c r="D2114">
        <v>0</v>
      </c>
      <c r="E2114">
        <v>0</v>
      </c>
      <c r="F2114" t="s">
        <v>397</v>
      </c>
      <c r="G2114" t="s">
        <v>397</v>
      </c>
      <c r="H2114" t="s">
        <v>397</v>
      </c>
      <c r="I2114" t="s">
        <v>397</v>
      </c>
      <c r="J2114" t="s">
        <v>397</v>
      </c>
      <c r="K2114" t="s">
        <v>397</v>
      </c>
      <c r="L2114">
        <v>0</v>
      </c>
      <c r="M2114">
        <v>0</v>
      </c>
    </row>
    <row r="2115" spans="1:13">
      <c r="A2115" s="28">
        <v>457390</v>
      </c>
      <c r="B2115" t="s">
        <v>2257</v>
      </c>
      <c r="C2115">
        <v>2190</v>
      </c>
      <c r="D2115">
        <v>-5</v>
      </c>
      <c r="E2115">
        <v>-0.23</v>
      </c>
      <c r="F2115" t="s">
        <v>397</v>
      </c>
      <c r="G2115" t="s">
        <v>397</v>
      </c>
      <c r="H2115" t="s">
        <v>397</v>
      </c>
      <c r="I2115" t="s">
        <v>397</v>
      </c>
      <c r="J2115" t="s">
        <v>397</v>
      </c>
      <c r="K2115" t="s">
        <v>397</v>
      </c>
      <c r="L2115">
        <v>0</v>
      </c>
      <c r="M2115">
        <v>0</v>
      </c>
    </row>
    <row r="2116" spans="1:13">
      <c r="A2116" s="28">
        <v>438220</v>
      </c>
      <c r="B2116" t="s">
        <v>2258</v>
      </c>
      <c r="C2116">
        <v>2275</v>
      </c>
      <c r="D2116">
        <v>0</v>
      </c>
      <c r="E2116">
        <v>0</v>
      </c>
      <c r="F2116" t="s">
        <v>397</v>
      </c>
      <c r="G2116" t="s">
        <v>397</v>
      </c>
      <c r="H2116" t="s">
        <v>397</v>
      </c>
      <c r="I2116" t="s">
        <v>397</v>
      </c>
      <c r="J2116" t="s">
        <v>397</v>
      </c>
      <c r="K2116" t="s">
        <v>397</v>
      </c>
      <c r="L2116">
        <v>0</v>
      </c>
      <c r="M2116">
        <v>0</v>
      </c>
    </row>
    <row r="2117" spans="1:13">
      <c r="A2117" s="28">
        <v>58730</v>
      </c>
      <c r="B2117" t="s">
        <v>2259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397</v>
      </c>
      <c r="I2117" t="s">
        <v>397</v>
      </c>
      <c r="J2117">
        <v>7408</v>
      </c>
      <c r="K2117">
        <v>0.52</v>
      </c>
      <c r="L2117">
        <v>0</v>
      </c>
      <c r="M2117">
        <v>0</v>
      </c>
    </row>
    <row r="2118" spans="1:13">
      <c r="A2118" s="28">
        <v>129920</v>
      </c>
      <c r="B2118" t="s">
        <v>2260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>
      <c r="A2119" s="28">
        <v>104040</v>
      </c>
      <c r="B2119" t="s">
        <v>2261</v>
      </c>
      <c r="C2119">
        <v>1006</v>
      </c>
      <c r="D2119">
        <v>13</v>
      </c>
      <c r="E2119">
        <v>1.31</v>
      </c>
      <c r="F2119" t="s">
        <v>397</v>
      </c>
      <c r="G2119" t="s">
        <v>397</v>
      </c>
      <c r="H2119" t="s">
        <v>397</v>
      </c>
      <c r="I2119" t="s">
        <v>397</v>
      </c>
      <c r="J2119">
        <v>1685</v>
      </c>
      <c r="K2119">
        <v>0.6</v>
      </c>
      <c r="L2119">
        <v>0</v>
      </c>
      <c r="M2119">
        <v>0</v>
      </c>
    </row>
    <row r="2120" spans="1:13">
      <c r="A2120" s="28">
        <v>27830</v>
      </c>
      <c r="B2120" t="s">
        <v>2262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397</v>
      </c>
      <c r="I2120" t="s">
        <v>397</v>
      </c>
      <c r="J2120">
        <v>1388</v>
      </c>
      <c r="K2120">
        <v>1.43</v>
      </c>
      <c r="L2120">
        <v>0</v>
      </c>
      <c r="M2120">
        <v>0</v>
      </c>
    </row>
    <row r="2121" spans="1:13">
      <c r="A2121" s="28">
        <v>128820</v>
      </c>
      <c r="B2121" t="s">
        <v>2263</v>
      </c>
      <c r="C2121">
        <v>3860</v>
      </c>
      <c r="D2121">
        <v>50</v>
      </c>
      <c r="E2121">
        <v>1.31</v>
      </c>
      <c r="F2121" t="s">
        <v>397</v>
      </c>
      <c r="G2121" t="s">
        <v>397</v>
      </c>
      <c r="H2121" t="s">
        <v>397</v>
      </c>
      <c r="I2121" t="s">
        <v>397</v>
      </c>
      <c r="J2121">
        <v>16329</v>
      </c>
      <c r="K2121">
        <v>0.24</v>
      </c>
      <c r="L2121">
        <v>0</v>
      </c>
      <c r="M2121">
        <v>0</v>
      </c>
    </row>
    <row r="2122" spans="1:13">
      <c r="A2122" s="28">
        <v>65150</v>
      </c>
      <c r="B2122" t="s">
        <v>2264</v>
      </c>
      <c r="C2122">
        <v>206</v>
      </c>
      <c r="D2122">
        <v>6</v>
      </c>
      <c r="E2122">
        <v>3</v>
      </c>
      <c r="F2122" t="s">
        <v>397</v>
      </c>
      <c r="G2122" t="s">
        <v>397</v>
      </c>
      <c r="H2122" t="s">
        <v>397</v>
      </c>
      <c r="I2122" t="s">
        <v>397</v>
      </c>
      <c r="J2122">
        <v>262</v>
      </c>
      <c r="K2122">
        <v>0.79</v>
      </c>
      <c r="L2122">
        <v>0</v>
      </c>
      <c r="M2122">
        <v>0</v>
      </c>
    </row>
    <row r="2123" spans="1:13">
      <c r="A2123" s="28">
        <v>290670</v>
      </c>
      <c r="B2123" t="s">
        <v>2265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397</v>
      </c>
      <c r="I2123" t="s">
        <v>397</v>
      </c>
      <c r="J2123">
        <v>10708</v>
      </c>
      <c r="K2123">
        <v>2.82</v>
      </c>
      <c r="L2123">
        <v>0</v>
      </c>
      <c r="M2123">
        <v>0</v>
      </c>
    </row>
    <row r="2124" spans="1:13">
      <c r="A2124" s="28">
        <v>389260</v>
      </c>
      <c r="B2124" t="s">
        <v>2266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397</v>
      </c>
      <c r="I2124" t="s">
        <v>397</v>
      </c>
      <c r="J2124">
        <v>6278</v>
      </c>
      <c r="K2124">
        <v>1.81</v>
      </c>
      <c r="L2124">
        <v>0</v>
      </c>
      <c r="M2124">
        <v>0</v>
      </c>
    </row>
    <row r="2125" spans="1:13">
      <c r="A2125" s="28">
        <v>7720</v>
      </c>
      <c r="B2125" t="s">
        <v>2267</v>
      </c>
      <c r="C2125">
        <v>559</v>
      </c>
      <c r="D2125">
        <v>0</v>
      </c>
      <c r="E2125">
        <v>0</v>
      </c>
      <c r="F2125" t="s">
        <v>397</v>
      </c>
      <c r="G2125" t="s">
        <v>397</v>
      </c>
      <c r="H2125" t="s">
        <v>397</v>
      </c>
      <c r="I2125" t="s">
        <v>397</v>
      </c>
      <c r="J2125">
        <v>1141</v>
      </c>
      <c r="K2125">
        <v>0.49</v>
      </c>
      <c r="L2125">
        <v>0</v>
      </c>
      <c r="M2125">
        <v>0</v>
      </c>
    </row>
    <row r="2126" spans="1:13">
      <c r="A2126" s="28">
        <v>8110</v>
      </c>
      <c r="B2126" t="s">
        <v>2268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397</v>
      </c>
      <c r="I2126" t="s">
        <v>397</v>
      </c>
      <c r="J2126">
        <v>26394</v>
      </c>
      <c r="K2126">
        <v>0.25</v>
      </c>
      <c r="L2126">
        <v>0</v>
      </c>
      <c r="M2126">
        <v>0</v>
      </c>
    </row>
    <row r="2127" spans="1:13">
      <c r="A2127" s="28">
        <v>145210</v>
      </c>
      <c r="B2127" t="s">
        <v>2269</v>
      </c>
      <c r="C2127">
        <v>5100</v>
      </c>
      <c r="D2127">
        <v>80</v>
      </c>
      <c r="E2127">
        <v>1.59</v>
      </c>
      <c r="F2127" t="s">
        <v>397</v>
      </c>
      <c r="G2127" t="s">
        <v>397</v>
      </c>
      <c r="H2127" t="s">
        <v>397</v>
      </c>
      <c r="I2127" t="s">
        <v>397</v>
      </c>
      <c r="J2127">
        <v>3499</v>
      </c>
      <c r="K2127">
        <v>1.46</v>
      </c>
      <c r="L2127">
        <v>0</v>
      </c>
      <c r="M2127">
        <v>0</v>
      </c>
    </row>
    <row r="2128" spans="1:13">
      <c r="A2128" s="28">
        <v>68240</v>
      </c>
      <c r="B2128" t="s">
        <v>2270</v>
      </c>
      <c r="C2128">
        <v>12980</v>
      </c>
      <c r="D2128">
        <v>-50</v>
      </c>
      <c r="E2128">
        <v>-0.38</v>
      </c>
      <c r="F2128" t="s">
        <v>397</v>
      </c>
      <c r="G2128" t="s">
        <v>397</v>
      </c>
      <c r="H2128" t="s">
        <v>397</v>
      </c>
      <c r="I2128" t="s">
        <v>397</v>
      </c>
      <c r="J2128">
        <v>5874</v>
      </c>
      <c r="K2128">
        <v>2.21</v>
      </c>
      <c r="L2128">
        <v>0</v>
      </c>
      <c r="M2128">
        <v>0</v>
      </c>
    </row>
    <row r="2129" spans="1:13">
      <c r="A2129" s="28">
        <v>153460</v>
      </c>
      <c r="B2129" t="s">
        <v>2271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397</v>
      </c>
      <c r="I2129" t="s">
        <v>397</v>
      </c>
      <c r="J2129">
        <v>5096</v>
      </c>
      <c r="K2129">
        <v>1.37</v>
      </c>
      <c r="L2129">
        <v>0</v>
      </c>
      <c r="M2129">
        <v>0</v>
      </c>
    </row>
    <row r="2130" spans="1:13">
      <c r="A2130" s="28">
        <v>306620</v>
      </c>
      <c r="B2130" t="s">
        <v>2272</v>
      </c>
      <c r="C2130">
        <v>2710</v>
      </c>
      <c r="D2130">
        <v>-30</v>
      </c>
      <c r="E2130">
        <v>-1.0900000000000001</v>
      </c>
      <c r="F2130" t="s">
        <v>397</v>
      </c>
      <c r="G2130" t="s">
        <v>397</v>
      </c>
      <c r="H2130" t="s">
        <v>397</v>
      </c>
      <c r="I2130" t="s">
        <v>397</v>
      </c>
      <c r="J2130">
        <v>1135</v>
      </c>
      <c r="K2130">
        <v>2.39</v>
      </c>
      <c r="L2130">
        <v>0</v>
      </c>
      <c r="M2130">
        <v>0</v>
      </c>
    </row>
    <row r="2131" spans="1:13">
      <c r="A2131" s="28">
        <v>290660</v>
      </c>
      <c r="B2131" t="s">
        <v>2273</v>
      </c>
      <c r="C2131">
        <v>1185</v>
      </c>
      <c r="D2131">
        <v>-17</v>
      </c>
      <c r="E2131">
        <v>-1.41</v>
      </c>
      <c r="F2131" t="s">
        <v>397</v>
      </c>
      <c r="G2131" t="s">
        <v>397</v>
      </c>
      <c r="H2131" t="s">
        <v>397</v>
      </c>
      <c r="I2131" t="s">
        <v>397</v>
      </c>
      <c r="J2131">
        <v>337</v>
      </c>
      <c r="K2131">
        <v>3.52</v>
      </c>
      <c r="L2131">
        <v>0</v>
      </c>
      <c r="M2131">
        <v>0</v>
      </c>
    </row>
    <row r="2132" spans="1:13">
      <c r="A2132" s="28">
        <v>5320</v>
      </c>
      <c r="B2132" t="s">
        <v>2274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397</v>
      </c>
      <c r="I2132" t="s">
        <v>397</v>
      </c>
      <c r="J2132">
        <v>1997</v>
      </c>
      <c r="K2132">
        <v>0.31</v>
      </c>
      <c r="L2132">
        <v>0</v>
      </c>
      <c r="M2132">
        <v>0</v>
      </c>
    </row>
    <row r="2133" spans="1:13">
      <c r="A2133" s="28">
        <v>1570</v>
      </c>
      <c r="B2133" t="s">
        <v>2275</v>
      </c>
      <c r="C2133">
        <v>126400</v>
      </c>
      <c r="D2133">
        <v>600</v>
      </c>
      <c r="E2133">
        <v>0.48</v>
      </c>
      <c r="F2133" t="s">
        <v>397</v>
      </c>
      <c r="G2133" t="s">
        <v>397</v>
      </c>
      <c r="H2133" t="s">
        <v>397</v>
      </c>
      <c r="I2133" t="s">
        <v>397</v>
      </c>
      <c r="J2133">
        <v>2188</v>
      </c>
      <c r="K2133">
        <v>57.77</v>
      </c>
      <c r="L2133">
        <v>0</v>
      </c>
      <c r="M2133">
        <v>0</v>
      </c>
    </row>
    <row r="2134" spans="1:13">
      <c r="A2134" s="28">
        <v>19660</v>
      </c>
      <c r="B2134" t="s">
        <v>2276</v>
      </c>
      <c r="C2134">
        <v>915</v>
      </c>
      <c r="D2134">
        <v>25</v>
      </c>
      <c r="E2134">
        <v>2.81</v>
      </c>
      <c r="F2134" t="s">
        <v>397</v>
      </c>
      <c r="G2134" t="s">
        <v>397</v>
      </c>
      <c r="H2134" t="s">
        <v>397</v>
      </c>
      <c r="I2134" t="s">
        <v>397</v>
      </c>
      <c r="J2134">
        <v>429</v>
      </c>
      <c r="K2134">
        <v>2.13</v>
      </c>
      <c r="L2134">
        <v>0</v>
      </c>
      <c r="M2134">
        <v>0</v>
      </c>
    </row>
    <row r="2135" spans="1:13">
      <c r="A2135" s="28">
        <v>204620</v>
      </c>
      <c r="B2135" t="s">
        <v>2277</v>
      </c>
      <c r="C2135">
        <v>4780</v>
      </c>
      <c r="D2135">
        <v>-70</v>
      </c>
      <c r="E2135">
        <v>-1.44</v>
      </c>
      <c r="F2135" t="s">
        <v>397</v>
      </c>
      <c r="G2135" t="s">
        <v>397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>
      <c r="A2136" s="28">
        <v>186230</v>
      </c>
      <c r="B2136" t="s">
        <v>2278</v>
      </c>
      <c r="C2136">
        <v>9580</v>
      </c>
      <c r="D2136">
        <v>270</v>
      </c>
      <c r="E2136">
        <v>2.9</v>
      </c>
      <c r="F2136" t="s">
        <v>397</v>
      </c>
      <c r="G2136" t="s">
        <v>397</v>
      </c>
      <c r="H2136" t="s">
        <v>397</v>
      </c>
      <c r="I2136" t="s">
        <v>397</v>
      </c>
      <c r="J2136">
        <v>5635</v>
      </c>
      <c r="K2136">
        <v>1.7</v>
      </c>
      <c r="L2136">
        <v>0</v>
      </c>
      <c r="M2136">
        <v>0</v>
      </c>
    </row>
    <row r="2137" spans="1:13">
      <c r="A2137" s="28">
        <v>114450</v>
      </c>
      <c r="B2137" t="s">
        <v>2279</v>
      </c>
      <c r="C2137">
        <v>2240</v>
      </c>
      <c r="D2137">
        <v>-25</v>
      </c>
      <c r="E2137">
        <v>-1.1000000000000001</v>
      </c>
      <c r="F2137" t="s">
        <v>397</v>
      </c>
      <c r="G2137" t="s">
        <v>397</v>
      </c>
      <c r="H2137" t="s">
        <v>397</v>
      </c>
      <c r="I2137" t="s">
        <v>397</v>
      </c>
      <c r="J2137">
        <v>2632</v>
      </c>
      <c r="K2137">
        <v>0.85</v>
      </c>
      <c r="L2137">
        <v>0</v>
      </c>
      <c r="M2137">
        <v>0</v>
      </c>
    </row>
    <row r="2138" spans="1:13">
      <c r="A2138" s="28">
        <v>402490</v>
      </c>
      <c r="B2138" t="s">
        <v>2280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397</v>
      </c>
      <c r="I2138" t="s">
        <v>397</v>
      </c>
      <c r="J2138">
        <v>3229</v>
      </c>
      <c r="K2138">
        <v>10.37</v>
      </c>
      <c r="L2138">
        <v>0</v>
      </c>
      <c r="M2138">
        <v>0</v>
      </c>
    </row>
    <row r="2139" spans="1:13">
      <c r="A2139" s="28">
        <v>2720</v>
      </c>
      <c r="B2139" t="s">
        <v>2281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397</v>
      </c>
      <c r="I2139" t="s">
        <v>397</v>
      </c>
      <c r="J2139">
        <v>3666</v>
      </c>
      <c r="K2139">
        <v>1.29</v>
      </c>
      <c r="L2139">
        <v>0</v>
      </c>
      <c r="M2139">
        <v>0</v>
      </c>
    </row>
    <row r="2140" spans="1:13">
      <c r="A2140" s="28">
        <v>307750</v>
      </c>
      <c r="B2140" t="s">
        <v>2282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397</v>
      </c>
      <c r="I2140" t="s">
        <v>397</v>
      </c>
      <c r="J2140">
        <v>1867</v>
      </c>
      <c r="K2140">
        <v>3.24</v>
      </c>
      <c r="L2140">
        <v>0</v>
      </c>
      <c r="M2140">
        <v>0</v>
      </c>
    </row>
    <row r="2141" spans="1:13">
      <c r="A2141" s="28">
        <v>78130</v>
      </c>
      <c r="B2141" t="s">
        <v>2283</v>
      </c>
      <c r="C2141">
        <v>800</v>
      </c>
      <c r="D2141">
        <v>0</v>
      </c>
      <c r="E2141">
        <v>0</v>
      </c>
      <c r="F2141" t="s">
        <v>397</v>
      </c>
      <c r="G2141" t="s">
        <v>397</v>
      </c>
      <c r="H2141" t="s">
        <v>397</v>
      </c>
      <c r="I2141" t="s">
        <v>397</v>
      </c>
      <c r="J2141">
        <v>413</v>
      </c>
      <c r="K2141">
        <v>1.94</v>
      </c>
      <c r="L2141">
        <v>0</v>
      </c>
      <c r="M2141">
        <v>0</v>
      </c>
    </row>
    <row r="2142" spans="1:13">
      <c r="A2142" s="28">
        <v>6050</v>
      </c>
      <c r="B2142" t="s">
        <v>2284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397</v>
      </c>
      <c r="I2142" t="s">
        <v>397</v>
      </c>
      <c r="J2142">
        <v>1416</v>
      </c>
      <c r="K2142">
        <v>0.85</v>
      </c>
      <c r="L2142">
        <v>0</v>
      </c>
      <c r="M2142">
        <v>0</v>
      </c>
    </row>
    <row r="2143" spans="1:13">
      <c r="A2143" s="28">
        <v>1140</v>
      </c>
      <c r="B2143" t="s">
        <v>2285</v>
      </c>
      <c r="C2143">
        <v>2500</v>
      </c>
      <c r="D2143">
        <v>120</v>
      </c>
      <c r="E2143">
        <v>5.04</v>
      </c>
      <c r="F2143" t="s">
        <v>397</v>
      </c>
      <c r="G2143" t="s">
        <v>397</v>
      </c>
      <c r="H2143" t="s">
        <v>397</v>
      </c>
      <c r="I2143" t="s">
        <v>397</v>
      </c>
      <c r="J2143">
        <v>4100</v>
      </c>
      <c r="K2143">
        <v>0.61</v>
      </c>
      <c r="L2143">
        <v>0</v>
      </c>
      <c r="M2143">
        <v>0</v>
      </c>
    </row>
    <row r="2144" spans="1:13">
      <c r="A2144" s="28">
        <v>465320</v>
      </c>
      <c r="B2144" t="s">
        <v>2286</v>
      </c>
      <c r="C2144">
        <v>2170</v>
      </c>
      <c r="D2144">
        <v>5</v>
      </c>
      <c r="E2144">
        <v>0.23</v>
      </c>
      <c r="F2144" t="s">
        <v>397</v>
      </c>
      <c r="G2144" t="s">
        <v>397</v>
      </c>
      <c r="H2144" t="s">
        <v>397</v>
      </c>
      <c r="I2144" t="s">
        <v>397</v>
      </c>
      <c r="J2144" t="s">
        <v>397</v>
      </c>
      <c r="K2144" t="s">
        <v>397</v>
      </c>
      <c r="L2144">
        <v>0</v>
      </c>
      <c r="M2144">
        <v>0</v>
      </c>
    </row>
    <row r="2145" spans="1:13">
      <c r="A2145" s="28">
        <v>311390</v>
      </c>
      <c r="B2145" t="s">
        <v>2287</v>
      </c>
      <c r="C2145">
        <v>7000</v>
      </c>
      <c r="D2145">
        <v>-10</v>
      </c>
      <c r="E2145">
        <v>-0.14000000000000001</v>
      </c>
      <c r="F2145" t="s">
        <v>397</v>
      </c>
      <c r="G2145" t="s">
        <v>397</v>
      </c>
      <c r="H2145" t="s">
        <v>397</v>
      </c>
      <c r="I2145" t="s">
        <v>397</v>
      </c>
      <c r="J2145">
        <v>6133</v>
      </c>
      <c r="K2145">
        <v>1.1399999999999999</v>
      </c>
      <c r="L2145">
        <v>0</v>
      </c>
      <c r="M2145">
        <v>0</v>
      </c>
    </row>
    <row r="2146" spans="1:13">
      <c r="A2146" s="28">
        <v>456490</v>
      </c>
      <c r="B2146" t="s">
        <v>2288</v>
      </c>
      <c r="C2146">
        <v>2225</v>
      </c>
      <c r="D2146">
        <v>15</v>
      </c>
      <c r="E2146">
        <v>0.68</v>
      </c>
      <c r="F2146" t="s">
        <v>397</v>
      </c>
      <c r="G2146" t="s">
        <v>397</v>
      </c>
      <c r="H2146" t="s">
        <v>397</v>
      </c>
      <c r="I2146" t="s">
        <v>397</v>
      </c>
      <c r="J2146" t="s">
        <v>397</v>
      </c>
      <c r="K2146" t="s">
        <v>397</v>
      </c>
      <c r="L2146">
        <v>0</v>
      </c>
      <c r="M2146">
        <v>0</v>
      </c>
    </row>
    <row r="2147" spans="1:13">
      <c r="A2147" s="28">
        <v>440790</v>
      </c>
      <c r="B2147" t="s">
        <v>2289</v>
      </c>
      <c r="C2147">
        <v>2255</v>
      </c>
      <c r="D2147">
        <v>15</v>
      </c>
      <c r="E2147">
        <v>0.67</v>
      </c>
      <c r="F2147" t="s">
        <v>397</v>
      </c>
      <c r="G2147" t="s">
        <v>397</v>
      </c>
      <c r="H2147" t="s">
        <v>397</v>
      </c>
      <c r="I2147" t="s">
        <v>397</v>
      </c>
      <c r="J2147" t="s">
        <v>397</v>
      </c>
      <c r="K2147" t="s">
        <v>397</v>
      </c>
      <c r="L2147">
        <v>0</v>
      </c>
      <c r="M2147">
        <v>0</v>
      </c>
    </row>
    <row r="2148" spans="1:13">
      <c r="A2148" s="28">
        <v>421800</v>
      </c>
      <c r="B2148" t="s">
        <v>2290</v>
      </c>
      <c r="C2148">
        <v>2375</v>
      </c>
      <c r="D2148">
        <v>-5</v>
      </c>
      <c r="E2148">
        <v>-0.21</v>
      </c>
      <c r="F2148" t="s">
        <v>397</v>
      </c>
      <c r="G2148" t="s">
        <v>397</v>
      </c>
      <c r="H2148" t="s">
        <v>397</v>
      </c>
      <c r="I2148" t="s">
        <v>397</v>
      </c>
      <c r="J2148" t="s">
        <v>397</v>
      </c>
      <c r="K2148" t="s">
        <v>397</v>
      </c>
      <c r="L2148">
        <v>0</v>
      </c>
      <c r="M2148">
        <v>0</v>
      </c>
    </row>
    <row r="2149" spans="1:13">
      <c r="A2149" s="28">
        <v>397880</v>
      </c>
      <c r="B2149" t="s">
        <v>2291</v>
      </c>
      <c r="C2149">
        <v>3425</v>
      </c>
      <c r="D2149">
        <v>0</v>
      </c>
      <c r="E2149">
        <v>0</v>
      </c>
      <c r="F2149" t="s">
        <v>397</v>
      </c>
      <c r="G2149" t="s">
        <v>397</v>
      </c>
      <c r="H2149" t="s">
        <v>397</v>
      </c>
      <c r="I2149" t="s">
        <v>397</v>
      </c>
      <c r="J2149" t="s">
        <v>397</v>
      </c>
      <c r="K2149" t="s">
        <v>397</v>
      </c>
      <c r="L2149">
        <v>0</v>
      </c>
      <c r="M2149">
        <v>0</v>
      </c>
    </row>
    <row r="2150" spans="1:13">
      <c r="A2150" s="28">
        <v>26910</v>
      </c>
      <c r="B2150" t="s">
        <v>2292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397</v>
      </c>
      <c r="I2150" t="s">
        <v>397</v>
      </c>
      <c r="J2150">
        <v>4287</v>
      </c>
      <c r="K2150">
        <v>0.78</v>
      </c>
      <c r="L2150">
        <v>0</v>
      </c>
      <c r="M2150">
        <v>0</v>
      </c>
    </row>
    <row r="2151" spans="1:13">
      <c r="A2151" s="28">
        <v>29480</v>
      </c>
      <c r="B2151" t="s">
        <v>2293</v>
      </c>
      <c r="C2151">
        <v>3360</v>
      </c>
      <c r="D2151">
        <v>-120</v>
      </c>
      <c r="E2151">
        <v>-3.45</v>
      </c>
      <c r="F2151" t="s">
        <v>397</v>
      </c>
      <c r="G2151" t="s">
        <v>397</v>
      </c>
      <c r="H2151" t="s">
        <v>397</v>
      </c>
      <c r="I2151" t="s">
        <v>397</v>
      </c>
      <c r="J2151">
        <v>2126</v>
      </c>
      <c r="K2151">
        <v>1.58</v>
      </c>
      <c r="L2151">
        <v>0</v>
      </c>
      <c r="M2151">
        <v>0</v>
      </c>
    </row>
    <row r="2152" spans="1:13">
      <c r="A2152" s="28">
        <v>14200</v>
      </c>
      <c r="B2152" t="s">
        <v>2294</v>
      </c>
      <c r="C2152">
        <v>1006</v>
      </c>
      <c r="D2152">
        <v>0</v>
      </c>
      <c r="E2152">
        <v>0</v>
      </c>
      <c r="F2152" t="s">
        <v>397</v>
      </c>
      <c r="G2152" t="s">
        <v>397</v>
      </c>
      <c r="H2152" t="s">
        <v>397</v>
      </c>
      <c r="I2152" t="s">
        <v>397</v>
      </c>
      <c r="J2152">
        <v>1622</v>
      </c>
      <c r="K2152">
        <v>0.62</v>
      </c>
      <c r="L2152">
        <v>0</v>
      </c>
      <c r="M2152">
        <v>0</v>
      </c>
    </row>
    <row r="2153" spans="1:13">
      <c r="A2153" s="28">
        <v>35290</v>
      </c>
      <c r="B2153" t="s">
        <v>2295</v>
      </c>
      <c r="C2153">
        <v>599</v>
      </c>
      <c r="D2153">
        <v>-9</v>
      </c>
      <c r="E2153">
        <v>-1.48</v>
      </c>
      <c r="F2153" t="s">
        <v>397</v>
      </c>
      <c r="G2153" t="s">
        <v>397</v>
      </c>
      <c r="H2153" t="s">
        <v>397</v>
      </c>
      <c r="I2153" t="s">
        <v>397</v>
      </c>
      <c r="J2153">
        <v>313</v>
      </c>
      <c r="K2153">
        <v>1.91</v>
      </c>
      <c r="L2153">
        <v>0</v>
      </c>
      <c r="M2153">
        <v>0</v>
      </c>
    </row>
    <row r="2154" spans="1:13">
      <c r="A2154" s="28">
        <v>348150</v>
      </c>
      <c r="B2154" t="s">
        <v>2296</v>
      </c>
      <c r="C2154">
        <v>8630</v>
      </c>
      <c r="D2154">
        <v>-230</v>
      </c>
      <c r="E2154">
        <v>-2.6</v>
      </c>
      <c r="F2154" t="s">
        <v>397</v>
      </c>
      <c r="G2154" t="s">
        <v>397</v>
      </c>
      <c r="H2154" t="s">
        <v>397</v>
      </c>
      <c r="I2154" t="s">
        <v>397</v>
      </c>
      <c r="J2154">
        <v>4433</v>
      </c>
      <c r="K2154">
        <v>1.95</v>
      </c>
      <c r="L2154">
        <v>0</v>
      </c>
      <c r="M2154">
        <v>0</v>
      </c>
    </row>
    <row r="2155" spans="1:13">
      <c r="A2155" s="28">
        <v>198440</v>
      </c>
      <c r="B2155" t="s">
        <v>2297</v>
      </c>
      <c r="C2155">
        <v>1810</v>
      </c>
      <c r="D2155">
        <v>10</v>
      </c>
      <c r="E2155">
        <v>0.56000000000000005</v>
      </c>
      <c r="F2155" t="s">
        <v>397</v>
      </c>
      <c r="G2155" t="s">
        <v>397</v>
      </c>
      <c r="H2155" t="s">
        <v>397</v>
      </c>
      <c r="I2155" t="s">
        <v>397</v>
      </c>
      <c r="J2155">
        <v>3419</v>
      </c>
      <c r="K2155">
        <v>0.53</v>
      </c>
      <c r="L2155">
        <v>0</v>
      </c>
      <c r="M2155">
        <v>0</v>
      </c>
    </row>
    <row r="2156" spans="1:13">
      <c r="A2156" s="28">
        <v>24910</v>
      </c>
      <c r="B2156" t="s">
        <v>2298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397</v>
      </c>
      <c r="I2156" t="s">
        <v>397</v>
      </c>
      <c r="J2156">
        <v>3398</v>
      </c>
      <c r="K2156">
        <v>0.67</v>
      </c>
      <c r="L2156">
        <v>0</v>
      </c>
      <c r="M2156">
        <v>0</v>
      </c>
    </row>
    <row r="2157" spans="1:13">
      <c r="A2157" s="28">
        <v>214330</v>
      </c>
      <c r="B2157" t="s">
        <v>2299</v>
      </c>
      <c r="C2157">
        <v>631</v>
      </c>
      <c r="D2157">
        <v>-7</v>
      </c>
      <c r="E2157">
        <v>-1.1000000000000001</v>
      </c>
      <c r="F2157" t="s">
        <v>397</v>
      </c>
      <c r="G2157" t="s">
        <v>397</v>
      </c>
      <c r="H2157" t="s">
        <v>397</v>
      </c>
      <c r="I2157" t="s">
        <v>397</v>
      </c>
      <c r="J2157">
        <v>1749</v>
      </c>
      <c r="K2157">
        <v>0.36</v>
      </c>
      <c r="L2157">
        <v>0</v>
      </c>
      <c r="M2157">
        <v>0</v>
      </c>
    </row>
    <row r="2158" spans="1:13">
      <c r="A2158" s="28">
        <v>1210</v>
      </c>
      <c r="B2158" t="s">
        <v>2300</v>
      </c>
      <c r="C2158">
        <v>747</v>
      </c>
      <c r="D2158">
        <v>11</v>
      </c>
      <c r="E2158">
        <v>1.49</v>
      </c>
      <c r="F2158" t="s">
        <v>397</v>
      </c>
      <c r="G2158" t="s">
        <v>397</v>
      </c>
      <c r="H2158" t="s">
        <v>397</v>
      </c>
      <c r="I2158" t="s">
        <v>397</v>
      </c>
      <c r="J2158">
        <v>890</v>
      </c>
      <c r="K2158">
        <v>0.84</v>
      </c>
      <c r="L2158">
        <v>0</v>
      </c>
      <c r="M2158">
        <v>0</v>
      </c>
    </row>
    <row r="2159" spans="1:13">
      <c r="A2159" s="28">
        <v>73240</v>
      </c>
      <c r="B2159" t="s">
        <v>2301</v>
      </c>
      <c r="C2159">
        <v>5810</v>
      </c>
      <c r="D2159">
        <v>-70</v>
      </c>
      <c r="E2159">
        <v>-1.19</v>
      </c>
      <c r="F2159" t="s">
        <v>397</v>
      </c>
      <c r="G2159" t="s">
        <v>397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>
      <c r="A2160" s="28">
        <v>49080</v>
      </c>
      <c r="B2160" t="s">
        <v>2302</v>
      </c>
      <c r="C2160">
        <v>1217</v>
      </c>
      <c r="D2160">
        <v>-6</v>
      </c>
      <c r="E2160">
        <v>-0.49</v>
      </c>
      <c r="F2160" t="s">
        <v>397</v>
      </c>
      <c r="G2160" t="s">
        <v>397</v>
      </c>
      <c r="H2160" t="s">
        <v>397</v>
      </c>
      <c r="I2160" t="s">
        <v>397</v>
      </c>
      <c r="J2160">
        <v>718</v>
      </c>
      <c r="K2160">
        <v>1.69</v>
      </c>
      <c r="L2160">
        <v>0</v>
      </c>
      <c r="M2160">
        <v>0</v>
      </c>
    </row>
    <row r="2161" spans="1:13">
      <c r="A2161" s="28">
        <v>42420</v>
      </c>
      <c r="B2161" t="s">
        <v>2303</v>
      </c>
      <c r="C2161">
        <v>24200</v>
      </c>
      <c r="D2161">
        <v>-950</v>
      </c>
      <c r="E2161">
        <v>-3.78</v>
      </c>
      <c r="F2161" t="s">
        <v>397</v>
      </c>
      <c r="G2161" t="s">
        <v>397</v>
      </c>
      <c r="H2161" t="s">
        <v>397</v>
      </c>
      <c r="I2161" t="s">
        <v>397</v>
      </c>
      <c r="J2161">
        <v>48255</v>
      </c>
      <c r="K2161">
        <v>0.5</v>
      </c>
      <c r="L2161">
        <v>0</v>
      </c>
      <c r="M2161">
        <v>0</v>
      </c>
    </row>
    <row r="2162" spans="1:13">
      <c r="A2162" s="28">
        <v>95660</v>
      </c>
      <c r="B2162" t="s">
        <v>2304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>
      <c r="A2163" s="28">
        <v>94860</v>
      </c>
      <c r="B2163" t="s">
        <v>2305</v>
      </c>
      <c r="C2163">
        <v>2040</v>
      </c>
      <c r="D2163">
        <v>0</v>
      </c>
      <c r="E2163">
        <v>0</v>
      </c>
      <c r="F2163" t="s">
        <v>397</v>
      </c>
      <c r="G2163" t="s">
        <v>397</v>
      </c>
      <c r="H2163" t="s">
        <v>397</v>
      </c>
      <c r="I2163" t="s">
        <v>397</v>
      </c>
      <c r="J2163">
        <v>1860</v>
      </c>
      <c r="K2163">
        <v>1.1000000000000001</v>
      </c>
      <c r="L2163">
        <v>0</v>
      </c>
      <c r="M2163">
        <v>0</v>
      </c>
    </row>
    <row r="2164" spans="1:13">
      <c r="A2164" s="28">
        <v>168330</v>
      </c>
      <c r="B2164" t="s">
        <v>2306</v>
      </c>
      <c r="C2164">
        <v>2230</v>
      </c>
      <c r="D2164">
        <v>15</v>
      </c>
      <c r="E2164">
        <v>0.68</v>
      </c>
      <c r="F2164" t="s">
        <v>397</v>
      </c>
      <c r="G2164" t="s">
        <v>397</v>
      </c>
      <c r="H2164" t="s">
        <v>397</v>
      </c>
      <c r="I2164" t="s">
        <v>397</v>
      </c>
      <c r="J2164">
        <v>1123</v>
      </c>
      <c r="K2164">
        <v>1.99</v>
      </c>
      <c r="L2164">
        <v>0</v>
      </c>
      <c r="M2164">
        <v>0</v>
      </c>
    </row>
    <row r="2165" spans="1:13">
      <c r="A2165" s="28">
        <v>8355</v>
      </c>
      <c r="B2165" t="s">
        <v>2307</v>
      </c>
      <c r="C2165">
        <v>22300</v>
      </c>
      <c r="D2165">
        <v>-300</v>
      </c>
      <c r="E2165">
        <v>-1.33</v>
      </c>
      <c r="F2165" t="s">
        <v>397</v>
      </c>
      <c r="G2165" t="s">
        <v>397</v>
      </c>
      <c r="H2165" t="s">
        <v>397</v>
      </c>
      <c r="I2165" t="s">
        <v>397</v>
      </c>
      <c r="J2165" t="s">
        <v>397</v>
      </c>
      <c r="K2165" t="s">
        <v>397</v>
      </c>
      <c r="L2165">
        <v>0</v>
      </c>
      <c r="M2165">
        <v>0</v>
      </c>
    </row>
    <row r="2166" spans="1:13">
      <c r="A2166" s="28">
        <v>8350</v>
      </c>
      <c r="B2166" t="s">
        <v>2308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397</v>
      </c>
      <c r="I2166" t="s">
        <v>397</v>
      </c>
      <c r="J2166">
        <v>2376</v>
      </c>
      <c r="K2166">
        <v>0.84</v>
      </c>
      <c r="L2166">
        <v>0</v>
      </c>
      <c r="M2166">
        <v>0</v>
      </c>
    </row>
    <row r="2167" spans="1:13">
      <c r="A2167" s="28">
        <v>1260</v>
      </c>
      <c r="B2167" t="s">
        <v>2309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397</v>
      </c>
      <c r="I2167" t="s">
        <v>397</v>
      </c>
      <c r="J2167">
        <v>10896</v>
      </c>
      <c r="K2167">
        <v>0.62</v>
      </c>
      <c r="L2167">
        <v>0</v>
      </c>
      <c r="M2167">
        <v>0</v>
      </c>
    </row>
    <row r="2168" spans="1:13">
      <c r="A2168" s="28">
        <v>267320</v>
      </c>
      <c r="B2168" t="s">
        <v>2310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>
      <c r="A2169" s="28">
        <v>138610</v>
      </c>
      <c r="B2169" t="s">
        <v>2311</v>
      </c>
      <c r="C2169">
        <v>16740</v>
      </c>
      <c r="D2169">
        <v>-210</v>
      </c>
      <c r="E2169">
        <v>-1.24</v>
      </c>
      <c r="F2169" t="s">
        <v>397</v>
      </c>
      <c r="G2169" t="s">
        <v>397</v>
      </c>
      <c r="H2169" t="s">
        <v>397</v>
      </c>
      <c r="I2169" t="s">
        <v>397</v>
      </c>
      <c r="J2169">
        <v>3696</v>
      </c>
      <c r="K2169">
        <v>4.53</v>
      </c>
      <c r="L2169">
        <v>0</v>
      </c>
      <c r="M2169">
        <v>0</v>
      </c>
    </row>
    <row r="2170" spans="1:13">
      <c r="A2170" s="28">
        <v>242040</v>
      </c>
      <c r="B2170" t="s">
        <v>2312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397</v>
      </c>
      <c r="I2170" t="s">
        <v>397</v>
      </c>
      <c r="J2170">
        <v>1193</v>
      </c>
      <c r="K2170">
        <v>2.0099999999999998</v>
      </c>
      <c r="L2170">
        <v>0</v>
      </c>
      <c r="M2170">
        <v>0</v>
      </c>
    </row>
    <row r="2171" spans="1:13">
      <c r="A2171" s="28">
        <v>190510</v>
      </c>
      <c r="B2171" t="s">
        <v>2313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>
      <c r="A2172" s="28">
        <v>405920</v>
      </c>
      <c r="B2172" t="s">
        <v>2314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397</v>
      </c>
      <c r="I2172" t="s">
        <v>397</v>
      </c>
      <c r="J2172">
        <v>4774</v>
      </c>
      <c r="K2172">
        <v>1.0900000000000001</v>
      </c>
      <c r="L2172">
        <v>0</v>
      </c>
      <c r="M2172">
        <v>0</v>
      </c>
    </row>
    <row r="2173" spans="1:13">
      <c r="A2173" s="28">
        <v>417010</v>
      </c>
      <c r="B2173" t="s">
        <v>2315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>
      <c r="A2174" s="28">
        <v>91970</v>
      </c>
      <c r="B2174" t="s">
        <v>2316</v>
      </c>
      <c r="C2174">
        <v>654</v>
      </c>
      <c r="D2174">
        <v>-9</v>
      </c>
      <c r="E2174">
        <v>-1.36</v>
      </c>
      <c r="F2174" t="s">
        <v>397</v>
      </c>
      <c r="G2174" t="s">
        <v>397</v>
      </c>
      <c r="H2174" t="s">
        <v>397</v>
      </c>
      <c r="I2174" t="s">
        <v>397</v>
      </c>
      <c r="J2174">
        <v>1050</v>
      </c>
      <c r="K2174">
        <v>0.62</v>
      </c>
      <c r="L2174">
        <v>0</v>
      </c>
      <c r="M2174">
        <v>0</v>
      </c>
    </row>
    <row r="2175" spans="1:13">
      <c r="A2175" s="28">
        <v>39860</v>
      </c>
      <c r="B2175" t="s">
        <v>2317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397</v>
      </c>
      <c r="I2175" t="s">
        <v>397</v>
      </c>
      <c r="J2175">
        <v>2150</v>
      </c>
      <c r="K2175">
        <v>1.74</v>
      </c>
      <c r="L2175">
        <v>0</v>
      </c>
      <c r="M2175">
        <v>0</v>
      </c>
    </row>
    <row r="2176" spans="1:13">
      <c r="A2176" s="28">
        <v>247660</v>
      </c>
      <c r="B2176" t="s">
        <v>2318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397</v>
      </c>
      <c r="I2176" t="s">
        <v>397</v>
      </c>
      <c r="J2176">
        <v>7261</v>
      </c>
      <c r="K2176">
        <v>1.28</v>
      </c>
      <c r="L2176">
        <v>0</v>
      </c>
      <c r="M2176">
        <v>0</v>
      </c>
    </row>
    <row r="2177" spans="1:13">
      <c r="A2177" s="28">
        <v>286750</v>
      </c>
      <c r="B2177" t="s">
        <v>2319</v>
      </c>
      <c r="C2177">
        <v>2355</v>
      </c>
      <c r="D2177">
        <v>0</v>
      </c>
      <c r="E2177">
        <v>0</v>
      </c>
      <c r="F2177" t="s">
        <v>397</v>
      </c>
      <c r="G2177" t="s">
        <v>397</v>
      </c>
      <c r="H2177" t="s">
        <v>397</v>
      </c>
      <c r="I2177" t="s">
        <v>397</v>
      </c>
      <c r="J2177">
        <v>496</v>
      </c>
      <c r="K2177">
        <v>4.75</v>
      </c>
      <c r="L2177">
        <v>0</v>
      </c>
      <c r="M2177">
        <v>0</v>
      </c>
    </row>
    <row r="2178" spans="1:13">
      <c r="A2178" s="28">
        <v>187790</v>
      </c>
      <c r="B2178" t="s">
        <v>2320</v>
      </c>
      <c r="C2178">
        <v>1369</v>
      </c>
      <c r="D2178">
        <v>34</v>
      </c>
      <c r="E2178">
        <v>2.5499999999999998</v>
      </c>
      <c r="F2178" t="s">
        <v>397</v>
      </c>
      <c r="G2178" t="s">
        <v>397</v>
      </c>
      <c r="H2178" t="s">
        <v>397</v>
      </c>
      <c r="I2178" t="s">
        <v>397</v>
      </c>
      <c r="J2178">
        <v>883</v>
      </c>
      <c r="K2178">
        <v>1.55</v>
      </c>
      <c r="L2178">
        <v>0</v>
      </c>
      <c r="M2178">
        <v>0</v>
      </c>
    </row>
    <row r="2179" spans="1:13">
      <c r="A2179" s="28">
        <v>407400</v>
      </c>
      <c r="B2179" t="s">
        <v>2321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397</v>
      </c>
      <c r="I2179" t="s">
        <v>397</v>
      </c>
      <c r="J2179">
        <v>1106</v>
      </c>
      <c r="K2179">
        <v>8.1199999999999992</v>
      </c>
      <c r="L2179">
        <v>0</v>
      </c>
      <c r="M2179">
        <v>0</v>
      </c>
    </row>
    <row r="2180" spans="1:13">
      <c r="A2180" s="28">
        <v>4545</v>
      </c>
      <c r="B2180" t="s">
        <v>2322</v>
      </c>
      <c r="C2180">
        <v>14750</v>
      </c>
      <c r="D2180">
        <v>-260</v>
      </c>
      <c r="E2180">
        <v>-1.73</v>
      </c>
      <c r="F2180" t="s">
        <v>397</v>
      </c>
      <c r="G2180" t="s">
        <v>397</v>
      </c>
      <c r="H2180" t="s">
        <v>397</v>
      </c>
      <c r="I2180" t="s">
        <v>397</v>
      </c>
      <c r="J2180" t="s">
        <v>397</v>
      </c>
      <c r="K2180" t="s">
        <v>397</v>
      </c>
      <c r="L2180">
        <v>0</v>
      </c>
      <c r="M2180">
        <v>0</v>
      </c>
    </row>
    <row r="2181" spans="1:13">
      <c r="A2181" s="28">
        <v>4540</v>
      </c>
      <c r="B2181" t="s">
        <v>2323</v>
      </c>
      <c r="C2181">
        <v>2540</v>
      </c>
      <c r="D2181">
        <v>20</v>
      </c>
      <c r="E2181">
        <v>0.79</v>
      </c>
      <c r="F2181" t="s">
        <v>397</v>
      </c>
      <c r="G2181" t="s">
        <v>397</v>
      </c>
      <c r="H2181" t="s">
        <v>397</v>
      </c>
      <c r="I2181" t="s">
        <v>397</v>
      </c>
      <c r="J2181">
        <v>6481</v>
      </c>
      <c r="K2181">
        <v>0.39</v>
      </c>
      <c r="L2181">
        <v>0</v>
      </c>
      <c r="M2181">
        <v>0</v>
      </c>
    </row>
    <row r="2182" spans="1:13">
      <c r="A2182" s="28">
        <v>308100</v>
      </c>
      <c r="B2182" t="s">
        <v>2324</v>
      </c>
      <c r="C2182">
        <v>4425</v>
      </c>
      <c r="D2182">
        <v>-45</v>
      </c>
      <c r="E2182">
        <v>-1.01</v>
      </c>
      <c r="F2182" t="s">
        <v>397</v>
      </c>
      <c r="G2182" t="s">
        <v>397</v>
      </c>
      <c r="H2182" t="s">
        <v>397</v>
      </c>
      <c r="I2182" t="s">
        <v>397</v>
      </c>
      <c r="J2182">
        <v>9442</v>
      </c>
      <c r="K2182">
        <v>0.47</v>
      </c>
      <c r="L2182">
        <v>0</v>
      </c>
      <c r="M2182">
        <v>0</v>
      </c>
    </row>
    <row r="2183" spans="1:13">
      <c r="A2183" s="28">
        <v>35460</v>
      </c>
      <c r="B2183" t="s">
        <v>2325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397</v>
      </c>
      <c r="I2183" t="s">
        <v>397</v>
      </c>
      <c r="J2183">
        <v>2435</v>
      </c>
      <c r="K2183">
        <v>0.97</v>
      </c>
      <c r="L2183">
        <v>0</v>
      </c>
      <c r="M2183">
        <v>0</v>
      </c>
    </row>
    <row r="2184" spans="1:13">
      <c r="A2184" s="28">
        <v>207940</v>
      </c>
      <c r="B2184" t="s">
        <v>2326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>
      <c r="A2185" s="28">
        <v>425290</v>
      </c>
      <c r="B2185" t="s">
        <v>2327</v>
      </c>
      <c r="C2185">
        <v>2275</v>
      </c>
      <c r="D2185">
        <v>-15</v>
      </c>
      <c r="E2185">
        <v>-0.66</v>
      </c>
      <c r="F2185" t="s">
        <v>397</v>
      </c>
      <c r="G2185" t="s">
        <v>397</v>
      </c>
      <c r="H2185" t="s">
        <v>397</v>
      </c>
      <c r="I2185" t="s">
        <v>397</v>
      </c>
      <c r="J2185" t="s">
        <v>397</v>
      </c>
      <c r="K2185" t="s">
        <v>397</v>
      </c>
      <c r="L2185">
        <v>0</v>
      </c>
      <c r="M2185">
        <v>0</v>
      </c>
    </row>
    <row r="2186" spans="1:13">
      <c r="A2186" s="28">
        <v>439250</v>
      </c>
      <c r="B2186" t="s">
        <v>2328</v>
      </c>
      <c r="C2186">
        <v>9970</v>
      </c>
      <c r="D2186">
        <v>0</v>
      </c>
      <c r="E2186">
        <v>0</v>
      </c>
      <c r="F2186" t="s">
        <v>397</v>
      </c>
      <c r="G2186" t="s">
        <v>397</v>
      </c>
      <c r="H2186" t="s">
        <v>397</v>
      </c>
      <c r="I2186" t="s">
        <v>397</v>
      </c>
      <c r="J2186" t="s">
        <v>397</v>
      </c>
      <c r="K2186" t="s">
        <v>397</v>
      </c>
      <c r="L2186">
        <v>0</v>
      </c>
      <c r="M2186">
        <v>0</v>
      </c>
    </row>
    <row r="2187" spans="1:13">
      <c r="A2187" s="28">
        <v>101360</v>
      </c>
      <c r="B2187" t="s">
        <v>2329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397</v>
      </c>
      <c r="I2187" t="s">
        <v>397</v>
      </c>
      <c r="J2187">
        <v>7635</v>
      </c>
      <c r="K2187">
        <v>7.98</v>
      </c>
      <c r="L2187">
        <v>0</v>
      </c>
      <c r="M2187">
        <v>0</v>
      </c>
    </row>
    <row r="2188" spans="1:13">
      <c r="A2188" s="28">
        <v>317870</v>
      </c>
      <c r="B2188" t="s">
        <v>2330</v>
      </c>
      <c r="C2188">
        <v>19740</v>
      </c>
      <c r="D2188">
        <v>-310</v>
      </c>
      <c r="E2188">
        <v>-1.55</v>
      </c>
      <c r="F2188" t="s">
        <v>397</v>
      </c>
      <c r="G2188" t="s">
        <v>397</v>
      </c>
      <c r="H2188" t="s">
        <v>397</v>
      </c>
      <c r="I2188" t="s">
        <v>397</v>
      </c>
      <c r="J2188">
        <v>2577</v>
      </c>
      <c r="K2188">
        <v>7.66</v>
      </c>
      <c r="L2188">
        <v>0</v>
      </c>
      <c r="M2188">
        <v>0</v>
      </c>
    </row>
    <row r="2189" spans="1:13">
      <c r="A2189" s="28">
        <v>317770</v>
      </c>
      <c r="B2189" t="s">
        <v>2331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397</v>
      </c>
      <c r="I2189" t="s">
        <v>397</v>
      </c>
      <c r="J2189">
        <v>2170</v>
      </c>
      <c r="K2189">
        <v>2.5</v>
      </c>
      <c r="L2189">
        <v>0</v>
      </c>
      <c r="M2189">
        <v>0</v>
      </c>
    </row>
    <row r="2190" spans="1:13">
      <c r="A2190" s="28">
        <v>70300</v>
      </c>
      <c r="B2190" t="s">
        <v>2332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397</v>
      </c>
      <c r="I2190" t="s">
        <v>397</v>
      </c>
      <c r="J2190">
        <v>3331</v>
      </c>
      <c r="K2190">
        <v>0.8</v>
      </c>
      <c r="L2190">
        <v>0</v>
      </c>
      <c r="M2190">
        <v>0</v>
      </c>
    </row>
    <row r="2191" spans="1:13">
      <c r="A2191" s="28">
        <v>356680</v>
      </c>
      <c r="B2191" t="s">
        <v>2333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397</v>
      </c>
      <c r="I2191" t="s">
        <v>397</v>
      </c>
      <c r="J2191">
        <v>1081</v>
      </c>
      <c r="K2191">
        <v>5.26</v>
      </c>
      <c r="L2191">
        <v>0</v>
      </c>
      <c r="M2191">
        <v>0</v>
      </c>
    </row>
    <row r="2192" spans="1:13">
      <c r="A2192" s="28">
        <v>205100</v>
      </c>
      <c r="B2192" t="s">
        <v>2334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397</v>
      </c>
      <c r="I2192" t="s">
        <v>397</v>
      </c>
      <c r="J2192">
        <v>1332</v>
      </c>
      <c r="K2192">
        <v>1.79</v>
      </c>
      <c r="L2192">
        <v>0</v>
      </c>
      <c r="M2192">
        <v>0</v>
      </c>
    </row>
    <row r="2193" spans="1:13">
      <c r="A2193" s="28">
        <v>43090</v>
      </c>
      <c r="B2193" t="s">
        <v>2335</v>
      </c>
      <c r="C2193">
        <v>419</v>
      </c>
      <c r="D2193">
        <v>-3</v>
      </c>
      <c r="E2193">
        <v>-0.71</v>
      </c>
      <c r="F2193" t="s">
        <v>397</v>
      </c>
      <c r="G2193" t="s">
        <v>397</v>
      </c>
      <c r="H2193" t="s">
        <v>397</v>
      </c>
      <c r="I2193" t="s">
        <v>397</v>
      </c>
      <c r="J2193">
        <v>1118</v>
      </c>
      <c r="K2193">
        <v>0.37</v>
      </c>
      <c r="L2193">
        <v>0</v>
      </c>
      <c r="M2193">
        <v>0</v>
      </c>
    </row>
    <row r="2194" spans="1:13">
      <c r="A2194" s="28">
        <v>54940</v>
      </c>
      <c r="B2194" t="s">
        <v>2336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397</v>
      </c>
      <c r="I2194" t="s">
        <v>397</v>
      </c>
      <c r="J2194">
        <v>1853</v>
      </c>
      <c r="K2194">
        <v>0.42</v>
      </c>
      <c r="L2194">
        <v>0</v>
      </c>
      <c r="M2194">
        <v>0</v>
      </c>
    </row>
    <row r="2195" spans="1:13">
      <c r="A2195" s="28">
        <v>173940</v>
      </c>
      <c r="B2195" t="s">
        <v>2337</v>
      </c>
      <c r="C2195">
        <v>4065</v>
      </c>
      <c r="D2195">
        <v>-65</v>
      </c>
      <c r="E2195">
        <v>-1.57</v>
      </c>
      <c r="F2195" t="s">
        <v>397</v>
      </c>
      <c r="G2195" t="s">
        <v>397</v>
      </c>
      <c r="H2195" t="s">
        <v>397</v>
      </c>
      <c r="I2195" t="s">
        <v>397</v>
      </c>
      <c r="J2195">
        <v>3005</v>
      </c>
      <c r="K2195">
        <v>1.35</v>
      </c>
      <c r="L2195">
        <v>0</v>
      </c>
      <c r="M2195">
        <v>0</v>
      </c>
    </row>
    <row r="2196" spans="1:13">
      <c r="A2196" s="28">
        <v>73540</v>
      </c>
      <c r="B2196" t="s">
        <v>2338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397</v>
      </c>
      <c r="I2196" t="s">
        <v>397</v>
      </c>
      <c r="J2196">
        <v>4923</v>
      </c>
      <c r="K2196">
        <v>0.45</v>
      </c>
      <c r="L2196">
        <v>0</v>
      </c>
      <c r="M2196">
        <v>0</v>
      </c>
    </row>
    <row r="2197" spans="1:13">
      <c r="A2197" s="28">
        <v>450080</v>
      </c>
      <c r="B2197" t="s">
        <v>2339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397</v>
      </c>
      <c r="I2197" t="s">
        <v>397</v>
      </c>
      <c r="J2197">
        <v>5428</v>
      </c>
      <c r="K2197">
        <v>27.67</v>
      </c>
      <c r="L2197">
        <v>0</v>
      </c>
      <c r="M2197">
        <v>0</v>
      </c>
    </row>
    <row r="2198" spans="1:13">
      <c r="A2198" s="28">
        <v>128540</v>
      </c>
      <c r="B2198" t="s">
        <v>2340</v>
      </c>
      <c r="C2198">
        <v>2445</v>
      </c>
      <c r="D2198">
        <v>-5</v>
      </c>
      <c r="E2198">
        <v>-0.2</v>
      </c>
      <c r="F2198" t="s">
        <v>397</v>
      </c>
      <c r="G2198" t="s">
        <v>397</v>
      </c>
      <c r="H2198" t="s">
        <v>397</v>
      </c>
      <c r="I2198" t="s">
        <v>397</v>
      </c>
      <c r="J2198">
        <v>3408</v>
      </c>
      <c r="K2198">
        <v>0.72</v>
      </c>
      <c r="L2198">
        <v>0</v>
      </c>
      <c r="M2198">
        <v>0</v>
      </c>
    </row>
    <row r="2199" spans="1:13">
      <c r="A2199" s="28">
        <v>97780</v>
      </c>
      <c r="B2199" t="s">
        <v>2341</v>
      </c>
      <c r="C2199">
        <v>1028</v>
      </c>
      <c r="D2199">
        <v>-4</v>
      </c>
      <c r="E2199">
        <v>-0.39</v>
      </c>
      <c r="F2199" t="s">
        <v>397</v>
      </c>
      <c r="G2199" t="s">
        <v>397</v>
      </c>
      <c r="H2199" t="s">
        <v>397</v>
      </c>
      <c r="I2199" t="s">
        <v>397</v>
      </c>
      <c r="J2199">
        <v>4117</v>
      </c>
      <c r="K2199">
        <v>0.25</v>
      </c>
      <c r="L2199">
        <v>0</v>
      </c>
      <c r="M2199">
        <v>0</v>
      </c>
    </row>
    <row r="2200" spans="1:13">
      <c r="A2200" s="28">
        <v>101400</v>
      </c>
      <c r="B2200" t="s">
        <v>2342</v>
      </c>
      <c r="C2200">
        <v>596</v>
      </c>
      <c r="D2200">
        <v>-5</v>
      </c>
      <c r="E2200">
        <v>-0.83</v>
      </c>
      <c r="F2200" t="s">
        <v>397</v>
      </c>
      <c r="G2200" t="s">
        <v>397</v>
      </c>
      <c r="H2200" t="s">
        <v>397</v>
      </c>
      <c r="I2200" t="s">
        <v>397</v>
      </c>
      <c r="J2200">
        <v>614</v>
      </c>
      <c r="K2200">
        <v>0.97</v>
      </c>
      <c r="L2200">
        <v>0</v>
      </c>
      <c r="M2200">
        <v>0</v>
      </c>
    </row>
    <row r="2201" spans="1:13">
      <c r="A2201" s="28">
        <v>38870</v>
      </c>
      <c r="B2201" t="s">
        <v>2343</v>
      </c>
      <c r="C2201">
        <v>5580</v>
      </c>
      <c r="D2201">
        <v>-30</v>
      </c>
      <c r="E2201">
        <v>-0.53</v>
      </c>
      <c r="F2201" t="s">
        <v>397</v>
      </c>
      <c r="G2201" t="s">
        <v>397</v>
      </c>
      <c r="H2201" t="s">
        <v>397</v>
      </c>
      <c r="I2201" t="s">
        <v>397</v>
      </c>
      <c r="J2201">
        <v>5888</v>
      </c>
      <c r="K2201">
        <v>0.95</v>
      </c>
      <c r="L2201">
        <v>0</v>
      </c>
      <c r="M2201">
        <v>0</v>
      </c>
    </row>
    <row r="2202" spans="1:13">
      <c r="A2202" s="28">
        <v>230240</v>
      </c>
      <c r="B2202" t="s">
        <v>2344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397</v>
      </c>
      <c r="I2202" t="s">
        <v>397</v>
      </c>
      <c r="J2202">
        <v>13150</v>
      </c>
      <c r="K2202">
        <v>1.0900000000000001</v>
      </c>
      <c r="L2202">
        <v>0</v>
      </c>
      <c r="M2202">
        <v>0</v>
      </c>
    </row>
    <row r="2203" spans="1:13">
      <c r="A2203" s="28">
        <v>89970</v>
      </c>
      <c r="B2203" t="s">
        <v>2345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397</v>
      </c>
      <c r="I2203" t="s">
        <v>397</v>
      </c>
      <c r="J2203">
        <v>5529</v>
      </c>
      <c r="K2203">
        <v>2.91</v>
      </c>
      <c r="L2203">
        <v>0</v>
      </c>
      <c r="M2203">
        <v>0</v>
      </c>
    </row>
    <row r="2204" spans="1:13">
      <c r="A2204" s="28">
        <v>278470</v>
      </c>
      <c r="B2204" t="s">
        <v>2346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397</v>
      </c>
      <c r="I2204" t="s">
        <v>397</v>
      </c>
      <c r="J2204">
        <v>13953</v>
      </c>
      <c r="K2204">
        <v>21.54</v>
      </c>
      <c r="L2204">
        <v>0</v>
      </c>
      <c r="M2204">
        <v>0</v>
      </c>
    </row>
    <row r="2205" spans="1:13">
      <c r="A2205" s="28">
        <v>397030</v>
      </c>
      <c r="B2205" t="s">
        <v>2347</v>
      </c>
      <c r="C2205">
        <v>17050</v>
      </c>
      <c r="D2205">
        <v>750</v>
      </c>
      <c r="E2205">
        <v>4.5999999999999996</v>
      </c>
      <c r="F2205" t="s">
        <v>397</v>
      </c>
      <c r="G2205" t="s">
        <v>397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>
      <c r="A2206" s="28">
        <v>3060</v>
      </c>
      <c r="B2206" t="s">
        <v>2348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397</v>
      </c>
      <c r="I2206" t="s">
        <v>397</v>
      </c>
      <c r="J2206">
        <v>720</v>
      </c>
      <c r="K2206">
        <v>0.24</v>
      </c>
      <c r="L2206">
        <v>0</v>
      </c>
      <c r="M2206">
        <v>0</v>
      </c>
    </row>
    <row r="2207" spans="1:13">
      <c r="A2207" s="28">
        <v>109960</v>
      </c>
      <c r="B2207" t="s">
        <v>2349</v>
      </c>
      <c r="C2207">
        <v>600</v>
      </c>
      <c r="D2207">
        <v>-30</v>
      </c>
      <c r="E2207">
        <v>-4.76</v>
      </c>
      <c r="F2207" t="s">
        <v>397</v>
      </c>
      <c r="G2207" t="s">
        <v>397</v>
      </c>
      <c r="H2207" t="s">
        <v>397</v>
      </c>
      <c r="I2207" t="s">
        <v>397</v>
      </c>
      <c r="J2207">
        <v>5570</v>
      </c>
      <c r="K2207">
        <v>0.11</v>
      </c>
      <c r="L2207">
        <v>0</v>
      </c>
      <c r="M2207">
        <v>0</v>
      </c>
    </row>
    <row r="2208" spans="1:13">
      <c r="A2208" s="28">
        <v>7460</v>
      </c>
      <c r="B2208" t="s">
        <v>2350</v>
      </c>
      <c r="C2208">
        <v>1072</v>
      </c>
      <c r="D2208">
        <v>42</v>
      </c>
      <c r="E2208">
        <v>4.08</v>
      </c>
      <c r="F2208" t="s">
        <v>397</v>
      </c>
      <c r="G2208" t="s">
        <v>397</v>
      </c>
      <c r="H2208" t="s">
        <v>397</v>
      </c>
      <c r="I2208" t="s">
        <v>397</v>
      </c>
      <c r="J2208">
        <v>923</v>
      </c>
      <c r="K2208">
        <v>1.1599999999999999</v>
      </c>
      <c r="L2208">
        <v>0</v>
      </c>
      <c r="M2208">
        <v>0</v>
      </c>
    </row>
    <row r="2209" spans="1:13">
      <c r="A2209" s="28">
        <v>262260</v>
      </c>
      <c r="B2209" t="s">
        <v>2351</v>
      </c>
      <c r="C2209">
        <v>13200</v>
      </c>
      <c r="D2209">
        <v>-310</v>
      </c>
      <c r="E2209">
        <v>-2.29</v>
      </c>
      <c r="F2209" t="s">
        <v>397</v>
      </c>
      <c r="G2209" t="s">
        <v>397</v>
      </c>
      <c r="H2209" t="s">
        <v>397</v>
      </c>
      <c r="I2209" t="s">
        <v>397</v>
      </c>
      <c r="J2209">
        <v>4153</v>
      </c>
      <c r="K2209">
        <v>3.18</v>
      </c>
      <c r="L2209">
        <v>0</v>
      </c>
      <c r="M2209">
        <v>0</v>
      </c>
    </row>
    <row r="2210" spans="1:13">
      <c r="A2210" s="28">
        <v>200470</v>
      </c>
      <c r="B2210" t="s">
        <v>2352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397</v>
      </c>
      <c r="I2210" t="s">
        <v>397</v>
      </c>
      <c r="J2210">
        <v>2805</v>
      </c>
      <c r="K2210">
        <v>2.11</v>
      </c>
      <c r="L2210">
        <v>0</v>
      </c>
      <c r="M2210">
        <v>0</v>
      </c>
    </row>
    <row r="2211" spans="1:13">
      <c r="A2211" s="28">
        <v>89530</v>
      </c>
      <c r="B2211" t="s">
        <v>2353</v>
      </c>
      <c r="C2211">
        <v>600</v>
      </c>
      <c r="D2211">
        <v>0</v>
      </c>
      <c r="E2211">
        <v>0</v>
      </c>
      <c r="F2211" t="s">
        <v>397</v>
      </c>
      <c r="G2211" t="s">
        <v>397</v>
      </c>
      <c r="H2211" t="s">
        <v>397</v>
      </c>
      <c r="I2211" t="s">
        <v>397</v>
      </c>
      <c r="J2211">
        <v>612</v>
      </c>
      <c r="K2211">
        <v>0.98</v>
      </c>
      <c r="L2211">
        <v>0</v>
      </c>
      <c r="M2211">
        <v>0</v>
      </c>
    </row>
    <row r="2212" spans="1:13">
      <c r="A2212" s="28">
        <v>236810</v>
      </c>
      <c r="B2212" t="s">
        <v>2354</v>
      </c>
      <c r="C2212">
        <v>6930</v>
      </c>
      <c r="D2212">
        <v>-140</v>
      </c>
      <c r="E2212">
        <v>-1.98</v>
      </c>
      <c r="F2212" t="s">
        <v>397</v>
      </c>
      <c r="G2212" t="s">
        <v>397</v>
      </c>
      <c r="H2212" t="s">
        <v>397</v>
      </c>
      <c r="I2212" t="s">
        <v>397</v>
      </c>
      <c r="J2212">
        <v>2248</v>
      </c>
      <c r="K2212">
        <v>3.08</v>
      </c>
      <c r="L2212">
        <v>0</v>
      </c>
      <c r="M2212">
        <v>0</v>
      </c>
    </row>
    <row r="2213" spans="1:13">
      <c r="A2213" s="28">
        <v>391060</v>
      </c>
      <c r="B2213" t="s">
        <v>2355</v>
      </c>
      <c r="C2213">
        <v>10260</v>
      </c>
      <c r="D2213">
        <v>30</v>
      </c>
      <c r="E2213">
        <v>0.28999999999999998</v>
      </c>
      <c r="F2213" t="s">
        <v>397</v>
      </c>
      <c r="G2213" t="s">
        <v>397</v>
      </c>
      <c r="H2213" t="s">
        <v>397</v>
      </c>
      <c r="I2213" t="s">
        <v>397</v>
      </c>
      <c r="J2213" t="s">
        <v>397</v>
      </c>
      <c r="K2213" t="s">
        <v>397</v>
      </c>
      <c r="L2213">
        <v>0</v>
      </c>
      <c r="M2213">
        <v>0</v>
      </c>
    </row>
    <row r="2214" spans="1:13">
      <c r="A2214" s="28">
        <v>373170</v>
      </c>
      <c r="B2214" t="s">
        <v>2356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397</v>
      </c>
      <c r="I2214" t="s">
        <v>397</v>
      </c>
      <c r="J2214">
        <v>1445</v>
      </c>
      <c r="K2214">
        <v>9.34</v>
      </c>
      <c r="L2214">
        <v>0</v>
      </c>
      <c r="M2214">
        <v>0</v>
      </c>
    </row>
    <row r="2215" spans="1:13">
      <c r="A2215" s="28">
        <v>348370</v>
      </c>
      <c r="B2215" t="s">
        <v>2357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397</v>
      </c>
      <c r="I2215" t="s">
        <v>397</v>
      </c>
      <c r="J2215">
        <v>17886</v>
      </c>
      <c r="K2215">
        <v>12.92</v>
      </c>
      <c r="L2215">
        <v>0</v>
      </c>
      <c r="M2215">
        <v>0</v>
      </c>
    </row>
    <row r="2216" spans="1:13">
      <c r="A2216" s="28">
        <v>58970</v>
      </c>
      <c r="B2216" t="s">
        <v>2358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397</v>
      </c>
      <c r="I2216" t="s">
        <v>397</v>
      </c>
      <c r="J2216">
        <v>4519</v>
      </c>
      <c r="K2216">
        <v>12.75</v>
      </c>
      <c r="L2216">
        <v>0</v>
      </c>
      <c r="M2216">
        <v>0</v>
      </c>
    </row>
    <row r="2217" spans="1:13">
      <c r="A2217" s="28">
        <v>58630</v>
      </c>
      <c r="B2217" t="s">
        <v>2359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397</v>
      </c>
      <c r="I2217" t="s">
        <v>397</v>
      </c>
      <c r="J2217">
        <v>4868</v>
      </c>
      <c r="K2217">
        <v>1.19</v>
      </c>
      <c r="L2217">
        <v>0</v>
      </c>
      <c r="M2217">
        <v>0</v>
      </c>
    </row>
    <row r="2218" spans="1:13">
      <c r="A2218" s="28">
        <v>170920</v>
      </c>
      <c r="B2218" t="s">
        <v>2360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397</v>
      </c>
      <c r="I2218" t="s">
        <v>397</v>
      </c>
      <c r="J2218">
        <v>10649</v>
      </c>
      <c r="K2218">
        <v>1.32</v>
      </c>
      <c r="L2218">
        <v>0</v>
      </c>
      <c r="M2218">
        <v>0</v>
      </c>
    </row>
    <row r="2219" spans="1:13">
      <c r="A2219" s="28">
        <v>37950</v>
      </c>
      <c r="B2219" t="s">
        <v>2361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397</v>
      </c>
      <c r="I2219" t="s">
        <v>397</v>
      </c>
      <c r="J2219">
        <v>863</v>
      </c>
      <c r="K2219">
        <v>1.56</v>
      </c>
      <c r="L2219">
        <v>0</v>
      </c>
      <c r="M2219">
        <v>0</v>
      </c>
    </row>
    <row r="2220" spans="1:13">
      <c r="A2220" s="28">
        <v>156100</v>
      </c>
      <c r="B2220" t="s">
        <v>2362</v>
      </c>
      <c r="C2220">
        <v>8420</v>
      </c>
      <c r="D2220">
        <v>120</v>
      </c>
      <c r="E2220">
        <v>1.45</v>
      </c>
      <c r="F2220" t="s">
        <v>397</v>
      </c>
      <c r="G2220" t="s">
        <v>397</v>
      </c>
      <c r="H2220" t="s">
        <v>397</v>
      </c>
      <c r="I2220" t="s">
        <v>397</v>
      </c>
      <c r="J2220">
        <v>824</v>
      </c>
      <c r="K2220">
        <v>10.220000000000001</v>
      </c>
      <c r="L2220">
        <v>0</v>
      </c>
      <c r="M2220">
        <v>0</v>
      </c>
    </row>
    <row r="2221" spans="1:13">
      <c r="A2221" s="28">
        <v>96870</v>
      </c>
      <c r="B2221" t="s">
        <v>2363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397</v>
      </c>
      <c r="I2221" t="s">
        <v>397</v>
      </c>
      <c r="J2221">
        <v>2308</v>
      </c>
      <c r="K2221">
        <v>1.23</v>
      </c>
      <c r="L2221">
        <v>0</v>
      </c>
      <c r="M2221">
        <v>0</v>
      </c>
    </row>
    <row r="2222" spans="1:13">
      <c r="A2222" s="28">
        <v>198080</v>
      </c>
      <c r="B2222" t="s">
        <v>2364</v>
      </c>
      <c r="C2222">
        <v>2420</v>
      </c>
      <c r="D2222">
        <v>-65</v>
      </c>
      <c r="E2222">
        <v>-2.62</v>
      </c>
      <c r="F2222" t="s">
        <v>397</v>
      </c>
      <c r="G2222" t="s">
        <v>397</v>
      </c>
      <c r="H2222" t="s">
        <v>397</v>
      </c>
      <c r="I2222" t="s">
        <v>397</v>
      </c>
      <c r="J2222">
        <v>4249</v>
      </c>
      <c r="K2222">
        <v>0.56999999999999995</v>
      </c>
      <c r="L2222">
        <v>0</v>
      </c>
      <c r="M2222">
        <v>0</v>
      </c>
    </row>
    <row r="2223" spans="1:13">
      <c r="A2223" s="28">
        <v>291230</v>
      </c>
      <c r="B2223" t="s">
        <v>2365</v>
      </c>
      <c r="C2223">
        <v>3075</v>
      </c>
      <c r="D2223">
        <v>-60</v>
      </c>
      <c r="E2223">
        <v>-1.91</v>
      </c>
      <c r="F2223" t="s">
        <v>397</v>
      </c>
      <c r="G2223" t="s">
        <v>397</v>
      </c>
      <c r="H2223" t="s">
        <v>397</v>
      </c>
      <c r="I2223" t="s">
        <v>397</v>
      </c>
      <c r="J2223">
        <v>732</v>
      </c>
      <c r="K2223">
        <v>4.2</v>
      </c>
      <c r="L2223">
        <v>0</v>
      </c>
      <c r="M2223">
        <v>0</v>
      </c>
    </row>
    <row r="2224" spans="1:13">
      <c r="A2224" s="28">
        <v>227950</v>
      </c>
      <c r="B2224" t="s">
        <v>2366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397</v>
      </c>
      <c r="I2224" t="s">
        <v>397</v>
      </c>
      <c r="J2224">
        <v>962</v>
      </c>
      <c r="K2224">
        <v>0.82</v>
      </c>
      <c r="L2224">
        <v>0</v>
      </c>
      <c r="M2224">
        <v>0</v>
      </c>
    </row>
    <row r="2225" spans="1:13">
      <c r="A2225" s="28">
        <v>69410</v>
      </c>
      <c r="B2225" t="s">
        <v>2367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397</v>
      </c>
      <c r="I2225" t="s">
        <v>397</v>
      </c>
      <c r="J2225">
        <v>5273</v>
      </c>
      <c r="K2225">
        <v>0.97</v>
      </c>
      <c r="L2225">
        <v>0</v>
      </c>
      <c r="M2225">
        <v>0</v>
      </c>
    </row>
    <row r="2226" spans="1:13">
      <c r="A2226" s="28">
        <v>58450</v>
      </c>
      <c r="B2226" t="s">
        <v>2368</v>
      </c>
      <c r="C2226">
        <v>3000</v>
      </c>
      <c r="D2226">
        <v>75</v>
      </c>
      <c r="E2226">
        <v>2.56</v>
      </c>
      <c r="F2226" t="s">
        <v>397</v>
      </c>
      <c r="G2226" t="s">
        <v>397</v>
      </c>
      <c r="H2226" t="s">
        <v>397</v>
      </c>
      <c r="I2226" t="s">
        <v>397</v>
      </c>
      <c r="J2226">
        <v>1410</v>
      </c>
      <c r="K2226">
        <v>2.13</v>
      </c>
      <c r="L2226">
        <v>0</v>
      </c>
      <c r="M2226">
        <v>0</v>
      </c>
    </row>
    <row r="2227" spans="1:13">
      <c r="A2227" s="28">
        <v>182400</v>
      </c>
      <c r="B2227" t="s">
        <v>2369</v>
      </c>
      <c r="C2227">
        <v>1950</v>
      </c>
      <c r="D2227">
        <v>54</v>
      </c>
      <c r="E2227">
        <v>2.85</v>
      </c>
      <c r="F2227" t="s">
        <v>397</v>
      </c>
      <c r="G2227" t="s">
        <v>397</v>
      </c>
      <c r="H2227" t="s">
        <v>397</v>
      </c>
      <c r="I2227" t="s">
        <v>397</v>
      </c>
      <c r="J2227">
        <v>1079</v>
      </c>
      <c r="K2227">
        <v>1.81</v>
      </c>
      <c r="L2227">
        <v>0</v>
      </c>
      <c r="M2227">
        <v>0</v>
      </c>
    </row>
    <row r="2228" spans="1:13">
      <c r="A2228" s="28">
        <v>422040</v>
      </c>
      <c r="B2228" t="s">
        <v>2370</v>
      </c>
      <c r="C2228">
        <v>2140</v>
      </c>
      <c r="D2228">
        <v>-10</v>
      </c>
      <c r="E2228">
        <v>-0.47</v>
      </c>
      <c r="F2228" t="s">
        <v>397</v>
      </c>
      <c r="G2228" t="s">
        <v>397</v>
      </c>
      <c r="H2228" t="s">
        <v>397</v>
      </c>
      <c r="I2228" t="s">
        <v>397</v>
      </c>
      <c r="J2228" t="s">
        <v>397</v>
      </c>
      <c r="K2228" t="s">
        <v>397</v>
      </c>
      <c r="L2228">
        <v>0</v>
      </c>
      <c r="M2228">
        <v>0</v>
      </c>
    </row>
    <row r="2229" spans="1:13">
      <c r="A2229" s="28">
        <v>85310</v>
      </c>
      <c r="B2229" t="s">
        <v>2371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397</v>
      </c>
      <c r="I2229" t="s">
        <v>397</v>
      </c>
      <c r="J2229">
        <v>1457</v>
      </c>
      <c r="K2229">
        <v>0.63</v>
      </c>
      <c r="L2229">
        <v>0</v>
      </c>
      <c r="M2229">
        <v>0</v>
      </c>
    </row>
    <row r="2230" spans="1:13">
      <c r="A2230" s="28">
        <v>183490</v>
      </c>
      <c r="B2230" t="s">
        <v>2372</v>
      </c>
      <c r="C2230">
        <v>1657</v>
      </c>
      <c r="D2230">
        <v>-3</v>
      </c>
      <c r="E2230">
        <v>-0.18</v>
      </c>
      <c r="F2230" t="s">
        <v>397</v>
      </c>
      <c r="G2230" t="s">
        <v>397</v>
      </c>
      <c r="H2230" t="s">
        <v>397</v>
      </c>
      <c r="I2230" t="s">
        <v>397</v>
      </c>
      <c r="J2230">
        <v>2394</v>
      </c>
      <c r="K2230">
        <v>0.69</v>
      </c>
      <c r="L2230">
        <v>0</v>
      </c>
      <c r="M2230">
        <v>0</v>
      </c>
    </row>
    <row r="2231" spans="1:13">
      <c r="A2231" s="28">
        <v>208860</v>
      </c>
      <c r="B2231" t="s">
        <v>2373</v>
      </c>
      <c r="C2231">
        <v>2205</v>
      </c>
      <c r="D2231">
        <v>0</v>
      </c>
      <c r="E2231">
        <v>0</v>
      </c>
      <c r="F2231" t="s">
        <v>397</v>
      </c>
      <c r="G2231" t="s">
        <v>397</v>
      </c>
      <c r="H2231" t="s">
        <v>397</v>
      </c>
      <c r="I2231" t="s">
        <v>397</v>
      </c>
      <c r="J2231">
        <v>584</v>
      </c>
      <c r="K2231">
        <v>3.78</v>
      </c>
      <c r="L2231">
        <v>0</v>
      </c>
      <c r="M2231">
        <v>0</v>
      </c>
    </row>
    <row r="2232" spans="1:13">
      <c r="A2232" s="28">
        <v>419080</v>
      </c>
      <c r="B2232" t="s">
        <v>2374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397</v>
      </c>
      <c r="I2232" t="s">
        <v>397</v>
      </c>
      <c r="J2232">
        <v>4504</v>
      </c>
      <c r="K2232">
        <v>2.89</v>
      </c>
      <c r="L2232">
        <v>0</v>
      </c>
      <c r="M2232">
        <v>0</v>
      </c>
    </row>
    <row r="2233" spans="1:13">
      <c r="A2233" s="28">
        <v>354200</v>
      </c>
      <c r="B2233" t="s">
        <v>2375</v>
      </c>
      <c r="C2233">
        <v>4700</v>
      </c>
      <c r="D2233">
        <v>-10</v>
      </c>
      <c r="E2233">
        <v>-0.21</v>
      </c>
      <c r="F2233" t="s">
        <v>397</v>
      </c>
      <c r="G2233" t="s">
        <v>397</v>
      </c>
      <c r="H2233" t="s">
        <v>397</v>
      </c>
      <c r="I2233" t="s">
        <v>397</v>
      </c>
      <c r="J2233">
        <v>2020</v>
      </c>
      <c r="K2233">
        <v>2.33</v>
      </c>
      <c r="L2233">
        <v>0</v>
      </c>
      <c r="M2233">
        <v>0</v>
      </c>
    </row>
    <row r="2234" spans="1:13">
      <c r="A2234" s="28">
        <v>466910</v>
      </c>
      <c r="B2234" t="s">
        <v>2376</v>
      </c>
      <c r="C2234">
        <v>2020</v>
      </c>
      <c r="D2234">
        <v>0</v>
      </c>
      <c r="E2234">
        <v>0</v>
      </c>
      <c r="F2234" t="s">
        <v>397</v>
      </c>
      <c r="G2234" t="s">
        <v>397</v>
      </c>
      <c r="H2234" t="s">
        <v>397</v>
      </c>
      <c r="I2234" t="s">
        <v>397</v>
      </c>
      <c r="J2234" t="s">
        <v>397</v>
      </c>
      <c r="K2234" t="s">
        <v>397</v>
      </c>
      <c r="L2234">
        <v>0</v>
      </c>
      <c r="M2234">
        <v>0</v>
      </c>
    </row>
    <row r="2235" spans="1:13">
      <c r="A2235" s="28">
        <v>451700</v>
      </c>
      <c r="B2235" t="s">
        <v>2377</v>
      </c>
      <c r="C2235">
        <v>2020</v>
      </c>
      <c r="D2235">
        <v>10</v>
      </c>
      <c r="E2235">
        <v>0.5</v>
      </c>
      <c r="F2235" t="s">
        <v>397</v>
      </c>
      <c r="G2235" t="s">
        <v>397</v>
      </c>
      <c r="H2235" t="s">
        <v>397</v>
      </c>
      <c r="I2235" t="s">
        <v>397</v>
      </c>
      <c r="J2235" t="s">
        <v>397</v>
      </c>
      <c r="K2235" t="s">
        <v>397</v>
      </c>
      <c r="L2235">
        <v>0</v>
      </c>
      <c r="M2235">
        <v>0</v>
      </c>
    </row>
    <row r="2236" spans="1:13">
      <c r="A2236" s="28">
        <v>440820</v>
      </c>
      <c r="B2236" t="s">
        <v>2378</v>
      </c>
      <c r="C2236">
        <v>2065</v>
      </c>
      <c r="D2236">
        <v>0</v>
      </c>
      <c r="E2236">
        <v>0</v>
      </c>
      <c r="F2236" t="s">
        <v>397</v>
      </c>
      <c r="G2236" t="s">
        <v>397</v>
      </c>
      <c r="H2236" t="s">
        <v>397</v>
      </c>
      <c r="I2236" t="s">
        <v>397</v>
      </c>
      <c r="J2236" t="s">
        <v>397</v>
      </c>
      <c r="K2236" t="s">
        <v>397</v>
      </c>
      <c r="L2236">
        <v>0</v>
      </c>
      <c r="M2236">
        <v>0</v>
      </c>
    </row>
    <row r="2237" spans="1:13">
      <c r="A2237" s="28">
        <v>439410</v>
      </c>
      <c r="B2237" t="s">
        <v>2379</v>
      </c>
      <c r="C2237">
        <v>2055</v>
      </c>
      <c r="D2237">
        <v>-5</v>
      </c>
      <c r="E2237">
        <v>-0.24</v>
      </c>
      <c r="F2237" t="s">
        <v>397</v>
      </c>
      <c r="G2237" t="s">
        <v>397</v>
      </c>
      <c r="H2237" t="s">
        <v>397</v>
      </c>
      <c r="I2237" t="s">
        <v>397</v>
      </c>
      <c r="J2237" t="s">
        <v>397</v>
      </c>
      <c r="K2237" t="s">
        <v>397</v>
      </c>
      <c r="L2237">
        <v>0</v>
      </c>
      <c r="M2237">
        <v>0</v>
      </c>
    </row>
    <row r="2238" spans="1:13">
      <c r="A2238" s="28">
        <v>438580</v>
      </c>
      <c r="B2238" t="s">
        <v>2380</v>
      </c>
      <c r="C2238">
        <v>2325</v>
      </c>
      <c r="D2238">
        <v>10</v>
      </c>
      <c r="E2238">
        <v>0.43</v>
      </c>
      <c r="F2238" t="s">
        <v>397</v>
      </c>
      <c r="G2238" t="s">
        <v>397</v>
      </c>
      <c r="H2238" t="s">
        <v>397</v>
      </c>
      <c r="I2238" t="s">
        <v>397</v>
      </c>
      <c r="J2238" t="s">
        <v>397</v>
      </c>
      <c r="K2238" t="s">
        <v>397</v>
      </c>
      <c r="L2238">
        <v>0</v>
      </c>
      <c r="M2238">
        <v>0</v>
      </c>
    </row>
    <row r="2239" spans="1:13">
      <c r="A2239" s="28">
        <v>437780</v>
      </c>
      <c r="B2239" t="s">
        <v>2381</v>
      </c>
      <c r="C2239">
        <v>2165</v>
      </c>
      <c r="D2239">
        <v>15</v>
      </c>
      <c r="E2239">
        <v>0.7</v>
      </c>
      <c r="F2239" t="s">
        <v>397</v>
      </c>
      <c r="G2239" t="s">
        <v>397</v>
      </c>
      <c r="H2239" t="s">
        <v>397</v>
      </c>
      <c r="I2239" t="s">
        <v>397</v>
      </c>
      <c r="J2239" t="s">
        <v>397</v>
      </c>
      <c r="K2239" t="s">
        <v>397</v>
      </c>
      <c r="L2239">
        <v>0</v>
      </c>
      <c r="M2239">
        <v>0</v>
      </c>
    </row>
    <row r="2240" spans="1:13">
      <c r="A2240" s="28">
        <v>71670</v>
      </c>
      <c r="B2240" t="s">
        <v>2382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397</v>
      </c>
      <c r="I2240" t="s">
        <v>397</v>
      </c>
      <c r="J2240">
        <v>8402</v>
      </c>
      <c r="K2240">
        <v>1.2</v>
      </c>
      <c r="L2240">
        <v>0</v>
      </c>
      <c r="M2240">
        <v>0</v>
      </c>
    </row>
    <row r="2241" spans="1:13">
      <c r="A2241" s="28">
        <v>355690</v>
      </c>
      <c r="B2241" t="s">
        <v>2383</v>
      </c>
      <c r="C2241">
        <v>13930</v>
      </c>
      <c r="D2241">
        <v>-180</v>
      </c>
      <c r="E2241">
        <v>-1.28</v>
      </c>
      <c r="F2241" t="s">
        <v>397</v>
      </c>
      <c r="G2241" t="s">
        <v>397</v>
      </c>
      <c r="H2241" t="s">
        <v>397</v>
      </c>
      <c r="I2241" t="s">
        <v>397</v>
      </c>
      <c r="J2241">
        <v>495</v>
      </c>
      <c r="K2241">
        <v>28.14</v>
      </c>
      <c r="L2241">
        <v>0</v>
      </c>
      <c r="M2241">
        <v>0</v>
      </c>
    </row>
    <row r="2242" spans="1:13">
      <c r="A2242" s="28">
        <v>148930</v>
      </c>
      <c r="B2242" t="s">
        <v>2384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397</v>
      </c>
      <c r="I2242" t="s">
        <v>397</v>
      </c>
      <c r="J2242">
        <v>5458</v>
      </c>
      <c r="K2242">
        <v>1.3</v>
      </c>
      <c r="L2242">
        <v>0</v>
      </c>
      <c r="M2242">
        <v>0</v>
      </c>
    </row>
    <row r="2243" spans="1:13">
      <c r="A2243" s="28">
        <v>95910</v>
      </c>
      <c r="B2243" t="s">
        <v>2385</v>
      </c>
      <c r="C2243">
        <v>1811</v>
      </c>
      <c r="D2243">
        <v>1</v>
      </c>
      <c r="E2243">
        <v>0.06</v>
      </c>
      <c r="F2243" t="s">
        <v>397</v>
      </c>
      <c r="G2243" t="s">
        <v>397</v>
      </c>
      <c r="H2243" t="s">
        <v>397</v>
      </c>
      <c r="I2243" t="s">
        <v>397</v>
      </c>
      <c r="J2243">
        <v>3518</v>
      </c>
      <c r="K2243">
        <v>0.51</v>
      </c>
      <c r="L2243">
        <v>0</v>
      </c>
      <c r="M2243">
        <v>0</v>
      </c>
    </row>
    <row r="2244" spans="1:13">
      <c r="A2244" s="28">
        <v>435870</v>
      </c>
      <c r="B2244" t="s">
        <v>2386</v>
      </c>
      <c r="C2244">
        <v>2240</v>
      </c>
      <c r="D2244">
        <v>0</v>
      </c>
      <c r="E2244">
        <v>0</v>
      </c>
      <c r="F2244" t="s">
        <v>397</v>
      </c>
      <c r="G2244" t="s">
        <v>397</v>
      </c>
      <c r="H2244" t="s">
        <v>397</v>
      </c>
      <c r="I2244" t="s">
        <v>397</v>
      </c>
      <c r="J2244" t="s">
        <v>397</v>
      </c>
      <c r="K2244" t="s">
        <v>397</v>
      </c>
      <c r="L2244">
        <v>0</v>
      </c>
      <c r="M2244">
        <v>0</v>
      </c>
    </row>
    <row r="2245" spans="1:13">
      <c r="A2245" s="28">
        <v>472230</v>
      </c>
      <c r="B2245" t="s">
        <v>2387</v>
      </c>
      <c r="C2245">
        <v>2095</v>
      </c>
      <c r="D2245">
        <v>0</v>
      </c>
      <c r="E2245">
        <v>0</v>
      </c>
      <c r="F2245" t="s">
        <v>397</v>
      </c>
      <c r="G2245" t="s">
        <v>397</v>
      </c>
      <c r="H2245" t="s">
        <v>397</v>
      </c>
      <c r="I2245" t="s">
        <v>397</v>
      </c>
      <c r="J2245" t="s">
        <v>397</v>
      </c>
      <c r="K2245" t="s">
        <v>397</v>
      </c>
      <c r="L2245">
        <v>0</v>
      </c>
      <c r="M2245">
        <v>0</v>
      </c>
    </row>
    <row r="2246" spans="1:13">
      <c r="A2246" s="28">
        <v>457940</v>
      </c>
      <c r="B2246" t="s">
        <v>2388</v>
      </c>
      <c r="C2246">
        <v>2340</v>
      </c>
      <c r="D2246">
        <v>10</v>
      </c>
      <c r="E2246">
        <v>0.43</v>
      </c>
      <c r="F2246" t="s">
        <v>397</v>
      </c>
      <c r="G2246" t="s">
        <v>397</v>
      </c>
      <c r="H2246" t="s">
        <v>397</v>
      </c>
      <c r="I2246" t="s">
        <v>397</v>
      </c>
      <c r="J2246" t="s">
        <v>397</v>
      </c>
      <c r="K2246" t="s">
        <v>397</v>
      </c>
      <c r="L2246">
        <v>0</v>
      </c>
      <c r="M2246">
        <v>0</v>
      </c>
    </row>
    <row r="2247" spans="1:13">
      <c r="A2247" s="28">
        <v>31860</v>
      </c>
      <c r="B2247" t="s">
        <v>2389</v>
      </c>
      <c r="C2247">
        <v>195</v>
      </c>
      <c r="D2247">
        <v>-4</v>
      </c>
      <c r="E2247">
        <v>-2.0099999999999998</v>
      </c>
      <c r="F2247" t="s">
        <v>397</v>
      </c>
      <c r="G2247" t="s">
        <v>397</v>
      </c>
      <c r="H2247" t="s">
        <v>397</v>
      </c>
      <c r="I2247" t="s">
        <v>397</v>
      </c>
      <c r="J2247">
        <v>688</v>
      </c>
      <c r="K2247">
        <v>0.28000000000000003</v>
      </c>
      <c r="L2247">
        <v>0</v>
      </c>
      <c r="M2247">
        <v>0</v>
      </c>
    </row>
    <row r="2248" spans="1:13">
      <c r="A2248" s="28">
        <v>365330</v>
      </c>
      <c r="B2248" t="s">
        <v>2390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397</v>
      </c>
      <c r="I2248" t="s">
        <v>397</v>
      </c>
      <c r="J2248">
        <v>954</v>
      </c>
      <c r="K2248">
        <v>3.17</v>
      </c>
      <c r="L2248">
        <v>0</v>
      </c>
      <c r="M2248">
        <v>0</v>
      </c>
    </row>
    <row r="2249" spans="1:13">
      <c r="A2249" s="28">
        <v>109610</v>
      </c>
      <c r="B2249" t="s">
        <v>2391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397</v>
      </c>
      <c r="I2249" t="s">
        <v>397</v>
      </c>
      <c r="J2249">
        <v>3719</v>
      </c>
      <c r="K2249">
        <v>1.3</v>
      </c>
      <c r="L2249">
        <v>0</v>
      </c>
      <c r="M2249">
        <v>0</v>
      </c>
    </row>
    <row r="2250" spans="1:13">
      <c r="A2250" s="28">
        <v>10580</v>
      </c>
      <c r="B2250" t="s">
        <v>2392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397</v>
      </c>
      <c r="I2250" t="s">
        <v>397</v>
      </c>
      <c r="J2250">
        <v>603</v>
      </c>
      <c r="K2250">
        <v>2.67</v>
      </c>
      <c r="L2250">
        <v>0</v>
      </c>
      <c r="M2250">
        <v>0</v>
      </c>
    </row>
    <row r="2251" spans="1:13">
      <c r="A2251" s="28">
        <v>246250</v>
      </c>
      <c r="B2251" t="s">
        <v>2393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397</v>
      </c>
      <c r="I2251" t="s">
        <v>397</v>
      </c>
      <c r="J2251">
        <v>977</v>
      </c>
      <c r="K2251">
        <v>5.38</v>
      </c>
      <c r="L2251">
        <v>0</v>
      </c>
      <c r="M2251">
        <v>0</v>
      </c>
    </row>
    <row r="2252" spans="1:13">
      <c r="A2252" s="28">
        <v>214310</v>
      </c>
      <c r="B2252" t="s">
        <v>2394</v>
      </c>
      <c r="C2252">
        <v>306</v>
      </c>
      <c r="D2252">
        <v>0</v>
      </c>
      <c r="E2252">
        <v>0</v>
      </c>
      <c r="F2252" t="s">
        <v>397</v>
      </c>
      <c r="G2252" t="s">
        <v>397</v>
      </c>
      <c r="H2252" t="s">
        <v>397</v>
      </c>
      <c r="I2252" t="s">
        <v>397</v>
      </c>
      <c r="J2252">
        <v>972</v>
      </c>
      <c r="K2252">
        <v>0.31</v>
      </c>
      <c r="L2252">
        <v>0</v>
      </c>
      <c r="M2252">
        <v>0</v>
      </c>
    </row>
    <row r="2253" spans="1:13">
      <c r="A2253" s="28">
        <v>80000</v>
      </c>
      <c r="B2253" t="s">
        <v>2395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397</v>
      </c>
      <c r="I2253" t="s">
        <v>397</v>
      </c>
      <c r="J2253">
        <v>3989</v>
      </c>
      <c r="K2253">
        <v>0.69</v>
      </c>
      <c r="L2253">
        <v>0</v>
      </c>
      <c r="M2253">
        <v>0</v>
      </c>
    </row>
    <row r="2254" spans="1:13">
      <c r="A2254" s="28">
        <v>275630</v>
      </c>
      <c r="B2254" t="s">
        <v>2396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397</v>
      </c>
      <c r="I2254" t="s">
        <v>397</v>
      </c>
      <c r="J2254">
        <v>4626</v>
      </c>
      <c r="K2254">
        <v>0.9</v>
      </c>
      <c r="L2254">
        <v>0</v>
      </c>
      <c r="M2254">
        <v>0</v>
      </c>
    </row>
    <row r="2255" spans="1:13">
      <c r="A2255" s="28">
        <v>103230</v>
      </c>
      <c r="B2255" t="s">
        <v>2397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397</v>
      </c>
      <c r="I2255" t="s">
        <v>397</v>
      </c>
      <c r="J2255">
        <v>5907</v>
      </c>
      <c r="K2255">
        <v>0.69</v>
      </c>
      <c r="L2255">
        <v>0</v>
      </c>
      <c r="M2255">
        <v>0</v>
      </c>
    </row>
    <row r="2256" spans="1:13">
      <c r="A2256" s="28">
        <v>462020</v>
      </c>
      <c r="B2256" t="s">
        <v>2398</v>
      </c>
      <c r="C2256">
        <v>2060</v>
      </c>
      <c r="D2256">
        <v>-5</v>
      </c>
      <c r="E2256">
        <v>-0.24</v>
      </c>
      <c r="F2256" t="s">
        <v>397</v>
      </c>
      <c r="G2256" t="s">
        <v>397</v>
      </c>
      <c r="H2256" t="s">
        <v>397</v>
      </c>
      <c r="I2256" t="s">
        <v>397</v>
      </c>
      <c r="J2256" t="s">
        <v>397</v>
      </c>
      <c r="K2256" t="s">
        <v>397</v>
      </c>
      <c r="L2256">
        <v>0</v>
      </c>
      <c r="M2256">
        <v>0</v>
      </c>
    </row>
    <row r="2257" spans="1:13">
      <c r="A2257" s="28">
        <v>65420</v>
      </c>
      <c r="B2257" t="s">
        <v>2399</v>
      </c>
      <c r="C2257">
        <v>229</v>
      </c>
      <c r="D2257">
        <v>-24</v>
      </c>
      <c r="E2257">
        <v>-9.49</v>
      </c>
      <c r="F2257" t="s">
        <v>397</v>
      </c>
      <c r="G2257" t="s">
        <v>397</v>
      </c>
      <c r="H2257" t="s">
        <v>397</v>
      </c>
      <c r="I2257" t="s">
        <v>397</v>
      </c>
      <c r="J2257">
        <v>259</v>
      </c>
      <c r="K2257">
        <v>0.88</v>
      </c>
      <c r="L2257">
        <v>0</v>
      </c>
      <c r="M2257">
        <v>0</v>
      </c>
    </row>
    <row r="2258" spans="1:13">
      <c r="A2258" s="28">
        <v>298060</v>
      </c>
      <c r="B2258" t="s">
        <v>2400</v>
      </c>
      <c r="C2258">
        <v>2935</v>
      </c>
      <c r="D2258">
        <v>-10</v>
      </c>
      <c r="E2258">
        <v>-0.34</v>
      </c>
      <c r="F2258" t="s">
        <v>397</v>
      </c>
      <c r="G2258" t="s">
        <v>397</v>
      </c>
      <c r="H2258" t="s">
        <v>397</v>
      </c>
      <c r="I2258" t="s">
        <v>397</v>
      </c>
      <c r="J2258">
        <v>1542</v>
      </c>
      <c r="K2258">
        <v>1.9</v>
      </c>
      <c r="L2258">
        <v>0</v>
      </c>
      <c r="M2258">
        <v>0</v>
      </c>
    </row>
    <row r="2259" spans="1:13">
      <c r="A2259" s="28">
        <v>389500</v>
      </c>
      <c r="B2259" t="s">
        <v>2401</v>
      </c>
      <c r="C2259">
        <v>36800</v>
      </c>
      <c r="D2259">
        <v>-100</v>
      </c>
      <c r="E2259">
        <v>-0.27</v>
      </c>
      <c r="F2259" t="s">
        <v>397</v>
      </c>
      <c r="G2259" t="s">
        <v>397</v>
      </c>
      <c r="H2259" t="s">
        <v>397</v>
      </c>
      <c r="I2259" t="s">
        <v>397</v>
      </c>
      <c r="J2259">
        <v>3701</v>
      </c>
      <c r="K2259">
        <v>9.94</v>
      </c>
      <c r="L2259">
        <v>0</v>
      </c>
      <c r="M2259">
        <v>0</v>
      </c>
    </row>
    <row r="2260" spans="1:13">
      <c r="A2260" s="28">
        <v>304360</v>
      </c>
      <c r="B2260" t="s">
        <v>2402</v>
      </c>
      <c r="C2260">
        <v>10300</v>
      </c>
      <c r="D2260">
        <v>-400</v>
      </c>
      <c r="E2260">
        <v>-3.74</v>
      </c>
      <c r="F2260" t="s">
        <v>397</v>
      </c>
      <c r="G2260" t="s">
        <v>397</v>
      </c>
      <c r="H2260" t="s">
        <v>397</v>
      </c>
      <c r="I2260" t="s">
        <v>397</v>
      </c>
      <c r="J2260" t="s">
        <v>397</v>
      </c>
      <c r="K2260" t="s">
        <v>397</v>
      </c>
      <c r="L2260">
        <v>0</v>
      </c>
      <c r="M2260">
        <v>0</v>
      </c>
    </row>
    <row r="2261" spans="1:13">
      <c r="A2261" s="28">
        <v>118000</v>
      </c>
      <c r="B2261" t="s">
        <v>2403</v>
      </c>
      <c r="C2261">
        <v>504</v>
      </c>
      <c r="D2261">
        <v>-8</v>
      </c>
      <c r="E2261">
        <v>-1.56</v>
      </c>
      <c r="F2261" t="s">
        <v>397</v>
      </c>
      <c r="G2261" t="s">
        <v>397</v>
      </c>
      <c r="H2261" t="s">
        <v>397</v>
      </c>
      <c r="I2261" t="s">
        <v>397</v>
      </c>
      <c r="J2261">
        <v>1172</v>
      </c>
      <c r="K2261">
        <v>0.43</v>
      </c>
      <c r="L2261">
        <v>0</v>
      </c>
      <c r="M2261">
        <v>0</v>
      </c>
    </row>
    <row r="2262" spans="1:13">
      <c r="A2262" s="28">
        <v>121890</v>
      </c>
      <c r="B2262" t="s">
        <v>2404</v>
      </c>
      <c r="C2262">
        <v>1902</v>
      </c>
      <c r="D2262">
        <v>57</v>
      </c>
      <c r="E2262">
        <v>3.09</v>
      </c>
      <c r="F2262" t="s">
        <v>397</v>
      </c>
      <c r="G2262" t="s">
        <v>397</v>
      </c>
      <c r="H2262" t="s">
        <v>397</v>
      </c>
      <c r="I2262" t="s">
        <v>397</v>
      </c>
      <c r="J2262">
        <v>739</v>
      </c>
      <c r="K2262">
        <v>2.57</v>
      </c>
      <c r="L2262">
        <v>0</v>
      </c>
      <c r="M2262">
        <v>0</v>
      </c>
    </row>
    <row r="2263" spans="1:13">
      <c r="A2263" s="28">
        <v>217480</v>
      </c>
      <c r="B2263" t="s">
        <v>2405</v>
      </c>
      <c r="C2263">
        <v>499</v>
      </c>
      <c r="D2263">
        <v>0</v>
      </c>
      <c r="E2263">
        <v>0</v>
      </c>
      <c r="F2263" t="s">
        <v>397</v>
      </c>
      <c r="G2263" t="s">
        <v>397</v>
      </c>
      <c r="H2263" t="s">
        <v>397</v>
      </c>
      <c r="I2263" t="s">
        <v>397</v>
      </c>
      <c r="J2263">
        <v>895</v>
      </c>
      <c r="K2263">
        <v>0.56000000000000005</v>
      </c>
      <c r="L2263">
        <v>0</v>
      </c>
      <c r="M2263">
        <v>0</v>
      </c>
    </row>
    <row r="2264" spans="1:13">
      <c r="A2264" s="28">
        <v>38680</v>
      </c>
      <c r="B2264" t="s">
        <v>2406</v>
      </c>
      <c r="C2264">
        <v>5360</v>
      </c>
      <c r="D2264">
        <v>-100</v>
      </c>
      <c r="E2264">
        <v>-1.83</v>
      </c>
      <c r="F2264" t="s">
        <v>397</v>
      </c>
      <c r="G2264" t="s">
        <v>397</v>
      </c>
      <c r="H2264" t="s">
        <v>397</v>
      </c>
      <c r="I2264" t="s">
        <v>397</v>
      </c>
      <c r="J2264">
        <v>4248</v>
      </c>
      <c r="K2264">
        <v>1.26</v>
      </c>
      <c r="L2264">
        <v>0</v>
      </c>
      <c r="M2264">
        <v>0</v>
      </c>
    </row>
    <row r="2265" spans="1:13">
      <c r="A2265" s="28">
        <v>270660</v>
      </c>
      <c r="B2265" t="s">
        <v>2407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397</v>
      </c>
      <c r="I2265" t="s">
        <v>397</v>
      </c>
      <c r="J2265">
        <v>5106</v>
      </c>
      <c r="K2265">
        <v>4.9000000000000004</v>
      </c>
      <c r="L2265">
        <v>0</v>
      </c>
      <c r="M2265">
        <v>0</v>
      </c>
    </row>
    <row r="2266" spans="1:13">
      <c r="A2266" s="28">
        <v>11090</v>
      </c>
      <c r="B2266" t="s">
        <v>2408</v>
      </c>
      <c r="C2266">
        <v>499</v>
      </c>
      <c r="D2266">
        <v>1</v>
      </c>
      <c r="E2266">
        <v>0.2</v>
      </c>
      <c r="F2266" t="s">
        <v>397</v>
      </c>
      <c r="G2266" t="s">
        <v>397</v>
      </c>
      <c r="H2266" t="s">
        <v>397</v>
      </c>
      <c r="I2266" t="s">
        <v>397</v>
      </c>
      <c r="J2266">
        <v>748</v>
      </c>
      <c r="K2266">
        <v>0.67</v>
      </c>
      <c r="L2266">
        <v>0</v>
      </c>
      <c r="M2266">
        <v>0</v>
      </c>
    </row>
    <row r="2267" spans="1:13">
      <c r="A2267" s="28">
        <v>238120</v>
      </c>
      <c r="B2267" t="s">
        <v>2409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397</v>
      </c>
      <c r="I2267" t="s">
        <v>397</v>
      </c>
      <c r="J2267">
        <v>2007</v>
      </c>
      <c r="K2267">
        <v>2.12</v>
      </c>
      <c r="L2267">
        <v>0</v>
      </c>
      <c r="M2267">
        <v>0</v>
      </c>
    </row>
    <row r="2268" spans="1:13">
      <c r="A2268" s="28">
        <v>455910</v>
      </c>
      <c r="B2268" t="s">
        <v>2410</v>
      </c>
      <c r="C2268">
        <v>2265</v>
      </c>
      <c r="D2268">
        <v>20</v>
      </c>
      <c r="E2268">
        <v>0.89</v>
      </c>
      <c r="F2268" t="s">
        <v>397</v>
      </c>
      <c r="G2268" t="s">
        <v>397</v>
      </c>
      <c r="H2268" t="s">
        <v>397</v>
      </c>
      <c r="I2268" t="s">
        <v>397</v>
      </c>
      <c r="J2268" t="s">
        <v>397</v>
      </c>
      <c r="K2268" t="s">
        <v>397</v>
      </c>
      <c r="L2268">
        <v>0</v>
      </c>
      <c r="M2268">
        <v>0</v>
      </c>
    </row>
    <row r="2269" spans="1:13">
      <c r="A2269" s="28">
        <v>96630</v>
      </c>
      <c r="B2269" t="s">
        <v>2411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397</v>
      </c>
      <c r="I2269" t="s">
        <v>397</v>
      </c>
      <c r="J2269">
        <v>744</v>
      </c>
      <c r="K2269">
        <v>2.63</v>
      </c>
      <c r="L2269">
        <v>0</v>
      </c>
      <c r="M2269">
        <v>0</v>
      </c>
    </row>
    <row r="2270" spans="1:13">
      <c r="A2270" s="28">
        <v>234300</v>
      </c>
      <c r="B2270" t="s">
        <v>2412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397</v>
      </c>
      <c r="I2270" t="s">
        <v>397</v>
      </c>
      <c r="J2270">
        <v>2506</v>
      </c>
      <c r="K2270">
        <v>1.58</v>
      </c>
      <c r="L2270">
        <v>0</v>
      </c>
      <c r="M2270">
        <v>0</v>
      </c>
    </row>
    <row r="2271" spans="1:13">
      <c r="A2271" s="28">
        <v>52020</v>
      </c>
      <c r="B2271" t="s">
        <v>2413</v>
      </c>
      <c r="C2271">
        <v>6030</v>
      </c>
      <c r="D2271">
        <v>-100</v>
      </c>
      <c r="E2271">
        <v>-1.63</v>
      </c>
      <c r="F2271" t="s">
        <v>397</v>
      </c>
      <c r="G2271" t="s">
        <v>397</v>
      </c>
      <c r="H2271" t="s">
        <v>397</v>
      </c>
      <c r="I2271" t="s">
        <v>397</v>
      </c>
      <c r="J2271">
        <v>1175</v>
      </c>
      <c r="K2271">
        <v>5.13</v>
      </c>
      <c r="L2271">
        <v>0</v>
      </c>
      <c r="M2271">
        <v>0</v>
      </c>
    </row>
    <row r="2272" spans="1:13">
      <c r="A2272" s="28">
        <v>239610</v>
      </c>
      <c r="B2272" t="s">
        <v>2414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397</v>
      </c>
      <c r="I2272" t="s">
        <v>397</v>
      </c>
      <c r="J2272">
        <v>20353</v>
      </c>
      <c r="K2272">
        <v>0.76</v>
      </c>
      <c r="L2272">
        <v>0</v>
      </c>
      <c r="M2272">
        <v>0</v>
      </c>
    </row>
    <row r="2273" spans="1:13">
      <c r="A2273" s="28">
        <v>227100</v>
      </c>
      <c r="B2273" t="s">
        <v>2415</v>
      </c>
      <c r="C2273">
        <v>1110</v>
      </c>
      <c r="D2273">
        <v>0</v>
      </c>
      <c r="E2273">
        <v>0</v>
      </c>
      <c r="F2273" t="s">
        <v>397</v>
      </c>
      <c r="G2273" t="s">
        <v>397</v>
      </c>
      <c r="H2273" t="s">
        <v>397</v>
      </c>
      <c r="I2273" t="s">
        <v>397</v>
      </c>
      <c r="J2273">
        <v>3613</v>
      </c>
      <c r="K2273">
        <v>0.31</v>
      </c>
      <c r="L2273">
        <v>0</v>
      </c>
      <c r="M2273">
        <v>0</v>
      </c>
    </row>
    <row r="2274" spans="1:13">
      <c r="A2274" s="28">
        <v>72990</v>
      </c>
      <c r="B2274" t="s">
        <v>2416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397</v>
      </c>
      <c r="I2274" t="s">
        <v>397</v>
      </c>
      <c r="J2274">
        <v>10338</v>
      </c>
      <c r="K2274">
        <v>0.92</v>
      </c>
      <c r="L2274">
        <v>0</v>
      </c>
      <c r="M2274">
        <v>0</v>
      </c>
    </row>
    <row r="2275" spans="1:13">
      <c r="A2275" s="28">
        <v>445090</v>
      </c>
      <c r="B2275" t="s">
        <v>2417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>
      <c r="A2276" s="28">
        <v>15260</v>
      </c>
      <c r="B2276" t="s">
        <v>2418</v>
      </c>
      <c r="C2276">
        <v>1040</v>
      </c>
      <c r="D2276">
        <v>-38</v>
      </c>
      <c r="E2276">
        <v>-3.53</v>
      </c>
      <c r="F2276" t="s">
        <v>397</v>
      </c>
      <c r="G2276" t="s">
        <v>397</v>
      </c>
      <c r="H2276" t="s">
        <v>397</v>
      </c>
      <c r="I2276" t="s">
        <v>397</v>
      </c>
      <c r="J2276">
        <v>741</v>
      </c>
      <c r="K2276">
        <v>1.4</v>
      </c>
      <c r="L2276">
        <v>0</v>
      </c>
      <c r="M2276">
        <v>0</v>
      </c>
    </row>
    <row r="2277" spans="1:13">
      <c r="A2277" s="28">
        <v>312610</v>
      </c>
      <c r="B2277" t="s">
        <v>2419</v>
      </c>
      <c r="C2277">
        <v>2085</v>
      </c>
      <c r="D2277">
        <v>-15</v>
      </c>
      <c r="E2277">
        <v>-0.71</v>
      </c>
      <c r="F2277" t="s">
        <v>397</v>
      </c>
      <c r="G2277" t="s">
        <v>397</v>
      </c>
      <c r="H2277" t="s">
        <v>397</v>
      </c>
      <c r="I2277" t="s">
        <v>397</v>
      </c>
      <c r="J2277">
        <v>3256</v>
      </c>
      <c r="K2277">
        <v>0.64</v>
      </c>
      <c r="L2277">
        <v>0</v>
      </c>
      <c r="M2277">
        <v>0</v>
      </c>
    </row>
    <row r="2278" spans="1:13">
      <c r="A2278" s="28">
        <v>453860</v>
      </c>
      <c r="B2278" t="s">
        <v>2420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397</v>
      </c>
      <c r="I2278" t="s">
        <v>397</v>
      </c>
      <c r="J2278">
        <v>1234</v>
      </c>
      <c r="K2278">
        <v>23.91</v>
      </c>
      <c r="L2278">
        <v>0</v>
      </c>
      <c r="M2278">
        <v>0</v>
      </c>
    </row>
    <row r="2279" spans="1:13">
      <c r="A2279" s="28">
        <v>241840</v>
      </c>
      <c r="B2279" t="s">
        <v>2421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397</v>
      </c>
      <c r="I2279" t="s">
        <v>397</v>
      </c>
      <c r="J2279">
        <v>6302</v>
      </c>
      <c r="K2279">
        <v>1.79</v>
      </c>
      <c r="L2279">
        <v>0</v>
      </c>
      <c r="M2279">
        <v>0</v>
      </c>
    </row>
    <row r="2280" spans="1:13">
      <c r="A2280" s="28">
        <v>88800</v>
      </c>
      <c r="B2280" t="s">
        <v>2422</v>
      </c>
      <c r="C2280">
        <v>2030</v>
      </c>
      <c r="D2280">
        <v>5</v>
      </c>
      <c r="E2280">
        <v>0.25</v>
      </c>
      <c r="F2280" t="s">
        <v>397</v>
      </c>
      <c r="G2280" t="s">
        <v>397</v>
      </c>
      <c r="H2280" t="s">
        <v>397</v>
      </c>
      <c r="I2280" t="s">
        <v>397</v>
      </c>
      <c r="J2280">
        <v>1355</v>
      </c>
      <c r="K2280">
        <v>1.5</v>
      </c>
      <c r="L2280">
        <v>0</v>
      </c>
      <c r="M2280">
        <v>0</v>
      </c>
    </row>
    <row r="2281" spans="1:13">
      <c r="A2281" s="28">
        <v>195990</v>
      </c>
      <c r="B2281" t="s">
        <v>2423</v>
      </c>
      <c r="C2281">
        <v>574</v>
      </c>
      <c r="D2281">
        <v>-5</v>
      </c>
      <c r="E2281">
        <v>-0.86</v>
      </c>
      <c r="F2281" t="s">
        <v>397</v>
      </c>
      <c r="G2281" t="s">
        <v>397</v>
      </c>
      <c r="H2281" t="s">
        <v>397</v>
      </c>
      <c r="I2281" t="s">
        <v>397</v>
      </c>
      <c r="J2281">
        <v>512</v>
      </c>
      <c r="K2281">
        <v>1.1200000000000001</v>
      </c>
      <c r="L2281">
        <v>0</v>
      </c>
      <c r="M2281">
        <v>0</v>
      </c>
    </row>
    <row r="2282" spans="1:13">
      <c r="A2282" s="28">
        <v>203400</v>
      </c>
      <c r="B2282" t="s">
        <v>2424</v>
      </c>
      <c r="C2282">
        <v>7300</v>
      </c>
      <c r="D2282">
        <v>30</v>
      </c>
      <c r="E2282">
        <v>0.41</v>
      </c>
      <c r="F2282" t="s">
        <v>397</v>
      </c>
      <c r="G2282" t="s">
        <v>397</v>
      </c>
      <c r="H2282" t="s">
        <v>397</v>
      </c>
      <c r="I2282" t="s">
        <v>397</v>
      </c>
      <c r="J2282">
        <v>801</v>
      </c>
      <c r="K2282">
        <v>9.11</v>
      </c>
      <c r="L2282">
        <v>0</v>
      </c>
      <c r="M2282">
        <v>0</v>
      </c>
    </row>
    <row r="2283" spans="1:13">
      <c r="A2283" s="28">
        <v>298380</v>
      </c>
      <c r="B2283" t="s">
        <v>2425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397</v>
      </c>
      <c r="I2283" t="s">
        <v>397</v>
      </c>
      <c r="J2283">
        <v>1455</v>
      </c>
      <c r="K2283">
        <v>17.350000000000001</v>
      </c>
      <c r="L2283">
        <v>0</v>
      </c>
      <c r="M2283">
        <v>0</v>
      </c>
    </row>
    <row r="2284" spans="1:13">
      <c r="A2284" s="28">
        <v>78520</v>
      </c>
      <c r="B2284" t="s">
        <v>2426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397</v>
      </c>
      <c r="I2284" t="s">
        <v>397</v>
      </c>
      <c r="J2284">
        <v>4422</v>
      </c>
      <c r="K2284">
        <v>1.47</v>
      </c>
      <c r="L2284">
        <v>0</v>
      </c>
      <c r="M2284">
        <v>0</v>
      </c>
    </row>
    <row r="2285" spans="1:13">
      <c r="A2285" s="28">
        <v>96690</v>
      </c>
      <c r="B2285" t="s">
        <v>2427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397</v>
      </c>
      <c r="I2285" t="s">
        <v>397</v>
      </c>
      <c r="J2285">
        <v>908</v>
      </c>
      <c r="K2285">
        <v>0.45</v>
      </c>
      <c r="L2285">
        <v>0</v>
      </c>
      <c r="M2285">
        <v>0</v>
      </c>
    </row>
    <row r="2286" spans="1:13">
      <c r="A2286" s="28">
        <v>200710</v>
      </c>
      <c r="B2286" t="s">
        <v>2428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397</v>
      </c>
      <c r="I2286" t="s">
        <v>397</v>
      </c>
      <c r="J2286">
        <v>12572</v>
      </c>
      <c r="K2286">
        <v>3.43</v>
      </c>
      <c r="L2286">
        <v>0</v>
      </c>
      <c r="M2286">
        <v>0</v>
      </c>
    </row>
    <row r="2287" spans="1:13">
      <c r="A2287" s="28">
        <v>54630</v>
      </c>
      <c r="B2287" t="s">
        <v>2429</v>
      </c>
      <c r="C2287">
        <v>263</v>
      </c>
      <c r="D2287">
        <v>0</v>
      </c>
      <c r="E2287">
        <v>0</v>
      </c>
      <c r="F2287" t="s">
        <v>397</v>
      </c>
      <c r="G2287" t="s">
        <v>397</v>
      </c>
      <c r="H2287" t="s">
        <v>397</v>
      </c>
      <c r="I2287" t="s">
        <v>397</v>
      </c>
      <c r="J2287">
        <v>367</v>
      </c>
      <c r="K2287">
        <v>0.72</v>
      </c>
      <c r="L2287">
        <v>0</v>
      </c>
      <c r="M2287">
        <v>0</v>
      </c>
    </row>
    <row r="2288" spans="1:13">
      <c r="A2288" s="28">
        <v>187660</v>
      </c>
      <c r="B2288" t="s">
        <v>2430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397</v>
      </c>
      <c r="I2288" t="s">
        <v>397</v>
      </c>
      <c r="J2288">
        <v>1434</v>
      </c>
      <c r="K2288">
        <v>1.99</v>
      </c>
      <c r="L2288">
        <v>0</v>
      </c>
      <c r="M2288">
        <v>0</v>
      </c>
    </row>
    <row r="2289" spans="1:13">
      <c r="A2289" s="28">
        <v>298690</v>
      </c>
      <c r="B2289" t="s">
        <v>2431</v>
      </c>
      <c r="C2289">
        <v>2660</v>
      </c>
      <c r="D2289">
        <v>-90</v>
      </c>
      <c r="E2289">
        <v>-3.27</v>
      </c>
      <c r="F2289" t="s">
        <v>397</v>
      </c>
      <c r="G2289" t="s">
        <v>397</v>
      </c>
      <c r="H2289" t="s">
        <v>397</v>
      </c>
      <c r="I2289" t="s">
        <v>397</v>
      </c>
      <c r="J2289">
        <v>1086</v>
      </c>
      <c r="K2289">
        <v>2.4500000000000002</v>
      </c>
      <c r="L2289">
        <v>0</v>
      </c>
      <c r="M2289">
        <v>0</v>
      </c>
    </row>
    <row r="2290" spans="1:13">
      <c r="A2290" s="28">
        <v>23960</v>
      </c>
      <c r="B2290" t="s">
        <v>2432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397</v>
      </c>
      <c r="I2290" t="s">
        <v>397</v>
      </c>
      <c r="J2290">
        <v>1320</v>
      </c>
      <c r="K2290">
        <v>1.17</v>
      </c>
      <c r="L2290">
        <v>0</v>
      </c>
      <c r="M2290">
        <v>0</v>
      </c>
    </row>
    <row r="2291" spans="1:13">
      <c r="A2291" s="28">
        <v>43340</v>
      </c>
      <c r="B2291" t="s">
        <v>2433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397</v>
      </c>
      <c r="I2291" t="s">
        <v>397</v>
      </c>
      <c r="J2291">
        <v>333</v>
      </c>
      <c r="K2291">
        <v>2.1</v>
      </c>
      <c r="L2291">
        <v>0</v>
      </c>
      <c r="M2291">
        <v>0</v>
      </c>
    </row>
    <row r="2292" spans="1:13">
      <c r="A2292" s="28">
        <v>317830</v>
      </c>
      <c r="B2292" t="s">
        <v>2434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397</v>
      </c>
      <c r="I2292" t="s">
        <v>397</v>
      </c>
      <c r="J2292">
        <v>5715</v>
      </c>
      <c r="K2292">
        <v>1.89</v>
      </c>
      <c r="L2292">
        <v>0</v>
      </c>
      <c r="M2292">
        <v>0</v>
      </c>
    </row>
    <row r="2293" spans="1:13">
      <c r="A2293" s="28">
        <v>443670</v>
      </c>
      <c r="B2293" t="s">
        <v>2435</v>
      </c>
      <c r="C2293">
        <v>15730</v>
      </c>
      <c r="D2293">
        <v>-380</v>
      </c>
      <c r="E2293">
        <v>-2.36</v>
      </c>
      <c r="F2293" t="s">
        <v>397</v>
      </c>
      <c r="G2293" t="s">
        <v>397</v>
      </c>
      <c r="H2293" t="s">
        <v>397</v>
      </c>
      <c r="I2293" t="s">
        <v>397</v>
      </c>
      <c r="J2293" t="s">
        <v>397</v>
      </c>
      <c r="K2293" t="s">
        <v>397</v>
      </c>
      <c r="L2293">
        <v>0</v>
      </c>
      <c r="M2293">
        <v>0</v>
      </c>
    </row>
    <row r="2294" spans="1:13">
      <c r="A2294" s="28">
        <v>50760</v>
      </c>
      <c r="B2294" t="s">
        <v>2436</v>
      </c>
      <c r="C2294">
        <v>1874</v>
      </c>
      <c r="D2294">
        <v>-6</v>
      </c>
      <c r="E2294">
        <v>-0.32</v>
      </c>
      <c r="F2294" t="s">
        <v>397</v>
      </c>
      <c r="G2294" t="s">
        <v>397</v>
      </c>
      <c r="H2294" t="s">
        <v>397</v>
      </c>
      <c r="I2294" t="s">
        <v>397</v>
      </c>
      <c r="J2294">
        <v>4237</v>
      </c>
      <c r="K2294">
        <v>0.44</v>
      </c>
      <c r="L2294">
        <v>0</v>
      </c>
      <c r="M2294">
        <v>0</v>
      </c>
    </row>
    <row r="2295" spans="1:13">
      <c r="A2295" s="28">
        <v>19590</v>
      </c>
      <c r="B2295" t="s">
        <v>2437</v>
      </c>
      <c r="C2295">
        <v>965</v>
      </c>
      <c r="D2295">
        <v>50</v>
      </c>
      <c r="E2295">
        <v>5.46</v>
      </c>
      <c r="F2295" t="s">
        <v>397</v>
      </c>
      <c r="G2295" t="s">
        <v>397</v>
      </c>
      <c r="H2295" t="s">
        <v>397</v>
      </c>
      <c r="I2295" t="s">
        <v>397</v>
      </c>
      <c r="J2295">
        <v>468</v>
      </c>
      <c r="K2295">
        <v>2.06</v>
      </c>
      <c r="L2295">
        <v>0</v>
      </c>
      <c r="M2295">
        <v>0</v>
      </c>
    </row>
    <row r="2296" spans="1:13">
      <c r="A2296" s="28">
        <v>323230</v>
      </c>
      <c r="B2296" t="s">
        <v>2438</v>
      </c>
      <c r="C2296">
        <v>610</v>
      </c>
      <c r="D2296">
        <v>-24</v>
      </c>
      <c r="E2296">
        <v>-3.79</v>
      </c>
      <c r="F2296" t="s">
        <v>397</v>
      </c>
      <c r="G2296" t="s">
        <v>397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>
      <c r="A2297" s="28">
        <v>448740</v>
      </c>
      <c r="B2297" t="s">
        <v>2439</v>
      </c>
      <c r="C2297">
        <v>9760</v>
      </c>
      <c r="D2297">
        <v>0</v>
      </c>
      <c r="E2297">
        <v>0</v>
      </c>
      <c r="F2297" t="s">
        <v>397</v>
      </c>
      <c r="G2297" t="s">
        <v>397</v>
      </c>
      <c r="H2297" t="s">
        <v>397</v>
      </c>
      <c r="I2297" t="s">
        <v>397</v>
      </c>
      <c r="J2297" t="s">
        <v>397</v>
      </c>
      <c r="K2297" t="s">
        <v>397</v>
      </c>
      <c r="L2297">
        <v>0</v>
      </c>
      <c r="M2297">
        <v>0</v>
      </c>
    </row>
    <row r="2298" spans="1:13">
      <c r="A2298" s="28">
        <v>336060</v>
      </c>
      <c r="B2298" t="s">
        <v>2440</v>
      </c>
      <c r="C2298">
        <v>1442</v>
      </c>
      <c r="D2298">
        <v>-10</v>
      </c>
      <c r="E2298">
        <v>-0.69</v>
      </c>
      <c r="F2298" t="s">
        <v>397</v>
      </c>
      <c r="G2298" t="s">
        <v>397</v>
      </c>
      <c r="H2298" t="s">
        <v>397</v>
      </c>
      <c r="I2298" t="s">
        <v>397</v>
      </c>
      <c r="J2298">
        <v>569</v>
      </c>
      <c r="K2298">
        <v>2.5299999999999998</v>
      </c>
      <c r="L2298">
        <v>0</v>
      </c>
      <c r="M2298">
        <v>0</v>
      </c>
    </row>
    <row r="2299" spans="1:13">
      <c r="A2299" s="28">
        <v>101730</v>
      </c>
      <c r="B2299" t="s">
        <v>2441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397</v>
      </c>
      <c r="I2299" t="s">
        <v>397</v>
      </c>
      <c r="J2299">
        <v>2328</v>
      </c>
      <c r="K2299">
        <v>5.49</v>
      </c>
      <c r="L2299">
        <v>0</v>
      </c>
      <c r="M2299">
        <v>0</v>
      </c>
    </row>
    <row r="2300" spans="1:13">
      <c r="A2300" s="28">
        <v>330350</v>
      </c>
      <c r="B2300" t="s">
        <v>2442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397</v>
      </c>
      <c r="I2300" t="s">
        <v>397</v>
      </c>
      <c r="J2300">
        <v>6295</v>
      </c>
      <c r="K2300">
        <v>1.3</v>
      </c>
      <c r="L2300">
        <v>0</v>
      </c>
      <c r="M2300">
        <v>0</v>
      </c>
    </row>
    <row r="2301" spans="1:13">
      <c r="A2301" s="28">
        <v>377460</v>
      </c>
      <c r="B2301" t="s">
        <v>2443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397</v>
      </c>
      <c r="I2301" t="s">
        <v>397</v>
      </c>
      <c r="J2301">
        <v>13534</v>
      </c>
      <c r="K2301">
        <v>0.12</v>
      </c>
      <c r="L2301">
        <v>0</v>
      </c>
      <c r="M2301">
        <v>0</v>
      </c>
    </row>
    <row r="2302" spans="1:13">
      <c r="A2302" s="28">
        <v>71460</v>
      </c>
      <c r="B2302" t="s">
        <v>2444</v>
      </c>
      <c r="C2302">
        <v>613</v>
      </c>
      <c r="D2302">
        <v>0</v>
      </c>
      <c r="E2302">
        <v>0</v>
      </c>
      <c r="F2302" t="s">
        <v>397</v>
      </c>
      <c r="G2302" t="s">
        <v>397</v>
      </c>
      <c r="H2302" t="s">
        <v>397</v>
      </c>
      <c r="I2302" t="s">
        <v>397</v>
      </c>
      <c r="J2302">
        <v>784</v>
      </c>
      <c r="K2302">
        <v>0.78</v>
      </c>
      <c r="L2302">
        <v>0</v>
      </c>
      <c r="M2302">
        <v>0</v>
      </c>
    </row>
    <row r="2303" spans="1:13">
      <c r="A2303" s="28">
        <v>53580</v>
      </c>
      <c r="B2303" t="s">
        <v>2445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397</v>
      </c>
      <c r="I2303" t="s">
        <v>397</v>
      </c>
      <c r="J2303">
        <v>7610</v>
      </c>
      <c r="K2303">
        <v>1.38</v>
      </c>
      <c r="L2303">
        <v>0</v>
      </c>
      <c r="M2303">
        <v>0</v>
      </c>
    </row>
    <row r="2304" spans="1:13">
      <c r="A2304" s="28">
        <v>196700</v>
      </c>
      <c r="B2304" t="s">
        <v>2446</v>
      </c>
      <c r="C2304">
        <v>1710</v>
      </c>
      <c r="D2304">
        <v>31</v>
      </c>
      <c r="E2304">
        <v>1.85</v>
      </c>
      <c r="F2304" t="s">
        <v>397</v>
      </c>
      <c r="G2304" t="s">
        <v>397</v>
      </c>
      <c r="H2304" t="s">
        <v>397</v>
      </c>
      <c r="I2304" t="s">
        <v>397</v>
      </c>
      <c r="J2304">
        <v>2335</v>
      </c>
      <c r="K2304">
        <v>0.73</v>
      </c>
      <c r="L2304">
        <v>0</v>
      </c>
      <c r="M2304">
        <v>0</v>
      </c>
    </row>
    <row r="2305" spans="1:13">
      <c r="A2305" s="28">
        <v>43590</v>
      </c>
      <c r="B2305" t="s">
        <v>2447</v>
      </c>
      <c r="C2305">
        <v>1197</v>
      </c>
      <c r="D2305">
        <v>27</v>
      </c>
      <c r="E2305">
        <v>2.31</v>
      </c>
      <c r="F2305" t="s">
        <v>397</v>
      </c>
      <c r="G2305" t="s">
        <v>397</v>
      </c>
      <c r="H2305" t="s">
        <v>397</v>
      </c>
      <c r="I2305" t="s">
        <v>397</v>
      </c>
      <c r="J2305">
        <v>1266</v>
      </c>
      <c r="K2305">
        <v>0.95</v>
      </c>
      <c r="L2305">
        <v>0</v>
      </c>
      <c r="M2305">
        <v>0</v>
      </c>
    </row>
    <row r="2306" spans="1:13">
      <c r="A2306" s="28">
        <v>76080</v>
      </c>
      <c r="B2306" t="s">
        <v>2448</v>
      </c>
      <c r="C2306">
        <v>2410</v>
      </c>
      <c r="D2306">
        <v>-35</v>
      </c>
      <c r="E2306">
        <v>-1.43</v>
      </c>
      <c r="F2306" t="s">
        <v>397</v>
      </c>
      <c r="G2306" t="s">
        <v>397</v>
      </c>
      <c r="H2306" t="s">
        <v>397</v>
      </c>
      <c r="I2306" t="s">
        <v>397</v>
      </c>
      <c r="J2306">
        <v>3066</v>
      </c>
      <c r="K2306">
        <v>0.79</v>
      </c>
      <c r="L2306">
        <v>0</v>
      </c>
      <c r="M2306">
        <v>0</v>
      </c>
    </row>
    <row r="2307" spans="1:13">
      <c r="A2307" s="28">
        <v>65950</v>
      </c>
      <c r="B2307" t="s">
        <v>2449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397</v>
      </c>
      <c r="I2307" t="s">
        <v>397</v>
      </c>
      <c r="J2307">
        <v>2793</v>
      </c>
      <c r="K2307">
        <v>0.97</v>
      </c>
      <c r="L2307">
        <v>0</v>
      </c>
      <c r="M2307">
        <v>0</v>
      </c>
    </row>
    <row r="2308" spans="1:13">
      <c r="A2308" s="28">
        <v>10600</v>
      </c>
      <c r="B2308" t="s">
        <v>2450</v>
      </c>
      <c r="C2308">
        <v>964</v>
      </c>
      <c r="D2308">
        <v>66</v>
      </c>
      <c r="E2308">
        <v>7.35</v>
      </c>
      <c r="F2308" t="s">
        <v>397</v>
      </c>
      <c r="G2308" t="s">
        <v>397</v>
      </c>
      <c r="H2308" t="s">
        <v>397</v>
      </c>
      <c r="I2308" t="s">
        <v>397</v>
      </c>
      <c r="J2308">
        <v>561</v>
      </c>
      <c r="K2308">
        <v>1.72</v>
      </c>
      <c r="L2308">
        <v>0</v>
      </c>
      <c r="M2308">
        <v>0</v>
      </c>
    </row>
    <row r="2309" spans="1:13">
      <c r="A2309" s="28">
        <v>95270</v>
      </c>
      <c r="B2309" t="s">
        <v>2451</v>
      </c>
      <c r="C2309">
        <v>5090</v>
      </c>
      <c r="D2309">
        <v>160</v>
      </c>
      <c r="E2309">
        <v>3.25</v>
      </c>
      <c r="F2309" t="s">
        <v>397</v>
      </c>
      <c r="G2309" t="s">
        <v>397</v>
      </c>
      <c r="H2309" t="s">
        <v>397</v>
      </c>
      <c r="I2309" t="s">
        <v>397</v>
      </c>
      <c r="J2309">
        <v>4678</v>
      </c>
      <c r="K2309">
        <v>1.0900000000000001</v>
      </c>
      <c r="L2309">
        <v>0</v>
      </c>
      <c r="M2309">
        <v>0</v>
      </c>
    </row>
    <row r="2310" spans="1:13">
      <c r="A2310" s="28">
        <v>64090</v>
      </c>
      <c r="B2310" t="s">
        <v>2452</v>
      </c>
      <c r="C2310">
        <v>2820</v>
      </c>
      <c r="D2310">
        <v>10</v>
      </c>
      <c r="E2310">
        <v>0.36</v>
      </c>
      <c r="F2310" t="s">
        <v>397</v>
      </c>
      <c r="G2310" t="s">
        <v>397</v>
      </c>
      <c r="H2310" t="s">
        <v>397</v>
      </c>
      <c r="I2310" t="s">
        <v>397</v>
      </c>
      <c r="J2310">
        <v>273</v>
      </c>
      <c r="K2310">
        <v>10.33</v>
      </c>
      <c r="L2310">
        <v>0</v>
      </c>
      <c r="M2310">
        <v>0</v>
      </c>
    </row>
    <row r="2311" spans="1:13">
      <c r="A2311" s="28">
        <v>38620</v>
      </c>
      <c r="B2311" t="s">
        <v>2453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397</v>
      </c>
      <c r="I2311" t="s">
        <v>397</v>
      </c>
      <c r="J2311">
        <v>1247</v>
      </c>
      <c r="K2311">
        <v>0.64</v>
      </c>
      <c r="L2311">
        <v>0</v>
      </c>
      <c r="M2311">
        <v>0</v>
      </c>
    </row>
    <row r="2312" spans="1:13">
      <c r="A2312" s="28">
        <v>8290</v>
      </c>
      <c r="B2312" t="s">
        <v>2454</v>
      </c>
      <c r="C2312">
        <v>716</v>
      </c>
      <c r="D2312">
        <v>1</v>
      </c>
      <c r="E2312">
        <v>0.14000000000000001</v>
      </c>
      <c r="F2312" t="s">
        <v>397</v>
      </c>
      <c r="G2312" t="s">
        <v>397</v>
      </c>
      <c r="H2312" t="s">
        <v>397</v>
      </c>
      <c r="I2312" t="s">
        <v>397</v>
      </c>
      <c r="J2312">
        <v>352</v>
      </c>
      <c r="K2312">
        <v>2.0299999999999998</v>
      </c>
      <c r="L2312">
        <v>0</v>
      </c>
      <c r="M2312">
        <v>0</v>
      </c>
    </row>
    <row r="2313" spans="1:13">
      <c r="A2313" s="28">
        <v>376980</v>
      </c>
      <c r="B2313" t="s">
        <v>2455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397</v>
      </c>
      <c r="I2313" t="s">
        <v>397</v>
      </c>
      <c r="J2313">
        <v>4552</v>
      </c>
      <c r="K2313">
        <v>1.8</v>
      </c>
      <c r="L2313">
        <v>0</v>
      </c>
      <c r="M2313">
        <v>0</v>
      </c>
    </row>
    <row r="2314" spans="1:13">
      <c r="A2314" s="28">
        <v>336570</v>
      </c>
      <c r="B2314" t="s">
        <v>2456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>
      <c r="A2315" s="28">
        <v>30530</v>
      </c>
      <c r="B2315" t="s">
        <v>2457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397</v>
      </c>
      <c r="I2315" t="s">
        <v>397</v>
      </c>
      <c r="J2315">
        <v>14045</v>
      </c>
      <c r="K2315">
        <v>0.27</v>
      </c>
      <c r="L2315">
        <v>0</v>
      </c>
      <c r="M2315">
        <v>0</v>
      </c>
    </row>
    <row r="2316" spans="1:13">
      <c r="A2316" s="28">
        <v>217820</v>
      </c>
      <c r="B2316" t="s">
        <v>2458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397</v>
      </c>
      <c r="I2316" t="s">
        <v>397</v>
      </c>
      <c r="J2316">
        <v>2913</v>
      </c>
      <c r="K2316">
        <v>2.0099999999999998</v>
      </c>
      <c r="L2316">
        <v>0</v>
      </c>
      <c r="M2316">
        <v>0</v>
      </c>
    </row>
    <row r="2317" spans="1:13">
      <c r="A2317" s="28">
        <v>14190</v>
      </c>
      <c r="B2317" t="s">
        <v>2459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397</v>
      </c>
      <c r="I2317" t="s">
        <v>397</v>
      </c>
      <c r="J2317">
        <v>2811</v>
      </c>
      <c r="K2317">
        <v>0.71</v>
      </c>
      <c r="L2317">
        <v>0</v>
      </c>
      <c r="M2317">
        <v>0</v>
      </c>
    </row>
    <row r="2318" spans="1:13">
      <c r="A2318" s="28">
        <v>32940</v>
      </c>
      <c r="B2318" t="s">
        <v>2460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397</v>
      </c>
      <c r="I2318" t="s">
        <v>397</v>
      </c>
      <c r="J2318">
        <v>13943</v>
      </c>
      <c r="K2318">
        <v>0.28000000000000003</v>
      </c>
      <c r="L2318">
        <v>0</v>
      </c>
      <c r="M2318">
        <v>0</v>
      </c>
    </row>
    <row r="2319" spans="1:13">
      <c r="A2319" s="28">
        <v>396470</v>
      </c>
      <c r="B2319" t="s">
        <v>2461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397</v>
      </c>
      <c r="I2319" t="s">
        <v>397</v>
      </c>
      <c r="J2319">
        <v>2716</v>
      </c>
      <c r="K2319">
        <v>3.72</v>
      </c>
      <c r="L2319">
        <v>0</v>
      </c>
      <c r="M2319">
        <v>0</v>
      </c>
    </row>
    <row r="2320" spans="1:13">
      <c r="A2320" s="28">
        <v>16880</v>
      </c>
      <c r="B2320" t="s">
        <v>2462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397</v>
      </c>
      <c r="I2320" t="s">
        <v>397</v>
      </c>
      <c r="J2320">
        <v>978</v>
      </c>
      <c r="K2320">
        <v>1.25</v>
      </c>
      <c r="L2320">
        <v>0</v>
      </c>
      <c r="M2320">
        <v>0</v>
      </c>
    </row>
    <row r="2321" spans="1:13">
      <c r="A2321" s="28">
        <v>10400</v>
      </c>
      <c r="B2321" t="s">
        <v>2463</v>
      </c>
      <c r="C2321">
        <v>5110</v>
      </c>
      <c r="D2321">
        <v>130</v>
      </c>
      <c r="E2321">
        <v>2.61</v>
      </c>
      <c r="F2321" t="s">
        <v>397</v>
      </c>
      <c r="G2321" t="s">
        <v>397</v>
      </c>
      <c r="H2321" t="s">
        <v>397</v>
      </c>
      <c r="I2321" t="s">
        <v>397</v>
      </c>
      <c r="J2321">
        <v>13930</v>
      </c>
      <c r="K2321">
        <v>0.37</v>
      </c>
      <c r="L2321">
        <v>0</v>
      </c>
      <c r="M2321">
        <v>0</v>
      </c>
    </row>
    <row r="2322" spans="1:13">
      <c r="A2322" s="28">
        <v>18620</v>
      </c>
      <c r="B2322" t="s">
        <v>2464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397</v>
      </c>
      <c r="I2322" t="s">
        <v>397</v>
      </c>
      <c r="J2322">
        <v>1223</v>
      </c>
      <c r="K2322">
        <v>0.93</v>
      </c>
      <c r="L2322">
        <v>0</v>
      </c>
      <c r="M2322">
        <v>0</v>
      </c>
    </row>
    <row r="2323" spans="1:13">
      <c r="A2323" s="28">
        <v>123420</v>
      </c>
      <c r="B2323" t="s">
        <v>2465</v>
      </c>
      <c r="C2323">
        <v>11730</v>
      </c>
      <c r="D2323">
        <v>-870</v>
      </c>
      <c r="E2323">
        <v>-6.9</v>
      </c>
      <c r="F2323" t="s">
        <v>397</v>
      </c>
      <c r="G2323" t="s">
        <v>397</v>
      </c>
      <c r="H2323" t="s">
        <v>397</v>
      </c>
      <c r="I2323" t="s">
        <v>397</v>
      </c>
      <c r="J2323">
        <v>20481</v>
      </c>
      <c r="K2323">
        <v>0.56999999999999995</v>
      </c>
      <c r="L2323">
        <v>0</v>
      </c>
      <c r="M2323">
        <v>0</v>
      </c>
    </row>
    <row r="2324" spans="1:13">
      <c r="A2324" s="28">
        <v>299900</v>
      </c>
      <c r="B2324" t="s">
        <v>2466</v>
      </c>
      <c r="C2324">
        <v>2650</v>
      </c>
      <c r="D2324">
        <v>-115</v>
      </c>
      <c r="E2324">
        <v>-4.16</v>
      </c>
      <c r="F2324" t="s">
        <v>397</v>
      </c>
      <c r="G2324" t="s">
        <v>397</v>
      </c>
      <c r="H2324" t="s">
        <v>397</v>
      </c>
      <c r="I2324" t="s">
        <v>397</v>
      </c>
      <c r="J2324">
        <v>1057</v>
      </c>
      <c r="K2324">
        <v>2.5099999999999998</v>
      </c>
      <c r="L2324">
        <v>0</v>
      </c>
      <c r="M2324">
        <v>0</v>
      </c>
    </row>
    <row r="2325" spans="1:13">
      <c r="A2325" s="28">
        <v>32790</v>
      </c>
      <c r="B2325" t="s">
        <v>2467</v>
      </c>
      <c r="C2325">
        <v>1372</v>
      </c>
      <c r="D2325">
        <v>-52</v>
      </c>
      <c r="E2325">
        <v>-3.65</v>
      </c>
      <c r="F2325" t="s">
        <v>397</v>
      </c>
      <c r="G2325" t="s">
        <v>397</v>
      </c>
      <c r="H2325" t="s">
        <v>397</v>
      </c>
      <c r="I2325" t="s">
        <v>397</v>
      </c>
      <c r="J2325">
        <v>1393</v>
      </c>
      <c r="K2325">
        <v>0.98</v>
      </c>
      <c r="L2325">
        <v>0</v>
      </c>
      <c r="M2325">
        <v>0</v>
      </c>
    </row>
    <row r="2326" spans="1:13">
      <c r="A2326" s="28">
        <v>89850</v>
      </c>
      <c r="B2326" t="s">
        <v>2468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397</v>
      </c>
      <c r="I2326" t="s">
        <v>397</v>
      </c>
      <c r="J2326">
        <v>13918</v>
      </c>
      <c r="K2326">
        <v>1.18</v>
      </c>
      <c r="L2326">
        <v>0</v>
      </c>
      <c r="M2326">
        <v>0</v>
      </c>
    </row>
    <row r="2327" spans="1:13">
      <c r="A2327" s="28">
        <v>430700</v>
      </c>
      <c r="B2327" t="s">
        <v>2469</v>
      </c>
      <c r="C2327">
        <v>2190</v>
      </c>
      <c r="D2327">
        <v>-5</v>
      </c>
      <c r="E2327">
        <v>-0.23</v>
      </c>
      <c r="F2327" t="s">
        <v>397</v>
      </c>
      <c r="G2327" t="s">
        <v>397</v>
      </c>
      <c r="H2327" t="s">
        <v>397</v>
      </c>
      <c r="I2327" t="s">
        <v>397</v>
      </c>
      <c r="J2327" t="s">
        <v>397</v>
      </c>
      <c r="K2327" t="s">
        <v>397</v>
      </c>
      <c r="L2327">
        <v>0</v>
      </c>
      <c r="M2327">
        <v>0</v>
      </c>
    </row>
    <row r="2328" spans="1:13">
      <c r="A2328" s="28">
        <v>473050</v>
      </c>
      <c r="B2328" t="s">
        <v>2470</v>
      </c>
      <c r="C2328">
        <v>2015</v>
      </c>
      <c r="D2328">
        <v>10</v>
      </c>
      <c r="E2328">
        <v>0.5</v>
      </c>
      <c r="F2328" t="s">
        <v>397</v>
      </c>
      <c r="G2328" t="s">
        <v>397</v>
      </c>
      <c r="H2328" t="s">
        <v>397</v>
      </c>
      <c r="I2328" t="s">
        <v>397</v>
      </c>
      <c r="J2328" t="s">
        <v>397</v>
      </c>
      <c r="K2328" t="s">
        <v>397</v>
      </c>
      <c r="L2328">
        <v>0</v>
      </c>
      <c r="M2328">
        <v>0</v>
      </c>
    </row>
    <row r="2329" spans="1:13">
      <c r="A2329" s="28">
        <v>450940</v>
      </c>
      <c r="B2329" t="s">
        <v>2471</v>
      </c>
      <c r="C2329">
        <v>2110</v>
      </c>
      <c r="D2329">
        <v>-10</v>
      </c>
      <c r="E2329">
        <v>-0.47</v>
      </c>
      <c r="F2329" t="s">
        <v>397</v>
      </c>
      <c r="G2329" t="s">
        <v>397</v>
      </c>
      <c r="H2329" t="s">
        <v>397</v>
      </c>
      <c r="I2329" t="s">
        <v>397</v>
      </c>
      <c r="J2329" t="s">
        <v>397</v>
      </c>
      <c r="K2329" t="s">
        <v>397</v>
      </c>
      <c r="L2329">
        <v>0</v>
      </c>
      <c r="M2329">
        <v>0</v>
      </c>
    </row>
    <row r="2330" spans="1:13">
      <c r="A2330" s="28">
        <v>449020</v>
      </c>
      <c r="B2330" t="s">
        <v>2472</v>
      </c>
      <c r="C2330">
        <v>2015</v>
      </c>
      <c r="D2330">
        <v>0</v>
      </c>
      <c r="E2330">
        <v>0</v>
      </c>
      <c r="F2330" t="s">
        <v>397</v>
      </c>
      <c r="G2330" t="s">
        <v>397</v>
      </c>
      <c r="H2330" t="s">
        <v>397</v>
      </c>
      <c r="I2330" t="s">
        <v>397</v>
      </c>
      <c r="J2330" t="s">
        <v>397</v>
      </c>
      <c r="K2330" t="s">
        <v>397</v>
      </c>
      <c r="L2330">
        <v>0</v>
      </c>
      <c r="M2330">
        <v>0</v>
      </c>
    </row>
    <row r="2331" spans="1:13">
      <c r="A2331" s="28">
        <v>446150</v>
      </c>
      <c r="B2331" t="s">
        <v>2473</v>
      </c>
      <c r="C2331">
        <v>2115</v>
      </c>
      <c r="D2331">
        <v>20</v>
      </c>
      <c r="E2331">
        <v>0.95</v>
      </c>
      <c r="F2331" t="s">
        <v>397</v>
      </c>
      <c r="G2331" t="s">
        <v>397</v>
      </c>
      <c r="H2331" t="s">
        <v>397</v>
      </c>
      <c r="I2331" t="s">
        <v>397</v>
      </c>
      <c r="J2331" t="s">
        <v>397</v>
      </c>
      <c r="K2331" t="s">
        <v>397</v>
      </c>
      <c r="L2331">
        <v>0</v>
      </c>
      <c r="M2331">
        <v>0</v>
      </c>
    </row>
    <row r="2332" spans="1:13">
      <c r="A2332" s="28">
        <v>444920</v>
      </c>
      <c r="B2332" t="s">
        <v>2474</v>
      </c>
      <c r="C2332">
        <v>2085</v>
      </c>
      <c r="D2332">
        <v>-5</v>
      </c>
      <c r="E2332">
        <v>-0.24</v>
      </c>
      <c r="F2332" t="s">
        <v>397</v>
      </c>
      <c r="G2332" t="s">
        <v>397</v>
      </c>
      <c r="H2332" t="s">
        <v>397</v>
      </c>
      <c r="I2332" t="s">
        <v>397</v>
      </c>
      <c r="J2332" t="s">
        <v>397</v>
      </c>
      <c r="K2332" t="s">
        <v>397</v>
      </c>
      <c r="L2332">
        <v>0</v>
      </c>
      <c r="M2332">
        <v>0</v>
      </c>
    </row>
    <row r="2333" spans="1:13">
      <c r="A2333" s="28">
        <v>435380</v>
      </c>
      <c r="B2333" t="s">
        <v>2475</v>
      </c>
      <c r="C2333">
        <v>2155</v>
      </c>
      <c r="D2333">
        <v>0</v>
      </c>
      <c r="E2333">
        <v>0</v>
      </c>
      <c r="F2333" t="s">
        <v>397</v>
      </c>
      <c r="G2333" t="s">
        <v>397</v>
      </c>
      <c r="H2333" t="s">
        <v>397</v>
      </c>
      <c r="I2333" t="s">
        <v>397</v>
      </c>
      <c r="J2333" t="s">
        <v>397</v>
      </c>
      <c r="K2333" t="s">
        <v>397</v>
      </c>
      <c r="L2333">
        <v>0</v>
      </c>
      <c r="M2333">
        <v>0</v>
      </c>
    </row>
    <row r="2334" spans="1:13">
      <c r="A2334" s="28">
        <v>49520</v>
      </c>
      <c r="B2334" t="s">
        <v>2476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397</v>
      </c>
      <c r="I2334" t="s">
        <v>397</v>
      </c>
      <c r="J2334">
        <v>7062</v>
      </c>
      <c r="K2334">
        <v>0.67</v>
      </c>
      <c r="L2334">
        <v>0</v>
      </c>
      <c r="M2334">
        <v>0</v>
      </c>
    </row>
    <row r="2335" spans="1:13">
      <c r="A2335" s="28">
        <v>69330</v>
      </c>
      <c r="B2335" t="s">
        <v>2477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397</v>
      </c>
      <c r="I2335" t="s">
        <v>397</v>
      </c>
      <c r="J2335">
        <v>1544</v>
      </c>
      <c r="K2335">
        <v>0.9</v>
      </c>
      <c r="L2335">
        <v>0</v>
      </c>
      <c r="M2335">
        <v>0</v>
      </c>
    </row>
    <row r="2336" spans="1:13">
      <c r="A2336" s="28">
        <v>24800</v>
      </c>
      <c r="B2336" t="s">
        <v>2478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397</v>
      </c>
      <c r="I2336" t="s">
        <v>397</v>
      </c>
      <c r="J2336">
        <v>12711</v>
      </c>
      <c r="K2336">
        <v>0.17</v>
      </c>
      <c r="L2336">
        <v>0</v>
      </c>
      <c r="M2336">
        <v>0</v>
      </c>
    </row>
    <row r="2337" spans="1:13">
      <c r="A2337" s="28">
        <v>84440</v>
      </c>
      <c r="B2337" t="s">
        <v>2479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397</v>
      </c>
      <c r="I2337" t="s">
        <v>397</v>
      </c>
      <c r="J2337">
        <v>260</v>
      </c>
      <c r="K2337">
        <v>5.08</v>
      </c>
      <c r="L2337">
        <v>0</v>
      </c>
      <c r="M2337">
        <v>0</v>
      </c>
    </row>
    <row r="2338" spans="1:13">
      <c r="A2338" s="28">
        <v>206650</v>
      </c>
      <c r="B2338" t="s">
        <v>2480</v>
      </c>
      <c r="C2338">
        <v>12750</v>
      </c>
      <c r="D2338">
        <v>-40</v>
      </c>
      <c r="E2338">
        <v>-0.31</v>
      </c>
      <c r="F2338" t="s">
        <v>397</v>
      </c>
      <c r="G2338" t="s">
        <v>397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>
      <c r="A2339" s="28">
        <v>36090</v>
      </c>
      <c r="B2339" t="s">
        <v>2481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397</v>
      </c>
      <c r="I2339" t="s">
        <v>397</v>
      </c>
      <c r="J2339">
        <v>1348</v>
      </c>
      <c r="K2339">
        <v>0.63</v>
      </c>
      <c r="L2339">
        <v>0</v>
      </c>
      <c r="M2339">
        <v>0</v>
      </c>
    </row>
    <row r="2340" spans="1:13">
      <c r="A2340" s="28">
        <v>241690</v>
      </c>
      <c r="B2340" t="s">
        <v>2482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397</v>
      </c>
      <c r="I2340" t="s">
        <v>397</v>
      </c>
      <c r="J2340">
        <v>4780</v>
      </c>
      <c r="K2340">
        <v>0.89</v>
      </c>
      <c r="L2340">
        <v>0</v>
      </c>
      <c r="M2340">
        <v>0</v>
      </c>
    </row>
    <row r="2341" spans="1:13">
      <c r="A2341" s="28">
        <v>86390</v>
      </c>
      <c r="B2341" t="s">
        <v>2483</v>
      </c>
      <c r="C2341">
        <v>17070</v>
      </c>
      <c r="D2341">
        <v>-790</v>
      </c>
      <c r="E2341">
        <v>-4.42</v>
      </c>
      <c r="F2341" t="s">
        <v>397</v>
      </c>
      <c r="G2341" t="s">
        <v>397</v>
      </c>
      <c r="H2341" t="s">
        <v>397</v>
      </c>
      <c r="I2341" t="s">
        <v>397</v>
      </c>
      <c r="J2341">
        <v>6985</v>
      </c>
      <c r="K2341">
        <v>2.44</v>
      </c>
      <c r="L2341">
        <v>0</v>
      </c>
      <c r="M2341">
        <v>0</v>
      </c>
    </row>
    <row r="2342" spans="1:13">
      <c r="A2342" s="28">
        <v>203450</v>
      </c>
      <c r="B2342" t="s">
        <v>2484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397</v>
      </c>
      <c r="I2342" t="s">
        <v>397</v>
      </c>
      <c r="J2342">
        <v>2863</v>
      </c>
      <c r="K2342">
        <v>1.17</v>
      </c>
      <c r="L2342">
        <v>0</v>
      </c>
      <c r="M2342">
        <v>0</v>
      </c>
    </row>
    <row r="2343" spans="1:13">
      <c r="A2343" s="28">
        <v>18000</v>
      </c>
      <c r="B2343" t="s">
        <v>2485</v>
      </c>
      <c r="C2343">
        <v>1018</v>
      </c>
      <c r="D2343">
        <v>-73</v>
      </c>
      <c r="E2343">
        <v>-6.69</v>
      </c>
      <c r="F2343" t="s">
        <v>397</v>
      </c>
      <c r="G2343" t="s">
        <v>397</v>
      </c>
      <c r="H2343" t="s">
        <v>397</v>
      </c>
      <c r="I2343" t="s">
        <v>397</v>
      </c>
      <c r="J2343">
        <v>550</v>
      </c>
      <c r="K2343">
        <v>1.85</v>
      </c>
      <c r="L2343">
        <v>0</v>
      </c>
      <c r="M2343">
        <v>0</v>
      </c>
    </row>
    <row r="2344" spans="1:13">
      <c r="A2344" s="28">
        <v>446070</v>
      </c>
      <c r="B2344" t="s">
        <v>2486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397</v>
      </c>
      <c r="I2344" t="s">
        <v>397</v>
      </c>
      <c r="J2344">
        <v>18122</v>
      </c>
      <c r="K2344">
        <v>0.28000000000000003</v>
      </c>
      <c r="L2344">
        <v>0</v>
      </c>
      <c r="M2344">
        <v>0</v>
      </c>
    </row>
    <row r="2345" spans="1:13">
      <c r="A2345" s="28">
        <v>335870</v>
      </c>
      <c r="B2345" t="s">
        <v>2487</v>
      </c>
      <c r="C2345">
        <v>1508</v>
      </c>
      <c r="D2345">
        <v>7</v>
      </c>
      <c r="E2345">
        <v>0.47</v>
      </c>
      <c r="F2345" t="s">
        <v>397</v>
      </c>
      <c r="G2345" t="s">
        <v>397</v>
      </c>
      <c r="H2345" t="s">
        <v>397</v>
      </c>
      <c r="I2345" t="s">
        <v>397</v>
      </c>
      <c r="J2345">
        <v>1659</v>
      </c>
      <c r="K2345">
        <v>0.91</v>
      </c>
      <c r="L2345">
        <v>0</v>
      </c>
      <c r="M2345">
        <v>0</v>
      </c>
    </row>
    <row r="2346" spans="1:13">
      <c r="A2346" s="28">
        <v>8600</v>
      </c>
      <c r="B2346" t="s">
        <v>2488</v>
      </c>
      <c r="C2346">
        <v>530</v>
      </c>
      <c r="D2346">
        <v>45</v>
      </c>
      <c r="E2346">
        <v>9.2799999999999994</v>
      </c>
      <c r="F2346" t="s">
        <v>397</v>
      </c>
      <c r="G2346" t="s">
        <v>397</v>
      </c>
      <c r="H2346" t="s">
        <v>397</v>
      </c>
      <c r="I2346" t="s">
        <v>397</v>
      </c>
      <c r="J2346">
        <v>1522</v>
      </c>
      <c r="K2346">
        <v>0.35</v>
      </c>
      <c r="L2346">
        <v>0</v>
      </c>
      <c r="M2346">
        <v>0</v>
      </c>
    </row>
    <row r="2347" spans="1:13">
      <c r="A2347" s="28">
        <v>313760</v>
      </c>
      <c r="B2347" t="s">
        <v>2489</v>
      </c>
      <c r="C2347">
        <v>6750</v>
      </c>
      <c r="D2347">
        <v>-1170</v>
      </c>
      <c r="E2347">
        <v>-14.77</v>
      </c>
      <c r="F2347" t="s">
        <v>397</v>
      </c>
      <c r="G2347" t="s">
        <v>397</v>
      </c>
      <c r="H2347" t="s">
        <v>397</v>
      </c>
      <c r="I2347" t="s">
        <v>397</v>
      </c>
      <c r="J2347">
        <v>5344</v>
      </c>
      <c r="K2347">
        <v>1.26</v>
      </c>
      <c r="L2347">
        <v>0</v>
      </c>
      <c r="M2347">
        <v>0</v>
      </c>
    </row>
    <row r="2348" spans="1:13">
      <c r="A2348" s="28">
        <v>192390</v>
      </c>
      <c r="B2348" t="s">
        <v>2490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397</v>
      </c>
      <c r="I2348" t="s">
        <v>397</v>
      </c>
      <c r="J2348">
        <v>5848</v>
      </c>
      <c r="K2348">
        <v>0.61</v>
      </c>
      <c r="L2348">
        <v>0</v>
      </c>
      <c r="M2348">
        <v>0</v>
      </c>
    </row>
    <row r="2349" spans="1:13">
      <c r="A2349" s="28">
        <v>97800</v>
      </c>
      <c r="B2349" t="s">
        <v>2491</v>
      </c>
      <c r="C2349">
        <v>1187</v>
      </c>
      <c r="D2349">
        <v>5</v>
      </c>
      <c r="E2349">
        <v>0.42</v>
      </c>
      <c r="F2349" t="s">
        <v>397</v>
      </c>
      <c r="G2349" t="s">
        <v>397</v>
      </c>
      <c r="H2349" t="s">
        <v>397</v>
      </c>
      <c r="I2349" t="s">
        <v>397</v>
      </c>
      <c r="J2349">
        <v>1278</v>
      </c>
      <c r="K2349">
        <v>0.93</v>
      </c>
      <c r="L2349">
        <v>0</v>
      </c>
      <c r="M2349">
        <v>0</v>
      </c>
    </row>
    <row r="2350" spans="1:13">
      <c r="A2350" s="28">
        <v>320000</v>
      </c>
      <c r="B2350" t="s">
        <v>2492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397</v>
      </c>
      <c r="I2350" t="s">
        <v>397</v>
      </c>
      <c r="J2350">
        <v>1228</v>
      </c>
      <c r="K2350">
        <v>2.96</v>
      </c>
      <c r="L2350">
        <v>0</v>
      </c>
      <c r="M2350">
        <v>0</v>
      </c>
    </row>
    <row r="2351" spans="1:13">
      <c r="A2351" s="28">
        <v>215380</v>
      </c>
      <c r="B2351" t="s">
        <v>2493</v>
      </c>
      <c r="C2351">
        <v>1863</v>
      </c>
      <c r="D2351">
        <v>23</v>
      </c>
      <c r="E2351">
        <v>1.25</v>
      </c>
      <c r="F2351" t="s">
        <v>397</v>
      </c>
      <c r="G2351" t="s">
        <v>397</v>
      </c>
      <c r="H2351" t="s">
        <v>397</v>
      </c>
      <c r="I2351" t="s">
        <v>397</v>
      </c>
      <c r="J2351">
        <v>2322</v>
      </c>
      <c r="K2351">
        <v>0.8</v>
      </c>
      <c r="L2351">
        <v>0</v>
      </c>
      <c r="M2351">
        <v>0</v>
      </c>
    </row>
    <row r="2352" spans="1:13">
      <c r="A2352" s="28">
        <v>46940</v>
      </c>
      <c r="B2352" t="s">
        <v>2494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397</v>
      </c>
      <c r="I2352" t="s">
        <v>397</v>
      </c>
      <c r="J2352">
        <v>5745</v>
      </c>
      <c r="K2352">
        <v>0.53</v>
      </c>
      <c r="L2352">
        <v>0</v>
      </c>
      <c r="M2352">
        <v>0</v>
      </c>
    </row>
    <row r="2353" spans="1:13">
      <c r="A2353" s="28">
        <v>103840</v>
      </c>
      <c r="B2353" t="s">
        <v>2495</v>
      </c>
      <c r="C2353">
        <v>4285</v>
      </c>
      <c r="D2353">
        <v>-5</v>
      </c>
      <c r="E2353">
        <v>-0.12</v>
      </c>
      <c r="F2353" t="s">
        <v>397</v>
      </c>
      <c r="G2353" t="s">
        <v>397</v>
      </c>
      <c r="H2353" t="s">
        <v>397</v>
      </c>
      <c r="I2353" t="s">
        <v>397</v>
      </c>
      <c r="J2353">
        <v>2810</v>
      </c>
      <c r="K2353">
        <v>1.52</v>
      </c>
      <c r="L2353">
        <v>0</v>
      </c>
      <c r="M2353">
        <v>0</v>
      </c>
    </row>
    <row r="2354" spans="1:13">
      <c r="A2354" s="28">
        <v>65500</v>
      </c>
      <c r="B2354" t="s">
        <v>2496</v>
      </c>
      <c r="C2354">
        <v>1327</v>
      </c>
      <c r="D2354">
        <v>-103</v>
      </c>
      <c r="E2354">
        <v>-7.2</v>
      </c>
      <c r="F2354" t="s">
        <v>397</v>
      </c>
      <c r="G2354" t="s">
        <v>397</v>
      </c>
      <c r="H2354" t="s">
        <v>397</v>
      </c>
      <c r="I2354" t="s">
        <v>397</v>
      </c>
      <c r="J2354">
        <v>1376</v>
      </c>
      <c r="K2354">
        <v>0.96</v>
      </c>
      <c r="L2354">
        <v>0</v>
      </c>
      <c r="M2354">
        <v>0</v>
      </c>
    </row>
    <row r="2355" spans="1:13">
      <c r="A2355" s="28">
        <v>394280</v>
      </c>
      <c r="B2355" t="s">
        <v>2497</v>
      </c>
      <c r="C2355">
        <v>31950</v>
      </c>
      <c r="D2355">
        <v>1250</v>
      </c>
      <c r="E2355">
        <v>4.07</v>
      </c>
      <c r="F2355" t="s">
        <v>397</v>
      </c>
      <c r="G2355" t="s">
        <v>397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>
      <c r="A2356" s="28">
        <v>440320</v>
      </c>
      <c r="B2356" t="s">
        <v>2498</v>
      </c>
      <c r="C2356">
        <v>7000</v>
      </c>
      <c r="D2356">
        <v>-50</v>
      </c>
      <c r="E2356">
        <v>-0.71</v>
      </c>
      <c r="F2356" t="s">
        <v>397</v>
      </c>
      <c r="G2356" t="s">
        <v>397</v>
      </c>
      <c r="H2356" t="s">
        <v>397</v>
      </c>
      <c r="I2356" t="s">
        <v>397</v>
      </c>
      <c r="J2356">
        <v>2536</v>
      </c>
      <c r="K2356">
        <v>2.76</v>
      </c>
      <c r="L2356">
        <v>0</v>
      </c>
      <c r="M2356">
        <v>0</v>
      </c>
    </row>
    <row r="2357" spans="1:13">
      <c r="A2357" s="28">
        <v>353590</v>
      </c>
      <c r="B2357" t="s">
        <v>2499</v>
      </c>
      <c r="C2357">
        <v>6230</v>
      </c>
      <c r="D2357">
        <v>-110</v>
      </c>
      <c r="E2357">
        <v>-1.74</v>
      </c>
      <c r="F2357" t="s">
        <v>397</v>
      </c>
      <c r="G2357" t="s">
        <v>397</v>
      </c>
      <c r="H2357" t="s">
        <v>397</v>
      </c>
      <c r="I2357" t="s">
        <v>397</v>
      </c>
      <c r="J2357">
        <v>2337</v>
      </c>
      <c r="K2357">
        <v>2.67</v>
      </c>
      <c r="L2357">
        <v>0</v>
      </c>
      <c r="M2357">
        <v>0</v>
      </c>
    </row>
    <row r="2358" spans="1:13">
      <c r="A2358" s="28">
        <v>80580</v>
      </c>
      <c r="B2358" t="s">
        <v>2500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397</v>
      </c>
      <c r="I2358" t="s">
        <v>397</v>
      </c>
      <c r="J2358">
        <v>1876</v>
      </c>
      <c r="K2358">
        <v>5.79</v>
      </c>
      <c r="L2358">
        <v>0</v>
      </c>
      <c r="M2358">
        <v>0</v>
      </c>
    </row>
    <row r="2359" spans="1:13">
      <c r="A2359" s="28">
        <v>368970</v>
      </c>
      <c r="B2359" t="s">
        <v>2501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397</v>
      </c>
      <c r="I2359" t="s">
        <v>397</v>
      </c>
      <c r="J2359">
        <v>3707</v>
      </c>
      <c r="K2359">
        <v>1.35</v>
      </c>
      <c r="L2359">
        <v>0</v>
      </c>
      <c r="M2359">
        <v>0</v>
      </c>
    </row>
    <row r="2360" spans="1:13">
      <c r="A2360" s="28">
        <v>226400</v>
      </c>
      <c r="B2360" t="s">
        <v>2502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397</v>
      </c>
      <c r="I2360" t="s">
        <v>397</v>
      </c>
      <c r="J2360">
        <v>2190</v>
      </c>
      <c r="K2360">
        <v>2.27</v>
      </c>
      <c r="L2360">
        <v>0</v>
      </c>
      <c r="M2360">
        <v>0</v>
      </c>
    </row>
    <row r="2361" spans="1:13">
      <c r="A2361" s="28">
        <v>39200</v>
      </c>
      <c r="B2361" t="s">
        <v>2503</v>
      </c>
      <c r="C2361">
        <v>27250</v>
      </c>
      <c r="D2361">
        <v>-750</v>
      </c>
      <c r="E2361">
        <v>-2.68</v>
      </c>
      <c r="F2361" t="s">
        <v>397</v>
      </c>
      <c r="G2361" t="s">
        <v>397</v>
      </c>
      <c r="H2361" t="s">
        <v>397</v>
      </c>
      <c r="I2361" t="s">
        <v>397</v>
      </c>
      <c r="J2361">
        <v>3334</v>
      </c>
      <c r="K2361">
        <v>8.17</v>
      </c>
      <c r="L2361">
        <v>0</v>
      </c>
      <c r="M2361">
        <v>0</v>
      </c>
    </row>
    <row r="2362" spans="1:13">
      <c r="A2362" s="28">
        <v>52420</v>
      </c>
      <c r="B2362" t="s">
        <v>2504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397</v>
      </c>
      <c r="I2362" t="s">
        <v>397</v>
      </c>
      <c r="J2362">
        <v>2857</v>
      </c>
      <c r="K2362">
        <v>0.49</v>
      </c>
      <c r="L2362">
        <v>0</v>
      </c>
      <c r="M2362">
        <v>0</v>
      </c>
    </row>
    <row r="2363" spans="1:13">
      <c r="A2363" s="28">
        <v>53980</v>
      </c>
      <c r="B2363" t="s">
        <v>2505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397</v>
      </c>
      <c r="I2363" t="s">
        <v>397</v>
      </c>
      <c r="J2363">
        <v>3817</v>
      </c>
      <c r="K2363">
        <v>1.33</v>
      </c>
      <c r="L2363">
        <v>0</v>
      </c>
      <c r="M2363">
        <v>0</v>
      </c>
    </row>
    <row r="2364" spans="1:13">
      <c r="A2364" s="28">
        <v>352910</v>
      </c>
      <c r="B2364" t="s">
        <v>2506</v>
      </c>
      <c r="C2364">
        <v>8120</v>
      </c>
      <c r="D2364">
        <v>-120</v>
      </c>
      <c r="E2364">
        <v>-1.46</v>
      </c>
      <c r="F2364" t="s">
        <v>397</v>
      </c>
      <c r="G2364" t="s">
        <v>397</v>
      </c>
      <c r="H2364" t="s">
        <v>397</v>
      </c>
      <c r="I2364" t="s">
        <v>397</v>
      </c>
      <c r="J2364">
        <v>2879</v>
      </c>
      <c r="K2364">
        <v>2.82</v>
      </c>
      <c r="L2364">
        <v>0</v>
      </c>
      <c r="M2364">
        <v>0</v>
      </c>
    </row>
    <row r="2365" spans="1:13">
      <c r="A2365" s="28">
        <v>417860</v>
      </c>
      <c r="B2365" t="s">
        <v>2507</v>
      </c>
      <c r="C2365">
        <v>17760</v>
      </c>
      <c r="D2365">
        <v>320</v>
      </c>
      <c r="E2365">
        <v>1.83</v>
      </c>
      <c r="F2365" t="s">
        <v>397</v>
      </c>
      <c r="G2365" t="s">
        <v>397</v>
      </c>
      <c r="H2365" t="s">
        <v>397</v>
      </c>
      <c r="I2365" t="s">
        <v>397</v>
      </c>
      <c r="J2365">
        <v>34</v>
      </c>
      <c r="K2365">
        <v>522.35</v>
      </c>
      <c r="L2365">
        <v>0</v>
      </c>
      <c r="M2365">
        <v>0</v>
      </c>
    </row>
    <row r="2366" spans="1:13">
      <c r="A2366" s="28">
        <v>2630</v>
      </c>
      <c r="B2366" t="s">
        <v>2508</v>
      </c>
      <c r="C2366">
        <v>559</v>
      </c>
      <c r="D2366">
        <v>-4</v>
      </c>
      <c r="E2366">
        <v>-0.71</v>
      </c>
      <c r="F2366" t="s">
        <v>397</v>
      </c>
      <c r="G2366" t="s">
        <v>397</v>
      </c>
      <c r="H2366" t="s">
        <v>397</v>
      </c>
      <c r="I2366" t="s">
        <v>397</v>
      </c>
      <c r="J2366">
        <v>602</v>
      </c>
      <c r="K2366">
        <v>0.93</v>
      </c>
      <c r="L2366">
        <v>0</v>
      </c>
      <c r="M2366">
        <v>0</v>
      </c>
    </row>
    <row r="2367" spans="1:13">
      <c r="A2367" s="28">
        <v>66590</v>
      </c>
      <c r="B2367" t="s">
        <v>2509</v>
      </c>
      <c r="C2367">
        <v>3040</v>
      </c>
      <c r="D2367">
        <v>-10</v>
      </c>
      <c r="E2367">
        <v>-0.33</v>
      </c>
      <c r="F2367" t="s">
        <v>397</v>
      </c>
      <c r="G2367" t="s">
        <v>397</v>
      </c>
      <c r="H2367" t="s">
        <v>397</v>
      </c>
      <c r="I2367" t="s">
        <v>397</v>
      </c>
      <c r="J2367">
        <v>1867</v>
      </c>
      <c r="K2367">
        <v>1.63</v>
      </c>
      <c r="L2367">
        <v>0</v>
      </c>
      <c r="M2367">
        <v>0</v>
      </c>
    </row>
    <row r="2368" spans="1:13">
      <c r="A2368" s="28">
        <v>46120</v>
      </c>
      <c r="B2368" t="s">
        <v>2510</v>
      </c>
      <c r="C2368">
        <v>3450</v>
      </c>
      <c r="D2368">
        <v>-45</v>
      </c>
      <c r="E2368">
        <v>-1.29</v>
      </c>
      <c r="F2368" t="s">
        <v>397</v>
      </c>
      <c r="G2368" t="s">
        <v>397</v>
      </c>
      <c r="H2368" t="s">
        <v>397</v>
      </c>
      <c r="I2368" t="s">
        <v>397</v>
      </c>
      <c r="J2368">
        <v>2120</v>
      </c>
      <c r="K2368">
        <v>1.63</v>
      </c>
      <c r="L2368">
        <v>0</v>
      </c>
      <c r="M2368">
        <v>0</v>
      </c>
    </row>
    <row r="2369" spans="1:13">
      <c r="A2369" s="28">
        <v>322310</v>
      </c>
      <c r="B2369" t="s">
        <v>2511</v>
      </c>
      <c r="C2369">
        <v>32800</v>
      </c>
      <c r="D2369">
        <v>-50</v>
      </c>
      <c r="E2369">
        <v>-0.15</v>
      </c>
      <c r="F2369" t="s">
        <v>397</v>
      </c>
      <c r="G2369" t="s">
        <v>397</v>
      </c>
      <c r="H2369" t="s">
        <v>397</v>
      </c>
      <c r="I2369" t="s">
        <v>397</v>
      </c>
      <c r="J2369">
        <v>6597</v>
      </c>
      <c r="K2369">
        <v>4.97</v>
      </c>
      <c r="L2369">
        <v>0</v>
      </c>
      <c r="M2369">
        <v>0</v>
      </c>
    </row>
    <row r="2370" spans="1:13">
      <c r="A2370" s="28">
        <v>122640</v>
      </c>
      <c r="B2370" t="s">
        <v>2512</v>
      </c>
      <c r="C2370">
        <v>20800</v>
      </c>
      <c r="D2370">
        <v>600</v>
      </c>
      <c r="E2370">
        <v>2.97</v>
      </c>
      <c r="F2370" t="s">
        <v>397</v>
      </c>
      <c r="G2370" t="s">
        <v>397</v>
      </c>
      <c r="H2370" t="s">
        <v>397</v>
      </c>
      <c r="I2370" t="s">
        <v>397</v>
      </c>
      <c r="J2370">
        <v>4673</v>
      </c>
      <c r="K2370">
        <v>4.45</v>
      </c>
      <c r="L2370">
        <v>0</v>
      </c>
      <c r="M2370">
        <v>0</v>
      </c>
    </row>
    <row r="2371" spans="1:13">
      <c r="A2371" s="28">
        <v>250930</v>
      </c>
      <c r="B2371" t="s">
        <v>2513</v>
      </c>
      <c r="C2371">
        <v>709</v>
      </c>
      <c r="D2371">
        <v>10</v>
      </c>
      <c r="E2371">
        <v>1.43</v>
      </c>
      <c r="F2371" t="s">
        <v>397</v>
      </c>
      <c r="G2371" t="s">
        <v>397</v>
      </c>
      <c r="H2371" t="s">
        <v>397</v>
      </c>
      <c r="I2371" t="s">
        <v>397</v>
      </c>
      <c r="J2371">
        <v>991</v>
      </c>
      <c r="K2371">
        <v>0.72</v>
      </c>
      <c r="L2371">
        <v>0</v>
      </c>
      <c r="M2371">
        <v>0</v>
      </c>
    </row>
    <row r="2372" spans="1:13">
      <c r="A2372" s="28">
        <v>36000</v>
      </c>
      <c r="B2372" t="s">
        <v>2514</v>
      </c>
      <c r="C2372">
        <v>1800</v>
      </c>
      <c r="D2372">
        <v>3</v>
      </c>
      <c r="E2372">
        <v>0.17</v>
      </c>
      <c r="F2372" t="s">
        <v>397</v>
      </c>
      <c r="G2372" t="s">
        <v>397</v>
      </c>
      <c r="H2372" t="s">
        <v>397</v>
      </c>
      <c r="I2372" t="s">
        <v>397</v>
      </c>
      <c r="J2372">
        <v>5378</v>
      </c>
      <c r="K2372">
        <v>0.33</v>
      </c>
      <c r="L2372">
        <v>0</v>
      </c>
      <c r="M2372">
        <v>0</v>
      </c>
    </row>
    <row r="2373" spans="1:13">
      <c r="A2373" s="28">
        <v>12160</v>
      </c>
      <c r="B2373" t="s">
        <v>2515</v>
      </c>
      <c r="C2373">
        <v>527</v>
      </c>
      <c r="D2373">
        <v>-6</v>
      </c>
      <c r="E2373">
        <v>-1.1299999999999999</v>
      </c>
      <c r="F2373" t="s">
        <v>397</v>
      </c>
      <c r="G2373" t="s">
        <v>397</v>
      </c>
      <c r="H2373" t="s">
        <v>397</v>
      </c>
      <c r="I2373" t="s">
        <v>397</v>
      </c>
      <c r="J2373">
        <v>2456</v>
      </c>
      <c r="K2373">
        <v>0.21</v>
      </c>
      <c r="L2373">
        <v>0</v>
      </c>
      <c r="M2373">
        <v>0</v>
      </c>
    </row>
    <row r="2374" spans="1:13">
      <c r="A2374" s="28">
        <v>12280</v>
      </c>
      <c r="B2374" t="s">
        <v>2516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397</v>
      </c>
      <c r="I2374" t="s">
        <v>397</v>
      </c>
      <c r="J2374">
        <v>1191</v>
      </c>
      <c r="K2374">
        <v>0.77</v>
      </c>
      <c r="L2374">
        <v>0</v>
      </c>
      <c r="M2374">
        <v>0</v>
      </c>
    </row>
    <row r="2375" spans="1:13">
      <c r="A2375" s="28">
        <v>3520</v>
      </c>
      <c r="B2375" t="s">
        <v>2517</v>
      </c>
      <c r="C2375">
        <v>2025</v>
      </c>
      <c r="D2375">
        <v>-25</v>
      </c>
      <c r="E2375">
        <v>-1.22</v>
      </c>
      <c r="F2375" t="s">
        <v>397</v>
      </c>
      <c r="G2375" t="s">
        <v>397</v>
      </c>
      <c r="H2375" t="s">
        <v>397</v>
      </c>
      <c r="I2375" t="s">
        <v>397</v>
      </c>
      <c r="J2375">
        <v>491</v>
      </c>
      <c r="K2375">
        <v>4.12</v>
      </c>
      <c r="L2375">
        <v>0</v>
      </c>
      <c r="M2375">
        <v>0</v>
      </c>
    </row>
    <row r="2376" spans="1:13">
      <c r="A2376" s="28">
        <v>143540</v>
      </c>
      <c r="B2376" t="s">
        <v>2518</v>
      </c>
      <c r="C2376">
        <v>831</v>
      </c>
      <c r="D2376">
        <v>-29</v>
      </c>
      <c r="E2376">
        <v>-3.37</v>
      </c>
      <c r="F2376" t="s">
        <v>397</v>
      </c>
      <c r="G2376" t="s">
        <v>397</v>
      </c>
      <c r="H2376" t="s">
        <v>397</v>
      </c>
      <c r="I2376" t="s">
        <v>397</v>
      </c>
      <c r="J2376">
        <v>928</v>
      </c>
      <c r="K2376">
        <v>0.9</v>
      </c>
      <c r="L2376">
        <v>0</v>
      </c>
      <c r="M2376">
        <v>0</v>
      </c>
    </row>
    <row r="2377" spans="1:13">
      <c r="A2377" s="28">
        <v>259630</v>
      </c>
      <c r="B2377" t="s">
        <v>2519</v>
      </c>
      <c r="C2377">
        <v>11260</v>
      </c>
      <c r="D2377">
        <v>-300</v>
      </c>
      <c r="E2377">
        <v>-2.6</v>
      </c>
      <c r="F2377" t="s">
        <v>397</v>
      </c>
      <c r="G2377" t="s">
        <v>397</v>
      </c>
      <c r="H2377" t="s">
        <v>397</v>
      </c>
      <c r="I2377" t="s">
        <v>397</v>
      </c>
      <c r="J2377">
        <v>4617</v>
      </c>
      <c r="K2377">
        <v>2.44</v>
      </c>
      <c r="L2377">
        <v>0</v>
      </c>
      <c r="M2377">
        <v>0</v>
      </c>
    </row>
    <row r="2378" spans="1:13">
      <c r="A2378" s="28">
        <v>33310</v>
      </c>
      <c r="B2378" t="s">
        <v>2520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397</v>
      </c>
      <c r="I2378" t="s">
        <v>397</v>
      </c>
      <c r="J2378">
        <v>3479</v>
      </c>
      <c r="K2378">
        <v>0.83</v>
      </c>
      <c r="L2378">
        <v>0</v>
      </c>
      <c r="M2378">
        <v>0</v>
      </c>
    </row>
    <row r="2379" spans="1:13">
      <c r="A2379" s="28">
        <v>309930</v>
      </c>
      <c r="B2379" t="s">
        <v>2521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397</v>
      </c>
      <c r="I2379" t="s">
        <v>397</v>
      </c>
      <c r="J2379">
        <v>1323</v>
      </c>
      <c r="K2379">
        <v>2.91</v>
      </c>
      <c r="L2379">
        <v>0</v>
      </c>
      <c r="M2379">
        <v>0</v>
      </c>
    </row>
    <row r="2380" spans="1:13">
      <c r="A2380" s="28">
        <v>244460</v>
      </c>
      <c r="B2380" t="s">
        <v>2522</v>
      </c>
      <c r="C2380">
        <v>490</v>
      </c>
      <c r="D2380">
        <v>-44</v>
      </c>
      <c r="E2380">
        <v>-8.24</v>
      </c>
      <c r="F2380" t="s">
        <v>397</v>
      </c>
      <c r="G2380" t="s">
        <v>397</v>
      </c>
      <c r="H2380" t="s">
        <v>397</v>
      </c>
      <c r="I2380" t="s">
        <v>397</v>
      </c>
      <c r="J2380">
        <v>357</v>
      </c>
      <c r="K2380">
        <v>1.37</v>
      </c>
      <c r="L2380">
        <v>0</v>
      </c>
      <c r="M2380">
        <v>0</v>
      </c>
    </row>
    <row r="2381" spans="1:13">
      <c r="A2381" s="28">
        <v>226950</v>
      </c>
      <c r="B2381" t="s">
        <v>2523</v>
      </c>
      <c r="C2381">
        <v>16430</v>
      </c>
      <c r="D2381">
        <v>-110</v>
      </c>
      <c r="E2381">
        <v>-0.67</v>
      </c>
      <c r="F2381" t="s">
        <v>397</v>
      </c>
      <c r="G2381" t="s">
        <v>397</v>
      </c>
      <c r="H2381" t="s">
        <v>397</v>
      </c>
      <c r="I2381" t="s">
        <v>397</v>
      </c>
      <c r="J2381">
        <v>4810</v>
      </c>
      <c r="K2381">
        <v>3.42</v>
      </c>
      <c r="L2381">
        <v>0</v>
      </c>
      <c r="M2381">
        <v>0</v>
      </c>
    </row>
    <row r="2382" spans="1:13">
      <c r="A2382" s="28">
        <v>57540</v>
      </c>
      <c r="B2382" t="s">
        <v>2524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397</v>
      </c>
      <c r="I2382" t="s">
        <v>397</v>
      </c>
      <c r="J2382">
        <v>1842</v>
      </c>
      <c r="K2382">
        <v>0.46</v>
      </c>
      <c r="L2382">
        <v>0</v>
      </c>
      <c r="M2382">
        <v>0</v>
      </c>
    </row>
    <row r="2383" spans="1:13">
      <c r="A2383" s="28">
        <v>6980</v>
      </c>
      <c r="B2383" t="s">
        <v>2525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397</v>
      </c>
      <c r="I2383" t="s">
        <v>397</v>
      </c>
      <c r="J2383">
        <v>67491</v>
      </c>
      <c r="K2383">
        <v>0.28999999999999998</v>
      </c>
      <c r="L2383">
        <v>0</v>
      </c>
      <c r="M2383">
        <v>0</v>
      </c>
    </row>
    <row r="2384" spans="1:13">
      <c r="A2384" s="28">
        <v>153490</v>
      </c>
      <c r="B2384" t="s">
        <v>2526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397</v>
      </c>
      <c r="I2384" t="s">
        <v>397</v>
      </c>
      <c r="J2384">
        <v>1491</v>
      </c>
      <c r="K2384">
        <v>0.73</v>
      </c>
      <c r="L2384">
        <v>0</v>
      </c>
      <c r="M2384">
        <v>0</v>
      </c>
    </row>
    <row r="2385" spans="1:13">
      <c r="A2385" s="28">
        <v>37400</v>
      </c>
      <c r="B2385" t="s">
        <v>2527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397</v>
      </c>
      <c r="I2385" t="s">
        <v>397</v>
      </c>
      <c r="J2385">
        <v>5363</v>
      </c>
      <c r="K2385">
        <v>0.3</v>
      </c>
      <c r="L2385">
        <v>0</v>
      </c>
      <c r="M2385">
        <v>0</v>
      </c>
    </row>
    <row r="2386" spans="1:13">
      <c r="A2386" s="28">
        <v>82850</v>
      </c>
      <c r="B2386" t="s">
        <v>2528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397</v>
      </c>
      <c r="I2386" t="s">
        <v>397</v>
      </c>
      <c r="J2386">
        <v>3829</v>
      </c>
      <c r="K2386">
        <v>0.75</v>
      </c>
      <c r="L2386">
        <v>0</v>
      </c>
      <c r="M2386">
        <v>0</v>
      </c>
    </row>
    <row r="2387" spans="1:13">
      <c r="A2387" s="28">
        <v>46970</v>
      </c>
      <c r="B2387" t="s">
        <v>2529</v>
      </c>
      <c r="C2387">
        <v>1621</v>
      </c>
      <c r="D2387">
        <v>0</v>
      </c>
      <c r="E2387">
        <v>0</v>
      </c>
      <c r="F2387" t="s">
        <v>397</v>
      </c>
      <c r="G2387" t="s">
        <v>397</v>
      </c>
      <c r="H2387" t="s">
        <v>397</v>
      </c>
      <c r="I2387" t="s">
        <v>397</v>
      </c>
      <c r="J2387">
        <v>1191</v>
      </c>
      <c r="K2387">
        <v>1.36</v>
      </c>
      <c r="L2387">
        <v>0</v>
      </c>
      <c r="M2387">
        <v>0</v>
      </c>
    </row>
    <row r="2388" spans="1:13">
      <c r="A2388" s="28">
        <v>115440</v>
      </c>
      <c r="B2388" t="s">
        <v>2530</v>
      </c>
      <c r="C2388">
        <v>6820</v>
      </c>
      <c r="D2388">
        <v>-70</v>
      </c>
      <c r="E2388">
        <v>-1.02</v>
      </c>
      <c r="F2388" t="s">
        <v>397</v>
      </c>
      <c r="G2388" t="s">
        <v>397</v>
      </c>
      <c r="H2388" t="s">
        <v>397</v>
      </c>
      <c r="I2388" t="s">
        <v>397</v>
      </c>
      <c r="J2388">
        <v>6002</v>
      </c>
      <c r="K2388">
        <v>1.1399999999999999</v>
      </c>
      <c r="L2388">
        <v>0</v>
      </c>
      <c r="M2388">
        <v>0</v>
      </c>
    </row>
    <row r="2389" spans="1:13">
      <c r="A2389" s="28">
        <v>41190</v>
      </c>
      <c r="B2389" t="s">
        <v>2531</v>
      </c>
      <c r="C2389">
        <v>8760</v>
      </c>
      <c r="D2389">
        <v>-910</v>
      </c>
      <c r="E2389">
        <v>-9.41</v>
      </c>
      <c r="F2389" t="s">
        <v>397</v>
      </c>
      <c r="G2389" t="s">
        <v>397</v>
      </c>
      <c r="H2389" t="s">
        <v>397</v>
      </c>
      <c r="I2389" t="s">
        <v>397</v>
      </c>
      <c r="J2389">
        <v>5124</v>
      </c>
      <c r="K2389">
        <v>1.71</v>
      </c>
      <c r="L2389">
        <v>0</v>
      </c>
      <c r="M2389">
        <v>0</v>
      </c>
    </row>
    <row r="2390" spans="1:13">
      <c r="A2390" s="28">
        <v>32820</v>
      </c>
      <c r="B2390" t="s">
        <v>2532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397</v>
      </c>
      <c r="I2390" t="s">
        <v>397</v>
      </c>
      <c r="J2390">
        <v>634</v>
      </c>
      <c r="K2390">
        <v>2.38</v>
      </c>
      <c r="L2390">
        <v>0</v>
      </c>
      <c r="M2390">
        <v>0</v>
      </c>
    </row>
    <row r="2391" spans="1:13">
      <c r="A2391" s="28">
        <v>403490</v>
      </c>
      <c r="B2391" t="s">
        <v>2533</v>
      </c>
      <c r="C2391">
        <v>2380</v>
      </c>
      <c r="D2391">
        <v>25</v>
      </c>
      <c r="E2391">
        <v>1.06</v>
      </c>
      <c r="F2391" t="s">
        <v>397</v>
      </c>
      <c r="G2391" t="s">
        <v>397</v>
      </c>
      <c r="H2391" t="s">
        <v>397</v>
      </c>
      <c r="I2391" t="s">
        <v>397</v>
      </c>
      <c r="J2391" t="s">
        <v>397</v>
      </c>
      <c r="K2391" t="s">
        <v>397</v>
      </c>
      <c r="L2391">
        <v>0</v>
      </c>
      <c r="M2391">
        <v>0</v>
      </c>
    </row>
    <row r="2392" spans="1:13">
      <c r="A2392" s="28">
        <v>70960</v>
      </c>
      <c r="B2392" t="s">
        <v>2534</v>
      </c>
      <c r="C2392">
        <v>2940</v>
      </c>
      <c r="D2392">
        <v>-5</v>
      </c>
      <c r="E2392">
        <v>-0.17</v>
      </c>
      <c r="F2392" t="s">
        <v>397</v>
      </c>
      <c r="G2392" t="s">
        <v>397</v>
      </c>
      <c r="H2392" t="s">
        <v>397</v>
      </c>
      <c r="I2392" t="s">
        <v>397</v>
      </c>
      <c r="J2392">
        <v>7847</v>
      </c>
      <c r="K2392">
        <v>0.37</v>
      </c>
      <c r="L2392">
        <v>0</v>
      </c>
      <c r="M2392">
        <v>0</v>
      </c>
    </row>
    <row r="2393" spans="1:13">
      <c r="A2393" s="28">
        <v>332570</v>
      </c>
      <c r="B2393" t="s">
        <v>2535</v>
      </c>
      <c r="C2393">
        <v>3220</v>
      </c>
      <c r="D2393">
        <v>-40</v>
      </c>
      <c r="E2393">
        <v>-1.23</v>
      </c>
      <c r="F2393" t="s">
        <v>397</v>
      </c>
      <c r="G2393" t="s">
        <v>397</v>
      </c>
      <c r="H2393" t="s">
        <v>397</v>
      </c>
      <c r="I2393" t="s">
        <v>397</v>
      </c>
      <c r="J2393">
        <v>1751</v>
      </c>
      <c r="K2393">
        <v>1.84</v>
      </c>
      <c r="L2393">
        <v>0</v>
      </c>
      <c r="M2393">
        <v>0</v>
      </c>
    </row>
    <row r="2394" spans="1:13">
      <c r="A2394" s="28">
        <v>11690</v>
      </c>
      <c r="B2394" t="s">
        <v>2536</v>
      </c>
      <c r="C2394">
        <v>3770</v>
      </c>
      <c r="D2394">
        <v>270</v>
      </c>
      <c r="E2394">
        <v>7.71</v>
      </c>
      <c r="F2394" t="s">
        <v>397</v>
      </c>
      <c r="G2394" t="s">
        <v>397</v>
      </c>
      <c r="H2394" t="s">
        <v>397</v>
      </c>
      <c r="I2394" t="s">
        <v>397</v>
      </c>
      <c r="J2394">
        <v>2590</v>
      </c>
      <c r="K2394">
        <v>1.46</v>
      </c>
      <c r="L2394">
        <v>0</v>
      </c>
      <c r="M2394">
        <v>0</v>
      </c>
    </row>
    <row r="2395" spans="1:13">
      <c r="A2395" s="28">
        <v>193250</v>
      </c>
      <c r="B2395" t="s">
        <v>2537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397</v>
      </c>
      <c r="I2395" t="s">
        <v>397</v>
      </c>
      <c r="J2395">
        <v>1427</v>
      </c>
      <c r="K2395">
        <v>0.53</v>
      </c>
      <c r="L2395">
        <v>0</v>
      </c>
      <c r="M2395">
        <v>0</v>
      </c>
    </row>
    <row r="2396" spans="1:13">
      <c r="A2396" s="28">
        <v>66430</v>
      </c>
      <c r="B2396" t="s">
        <v>2538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397</v>
      </c>
      <c r="I2396" t="s">
        <v>397</v>
      </c>
      <c r="J2396">
        <v>787</v>
      </c>
      <c r="K2396">
        <v>0.75</v>
      </c>
      <c r="L2396">
        <v>0</v>
      </c>
      <c r="M2396">
        <v>0</v>
      </c>
    </row>
    <row r="2397" spans="1:13">
      <c r="A2397" s="28">
        <v>251370</v>
      </c>
      <c r="B2397" t="s">
        <v>2539</v>
      </c>
      <c r="C2397">
        <v>11880</v>
      </c>
      <c r="D2397">
        <v>-70</v>
      </c>
      <c r="E2397">
        <v>-0.59</v>
      </c>
      <c r="F2397" t="s">
        <v>397</v>
      </c>
      <c r="G2397" t="s">
        <v>397</v>
      </c>
      <c r="H2397" t="s">
        <v>397</v>
      </c>
      <c r="I2397" t="s">
        <v>397</v>
      </c>
      <c r="J2397">
        <v>7667</v>
      </c>
      <c r="K2397">
        <v>1.55</v>
      </c>
      <c r="L2397">
        <v>0</v>
      </c>
      <c r="M2397">
        <v>0</v>
      </c>
    </row>
    <row r="2398" spans="1:13">
      <c r="A2398" s="28">
        <v>7530</v>
      </c>
      <c r="B2398" t="s">
        <v>2540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397</v>
      </c>
      <c r="I2398" t="s">
        <v>397</v>
      </c>
      <c r="J2398">
        <v>2235</v>
      </c>
      <c r="K2398">
        <v>1.24</v>
      </c>
      <c r="L2398">
        <v>0</v>
      </c>
      <c r="M2398">
        <v>0</v>
      </c>
    </row>
    <row r="2399" spans="1:13">
      <c r="A2399" s="28">
        <v>232140</v>
      </c>
      <c r="B2399" t="s">
        <v>2541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397</v>
      </c>
      <c r="I2399" t="s">
        <v>397</v>
      </c>
      <c r="J2399">
        <v>3663</v>
      </c>
      <c r="K2399">
        <v>1.97</v>
      </c>
      <c r="L2399">
        <v>0</v>
      </c>
      <c r="M2399">
        <v>0</v>
      </c>
    </row>
    <row r="2400" spans="1:13">
      <c r="A2400" s="28">
        <v>338840</v>
      </c>
      <c r="B2400" t="s">
        <v>2542</v>
      </c>
      <c r="C2400">
        <v>11950</v>
      </c>
      <c r="D2400">
        <v>140</v>
      </c>
      <c r="E2400">
        <v>1.19</v>
      </c>
      <c r="F2400" t="s">
        <v>397</v>
      </c>
      <c r="G2400" t="s">
        <v>397</v>
      </c>
      <c r="H2400" t="s">
        <v>397</v>
      </c>
      <c r="I2400" t="s">
        <v>397</v>
      </c>
      <c r="J2400">
        <v>1000</v>
      </c>
      <c r="K2400">
        <v>11.95</v>
      </c>
      <c r="L2400">
        <v>0</v>
      </c>
      <c r="M2400">
        <v>0</v>
      </c>
    </row>
    <row r="2401" spans="1:13">
      <c r="A2401" s="28">
        <v>432430</v>
      </c>
      <c r="B2401" t="s">
        <v>2543</v>
      </c>
      <c r="C2401">
        <v>13160</v>
      </c>
      <c r="D2401">
        <v>740</v>
      </c>
      <c r="E2401">
        <v>5.96</v>
      </c>
      <c r="F2401" t="s">
        <v>397</v>
      </c>
      <c r="G2401" t="s">
        <v>397</v>
      </c>
      <c r="H2401" t="s">
        <v>397</v>
      </c>
      <c r="I2401" t="s">
        <v>397</v>
      </c>
      <c r="J2401">
        <v>875</v>
      </c>
      <c r="K2401">
        <v>15.04</v>
      </c>
      <c r="L2401">
        <v>0</v>
      </c>
      <c r="M2401">
        <v>0</v>
      </c>
    </row>
    <row r="2402" spans="1:13">
      <c r="A2402" s="28">
        <v>321820</v>
      </c>
      <c r="B2402" t="s">
        <v>2544</v>
      </c>
      <c r="C2402">
        <v>15380</v>
      </c>
      <c r="D2402">
        <v>-860</v>
      </c>
      <c r="E2402">
        <v>-5.3</v>
      </c>
      <c r="F2402" t="s">
        <v>397</v>
      </c>
      <c r="G2402" t="s">
        <v>397</v>
      </c>
      <c r="H2402" t="s">
        <v>397</v>
      </c>
      <c r="I2402" t="s">
        <v>397</v>
      </c>
      <c r="J2402">
        <v>872</v>
      </c>
      <c r="K2402">
        <v>17.64</v>
      </c>
      <c r="L2402">
        <v>0</v>
      </c>
      <c r="M2402">
        <v>0</v>
      </c>
    </row>
    <row r="2403" spans="1:13">
      <c r="A2403" s="28">
        <v>153710</v>
      </c>
      <c r="B2403" t="s">
        <v>2545</v>
      </c>
      <c r="C2403">
        <v>6310</v>
      </c>
      <c r="D2403">
        <v>90</v>
      </c>
      <c r="E2403">
        <v>1.45</v>
      </c>
      <c r="F2403" t="s">
        <v>397</v>
      </c>
      <c r="G2403" t="s">
        <v>397</v>
      </c>
      <c r="H2403" t="s">
        <v>397</v>
      </c>
      <c r="I2403" t="s">
        <v>397</v>
      </c>
      <c r="J2403">
        <v>1978</v>
      </c>
      <c r="K2403">
        <v>3.19</v>
      </c>
      <c r="L2403">
        <v>0</v>
      </c>
      <c r="M2403">
        <v>0</v>
      </c>
    </row>
    <row r="2404" spans="1:13">
      <c r="A2404" s="28">
        <v>380540</v>
      </c>
      <c r="B2404" t="s">
        <v>2546</v>
      </c>
      <c r="C2404">
        <v>1292</v>
      </c>
      <c r="D2404">
        <v>-8</v>
      </c>
      <c r="E2404">
        <v>-0.62</v>
      </c>
      <c r="F2404" t="s">
        <v>397</v>
      </c>
      <c r="G2404" t="s">
        <v>397</v>
      </c>
      <c r="H2404" t="s">
        <v>397</v>
      </c>
      <c r="I2404" t="s">
        <v>397</v>
      </c>
      <c r="J2404">
        <v>841</v>
      </c>
      <c r="K2404">
        <v>1.54</v>
      </c>
      <c r="L2404">
        <v>0</v>
      </c>
      <c r="M2404">
        <v>0</v>
      </c>
    </row>
    <row r="2405" spans="1:13">
      <c r="A2405" s="28">
        <v>82210</v>
      </c>
      <c r="B2405" t="s">
        <v>2547</v>
      </c>
      <c r="C2405">
        <v>4115</v>
      </c>
      <c r="D2405">
        <v>215</v>
      </c>
      <c r="E2405">
        <v>5.51</v>
      </c>
      <c r="F2405" t="s">
        <v>397</v>
      </c>
      <c r="G2405" t="s">
        <v>397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>
      <c r="A2406" s="28">
        <v>263540</v>
      </c>
      <c r="B2406" t="s">
        <v>2548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397</v>
      </c>
      <c r="I2406" t="s">
        <v>397</v>
      </c>
      <c r="J2406">
        <v>1039</v>
      </c>
      <c r="K2406">
        <v>5.73</v>
      </c>
      <c r="L2406">
        <v>0</v>
      </c>
      <c r="M2406">
        <v>0</v>
      </c>
    </row>
    <row r="2407" spans="1:13">
      <c r="A2407" s="28">
        <v>255440</v>
      </c>
      <c r="B2407" t="s">
        <v>2549</v>
      </c>
      <c r="C2407">
        <v>11100</v>
      </c>
      <c r="D2407">
        <v>-310</v>
      </c>
      <c r="E2407">
        <v>-2.72</v>
      </c>
      <c r="F2407" t="s">
        <v>397</v>
      </c>
      <c r="G2407" t="s">
        <v>397</v>
      </c>
      <c r="H2407" t="s">
        <v>397</v>
      </c>
      <c r="I2407" t="s">
        <v>397</v>
      </c>
      <c r="J2407">
        <v>12322</v>
      </c>
      <c r="K2407">
        <v>0.9</v>
      </c>
      <c r="L2407">
        <v>0</v>
      </c>
      <c r="M2407">
        <v>0</v>
      </c>
    </row>
    <row r="2408" spans="1:13">
      <c r="A2408" s="28">
        <v>174900</v>
      </c>
      <c r="B2408" t="s">
        <v>2550</v>
      </c>
      <c r="C2408">
        <v>17920</v>
      </c>
      <c r="D2408">
        <v>-980</v>
      </c>
      <c r="E2408">
        <v>-5.19</v>
      </c>
      <c r="F2408" t="s">
        <v>397</v>
      </c>
      <c r="G2408" t="s">
        <v>397</v>
      </c>
      <c r="H2408" t="s">
        <v>397</v>
      </c>
      <c r="I2408" t="s">
        <v>397</v>
      </c>
      <c r="J2408">
        <v>2390</v>
      </c>
      <c r="K2408">
        <v>7.5</v>
      </c>
      <c r="L2408">
        <v>0</v>
      </c>
      <c r="M2408">
        <v>0</v>
      </c>
    </row>
    <row r="2409" spans="1:13">
      <c r="A2409" s="28">
        <v>318160</v>
      </c>
      <c r="B2409" t="s">
        <v>2551</v>
      </c>
      <c r="C2409">
        <v>4180</v>
      </c>
      <c r="D2409">
        <v>-120</v>
      </c>
      <c r="E2409">
        <v>-2.79</v>
      </c>
      <c r="F2409" t="s">
        <v>397</v>
      </c>
      <c r="G2409" t="s">
        <v>397</v>
      </c>
      <c r="H2409" t="s">
        <v>397</v>
      </c>
      <c r="I2409" t="s">
        <v>397</v>
      </c>
      <c r="J2409" t="s">
        <v>397</v>
      </c>
      <c r="K2409" t="s">
        <v>397</v>
      </c>
      <c r="L2409">
        <v>0</v>
      </c>
      <c r="M2409">
        <v>0</v>
      </c>
    </row>
    <row r="2410" spans="1:13">
      <c r="A2410" s="28">
        <v>304100</v>
      </c>
      <c r="B2410" t="s">
        <v>2552</v>
      </c>
      <c r="C2410">
        <v>29800</v>
      </c>
      <c r="D2410">
        <v>5500</v>
      </c>
      <c r="E2410">
        <v>22.63</v>
      </c>
      <c r="F2410" t="s">
        <v>397</v>
      </c>
      <c r="G2410" t="s">
        <v>397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>
      <c r="A2411" s="28">
        <v>35610</v>
      </c>
      <c r="B2411" t="s">
        <v>2553</v>
      </c>
      <c r="C2411">
        <v>4665</v>
      </c>
      <c r="D2411">
        <v>25</v>
      </c>
      <c r="E2411">
        <v>0.54</v>
      </c>
      <c r="F2411" t="s">
        <v>397</v>
      </c>
      <c r="G2411" t="s">
        <v>397</v>
      </c>
      <c r="H2411" t="s">
        <v>397</v>
      </c>
      <c r="I2411" t="s">
        <v>397</v>
      </c>
      <c r="J2411">
        <v>4825</v>
      </c>
      <c r="K2411">
        <v>0.97</v>
      </c>
      <c r="L2411">
        <v>0</v>
      </c>
      <c r="M2411">
        <v>0</v>
      </c>
    </row>
    <row r="2412" spans="1:13">
      <c r="A2412" s="28">
        <v>248070</v>
      </c>
      <c r="B2412" t="s">
        <v>2554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>
      <c r="A2413" s="28">
        <v>43100</v>
      </c>
      <c r="B2413" t="s">
        <v>2555</v>
      </c>
      <c r="C2413">
        <v>533</v>
      </c>
      <c r="D2413">
        <v>-1</v>
      </c>
      <c r="E2413">
        <v>-0.19</v>
      </c>
      <c r="F2413" t="s">
        <v>397</v>
      </c>
      <c r="G2413" t="s">
        <v>397</v>
      </c>
      <c r="H2413" t="s">
        <v>397</v>
      </c>
      <c r="I2413" t="s">
        <v>397</v>
      </c>
      <c r="J2413">
        <v>441</v>
      </c>
      <c r="K2413">
        <v>1.21</v>
      </c>
      <c r="L2413">
        <v>0</v>
      </c>
      <c r="M2413">
        <v>0</v>
      </c>
    </row>
    <row r="2414" spans="1:13">
      <c r="A2414" s="28">
        <v>66910</v>
      </c>
      <c r="B2414" t="s">
        <v>2556</v>
      </c>
      <c r="C2414">
        <v>3330</v>
      </c>
      <c r="D2414">
        <v>75</v>
      </c>
      <c r="E2414">
        <v>2.2999999999999998</v>
      </c>
      <c r="F2414" t="s">
        <v>397</v>
      </c>
      <c r="G2414" t="s">
        <v>397</v>
      </c>
      <c r="H2414" t="s">
        <v>397</v>
      </c>
      <c r="I2414" t="s">
        <v>397</v>
      </c>
      <c r="J2414">
        <v>695</v>
      </c>
      <c r="K2414">
        <v>4.79</v>
      </c>
      <c r="L2414">
        <v>0</v>
      </c>
      <c r="M2414">
        <v>0</v>
      </c>
    </row>
    <row r="2415" spans="1:13">
      <c r="A2415" s="28">
        <v>258790</v>
      </c>
      <c r="B2415" t="s">
        <v>2557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397</v>
      </c>
      <c r="I2415" t="s">
        <v>397</v>
      </c>
      <c r="J2415">
        <v>697</v>
      </c>
      <c r="K2415">
        <v>2.14</v>
      </c>
      <c r="L2415">
        <v>0</v>
      </c>
      <c r="M2415">
        <v>0</v>
      </c>
    </row>
    <row r="2416" spans="1:13">
      <c r="A2416" s="28">
        <v>32685</v>
      </c>
      <c r="B2416" t="s">
        <v>2558</v>
      </c>
      <c r="C2416">
        <v>10720</v>
      </c>
      <c r="D2416">
        <v>-50</v>
      </c>
      <c r="E2416">
        <v>-0.46</v>
      </c>
      <c r="F2416" t="s">
        <v>397</v>
      </c>
      <c r="G2416" t="s">
        <v>397</v>
      </c>
      <c r="H2416" t="s">
        <v>397</v>
      </c>
      <c r="I2416" t="s">
        <v>397</v>
      </c>
      <c r="J2416" t="s">
        <v>397</v>
      </c>
      <c r="K2416" t="s">
        <v>397</v>
      </c>
      <c r="L2416">
        <v>0</v>
      </c>
      <c r="M2416">
        <v>0</v>
      </c>
    </row>
    <row r="2417" spans="1:13">
      <c r="A2417" s="28">
        <v>32680</v>
      </c>
      <c r="B2417" t="s">
        <v>2559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397</v>
      </c>
      <c r="I2417" t="s">
        <v>397</v>
      </c>
      <c r="J2417">
        <v>721</v>
      </c>
      <c r="K2417">
        <v>1.02</v>
      </c>
      <c r="L2417">
        <v>0</v>
      </c>
      <c r="M2417">
        <v>0</v>
      </c>
    </row>
    <row r="2418" spans="1:13">
      <c r="A2418" s="28">
        <v>60230</v>
      </c>
      <c r="B2418" t="s">
        <v>2560</v>
      </c>
      <c r="C2418">
        <v>2095</v>
      </c>
      <c r="D2418">
        <v>0</v>
      </c>
      <c r="E2418">
        <v>0</v>
      </c>
      <c r="F2418" t="s">
        <v>397</v>
      </c>
      <c r="G2418" t="s">
        <v>397</v>
      </c>
      <c r="H2418" t="s">
        <v>397</v>
      </c>
      <c r="I2418" t="s">
        <v>397</v>
      </c>
      <c r="J2418">
        <v>3549</v>
      </c>
      <c r="K2418">
        <v>0.59</v>
      </c>
      <c r="L2418">
        <v>0</v>
      </c>
      <c r="M2418">
        <v>0</v>
      </c>
    </row>
    <row r="2419" spans="1:13">
      <c r="A2419" s="28">
        <v>68940</v>
      </c>
      <c r="B2419" t="s">
        <v>2561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397</v>
      </c>
      <c r="I2419" t="s">
        <v>397</v>
      </c>
      <c r="J2419">
        <v>680</v>
      </c>
      <c r="K2419">
        <v>1.1399999999999999</v>
      </c>
      <c r="L2419">
        <v>0</v>
      </c>
      <c r="M2419">
        <v>0</v>
      </c>
    </row>
    <row r="2420" spans="1:13">
      <c r="A2420" s="28">
        <v>68760</v>
      </c>
      <c r="B2420" t="s">
        <v>2562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397</v>
      </c>
      <c r="I2420" t="s">
        <v>397</v>
      </c>
      <c r="J2420">
        <v>8629</v>
      </c>
      <c r="K2420">
        <v>12.49</v>
      </c>
      <c r="L2420">
        <v>0</v>
      </c>
      <c r="M2420">
        <v>0</v>
      </c>
    </row>
    <row r="2421" spans="1:13">
      <c r="A2421" s="28">
        <v>208370</v>
      </c>
      <c r="B2421" t="s">
        <v>2563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397</v>
      </c>
      <c r="I2421" t="s">
        <v>397</v>
      </c>
      <c r="J2421">
        <v>1469</v>
      </c>
      <c r="K2421">
        <v>4.13</v>
      </c>
      <c r="L2421">
        <v>0</v>
      </c>
      <c r="M2421">
        <v>0</v>
      </c>
    </row>
    <row r="2422" spans="1:13">
      <c r="A2422" s="28">
        <v>86980</v>
      </c>
      <c r="B2422" t="s">
        <v>2564</v>
      </c>
      <c r="C2422">
        <v>4050</v>
      </c>
      <c r="D2422">
        <v>170</v>
      </c>
      <c r="E2422">
        <v>4.38</v>
      </c>
      <c r="F2422" t="s">
        <v>397</v>
      </c>
      <c r="G2422" t="s">
        <v>397</v>
      </c>
      <c r="H2422" t="s">
        <v>397</v>
      </c>
      <c r="I2422" t="s">
        <v>397</v>
      </c>
      <c r="J2422">
        <v>2165</v>
      </c>
      <c r="K2422">
        <v>1.87</v>
      </c>
      <c r="L2422">
        <v>0</v>
      </c>
      <c r="M2422">
        <v>0</v>
      </c>
    </row>
    <row r="2423" spans="1:13">
      <c r="A2423" s="28">
        <v>108860</v>
      </c>
      <c r="B2423" t="s">
        <v>2565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>
      <c r="A2424" s="28">
        <v>268600</v>
      </c>
      <c r="B2424" t="s">
        <v>2566</v>
      </c>
      <c r="C2424">
        <v>6680</v>
      </c>
      <c r="D2424">
        <v>0</v>
      </c>
      <c r="E2424">
        <v>0</v>
      </c>
      <c r="F2424" t="s">
        <v>397</v>
      </c>
      <c r="G2424" t="s">
        <v>397</v>
      </c>
      <c r="H2424" t="s">
        <v>397</v>
      </c>
      <c r="I2424" t="s">
        <v>397</v>
      </c>
      <c r="J2424">
        <v>294</v>
      </c>
      <c r="K2424">
        <v>22.72</v>
      </c>
      <c r="L2424">
        <v>0</v>
      </c>
      <c r="M2424">
        <v>0</v>
      </c>
    </row>
    <row r="2425" spans="1:13">
      <c r="A2425" s="28">
        <v>299660</v>
      </c>
      <c r="B2425" t="s">
        <v>2567</v>
      </c>
      <c r="C2425">
        <v>3810</v>
      </c>
      <c r="D2425">
        <v>-230</v>
      </c>
      <c r="E2425">
        <v>-5.69</v>
      </c>
      <c r="F2425" t="s">
        <v>397</v>
      </c>
      <c r="G2425" t="s">
        <v>397</v>
      </c>
      <c r="H2425" t="s">
        <v>397</v>
      </c>
      <c r="I2425" t="s">
        <v>397</v>
      </c>
      <c r="J2425">
        <v>2105</v>
      </c>
      <c r="K2425">
        <v>1.81</v>
      </c>
      <c r="L2425">
        <v>0</v>
      </c>
      <c r="M2425">
        <v>0</v>
      </c>
    </row>
    <row r="2426" spans="1:13">
      <c r="A2426" s="28">
        <v>49180</v>
      </c>
      <c r="B2426" t="s">
        <v>2568</v>
      </c>
      <c r="C2426">
        <v>1615</v>
      </c>
      <c r="D2426">
        <v>-50</v>
      </c>
      <c r="E2426">
        <v>-3</v>
      </c>
      <c r="F2426" t="s">
        <v>397</v>
      </c>
      <c r="G2426" t="s">
        <v>397</v>
      </c>
      <c r="H2426" t="s">
        <v>397</v>
      </c>
      <c r="I2426" t="s">
        <v>397</v>
      </c>
      <c r="J2426">
        <v>1292</v>
      </c>
      <c r="K2426">
        <v>1.25</v>
      </c>
      <c r="L2426">
        <v>0</v>
      </c>
      <c r="M2426">
        <v>0</v>
      </c>
    </row>
    <row r="2427" spans="1:13">
      <c r="A2427" s="28">
        <v>331920</v>
      </c>
      <c r="B2427" t="s">
        <v>2569</v>
      </c>
      <c r="C2427">
        <v>3950</v>
      </c>
      <c r="D2427">
        <v>20</v>
      </c>
      <c r="E2427">
        <v>0.51</v>
      </c>
      <c r="F2427" t="s">
        <v>397</v>
      </c>
      <c r="G2427" t="s">
        <v>397</v>
      </c>
      <c r="H2427" t="s">
        <v>397</v>
      </c>
      <c r="I2427" t="s">
        <v>397</v>
      </c>
      <c r="J2427">
        <v>2277</v>
      </c>
      <c r="K2427">
        <v>1.73</v>
      </c>
      <c r="L2427">
        <v>0</v>
      </c>
      <c r="M2427">
        <v>0</v>
      </c>
    </row>
    <row r="2428" spans="1:13">
      <c r="A2428" s="28">
        <v>347000</v>
      </c>
      <c r="B2428" t="s">
        <v>2570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397</v>
      </c>
      <c r="I2428" t="s">
        <v>397</v>
      </c>
      <c r="J2428">
        <v>1302</v>
      </c>
      <c r="K2428">
        <v>2.2400000000000002</v>
      </c>
      <c r="L2428">
        <v>0</v>
      </c>
      <c r="M2428">
        <v>0</v>
      </c>
    </row>
    <row r="2429" spans="1:13">
      <c r="A2429" s="28">
        <v>321370</v>
      </c>
      <c r="B2429" t="s">
        <v>2571</v>
      </c>
      <c r="C2429">
        <v>4100</v>
      </c>
      <c r="D2429">
        <v>-110</v>
      </c>
      <c r="E2429">
        <v>-2.61</v>
      </c>
      <c r="F2429" t="s">
        <v>397</v>
      </c>
      <c r="G2429" t="s">
        <v>397</v>
      </c>
      <c r="H2429" t="s">
        <v>397</v>
      </c>
      <c r="I2429" t="s">
        <v>397</v>
      </c>
      <c r="J2429">
        <v>648</v>
      </c>
      <c r="K2429">
        <v>6.33</v>
      </c>
      <c r="L2429">
        <v>0</v>
      </c>
      <c r="M2429">
        <v>0</v>
      </c>
    </row>
    <row r="2430" spans="1:13">
      <c r="A2430" s="28">
        <v>222810</v>
      </c>
      <c r="B2430" t="s">
        <v>2572</v>
      </c>
      <c r="C2430">
        <v>1392</v>
      </c>
      <c r="D2430">
        <v>-14</v>
      </c>
      <c r="E2430">
        <v>-1</v>
      </c>
      <c r="F2430" t="s">
        <v>397</v>
      </c>
      <c r="G2430" t="s">
        <v>397</v>
      </c>
      <c r="H2430" t="s">
        <v>397</v>
      </c>
      <c r="I2430" t="s">
        <v>397</v>
      </c>
      <c r="J2430">
        <v>552</v>
      </c>
      <c r="K2430">
        <v>2.52</v>
      </c>
      <c r="L2430">
        <v>0</v>
      </c>
      <c r="M2430">
        <v>0</v>
      </c>
    </row>
    <row r="2431" spans="1:13">
      <c r="A2431" s="28">
        <v>53450</v>
      </c>
      <c r="B2431" t="s">
        <v>2573</v>
      </c>
      <c r="C2431">
        <v>7700</v>
      </c>
      <c r="D2431">
        <v>-180</v>
      </c>
      <c r="E2431">
        <v>-2.2799999999999998</v>
      </c>
      <c r="F2431" t="s">
        <v>397</v>
      </c>
      <c r="G2431" t="s">
        <v>397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>
      <c r="A2432" s="28">
        <v>67770</v>
      </c>
      <c r="B2432" t="s">
        <v>2574</v>
      </c>
      <c r="C2432">
        <v>2725</v>
      </c>
      <c r="D2432">
        <v>35</v>
      </c>
      <c r="E2432">
        <v>1.3</v>
      </c>
      <c r="F2432" t="s">
        <v>397</v>
      </c>
      <c r="G2432" t="s">
        <v>397</v>
      </c>
      <c r="H2432" t="s">
        <v>397</v>
      </c>
      <c r="I2432" t="s">
        <v>397</v>
      </c>
      <c r="J2432">
        <v>5424</v>
      </c>
      <c r="K2432">
        <v>0.5</v>
      </c>
      <c r="L2432">
        <v>0</v>
      </c>
      <c r="M2432">
        <v>0</v>
      </c>
    </row>
    <row r="2433" spans="1:13">
      <c r="A2433" s="28">
        <v>39310</v>
      </c>
      <c r="B2433" t="s">
        <v>2575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397</v>
      </c>
      <c r="I2433" t="s">
        <v>397</v>
      </c>
      <c r="J2433">
        <v>4896</v>
      </c>
      <c r="K2433">
        <v>0.44</v>
      </c>
      <c r="L2433">
        <v>0</v>
      </c>
      <c r="M2433">
        <v>0</v>
      </c>
    </row>
    <row r="2434" spans="1:13">
      <c r="A2434" s="28">
        <v>328380</v>
      </c>
      <c r="B2434" t="s">
        <v>2576</v>
      </c>
      <c r="C2434">
        <v>1441</v>
      </c>
      <c r="D2434">
        <v>34</v>
      </c>
      <c r="E2434">
        <v>2.42</v>
      </c>
      <c r="F2434" t="s">
        <v>397</v>
      </c>
      <c r="G2434" t="s">
        <v>397</v>
      </c>
      <c r="H2434" t="s">
        <v>397</v>
      </c>
      <c r="I2434" t="s">
        <v>397</v>
      </c>
      <c r="J2434">
        <v>628</v>
      </c>
      <c r="K2434">
        <v>2.29</v>
      </c>
      <c r="L2434">
        <v>0</v>
      </c>
      <c r="M2434">
        <v>0</v>
      </c>
    </row>
    <row r="2435" spans="1:13">
      <c r="A2435" s="28">
        <v>84180</v>
      </c>
      <c r="B2435" t="s">
        <v>2577</v>
      </c>
      <c r="C2435">
        <v>598</v>
      </c>
      <c r="D2435">
        <v>7</v>
      </c>
      <c r="E2435">
        <v>1.18</v>
      </c>
      <c r="F2435" t="s">
        <v>397</v>
      </c>
      <c r="G2435" t="s">
        <v>397</v>
      </c>
      <c r="H2435" t="s">
        <v>397</v>
      </c>
      <c r="I2435" t="s">
        <v>397</v>
      </c>
      <c r="J2435">
        <v>614</v>
      </c>
      <c r="K2435">
        <v>0.97</v>
      </c>
      <c r="L2435">
        <v>0</v>
      </c>
      <c r="M2435">
        <v>0</v>
      </c>
    </row>
    <row r="2436" spans="1:13">
      <c r="A2436" s="28">
        <v>129890</v>
      </c>
      <c r="B2436" t="s">
        <v>2578</v>
      </c>
      <c r="C2436">
        <v>1052</v>
      </c>
      <c r="D2436">
        <v>52</v>
      </c>
      <c r="E2436">
        <v>5.2</v>
      </c>
      <c r="F2436" t="s">
        <v>397</v>
      </c>
      <c r="G2436" t="s">
        <v>397</v>
      </c>
      <c r="H2436" t="s">
        <v>397</v>
      </c>
      <c r="I2436" t="s">
        <v>397</v>
      </c>
      <c r="J2436">
        <v>1114</v>
      </c>
      <c r="K2436">
        <v>0.94</v>
      </c>
      <c r="L2436">
        <v>0</v>
      </c>
      <c r="M2436">
        <v>0</v>
      </c>
    </row>
    <row r="2437" spans="1:13">
      <c r="A2437" s="28">
        <v>204630</v>
      </c>
      <c r="B2437" t="s">
        <v>2579</v>
      </c>
      <c r="C2437">
        <v>308</v>
      </c>
      <c r="D2437">
        <v>0</v>
      </c>
      <c r="E2437">
        <v>0</v>
      </c>
      <c r="F2437" t="s">
        <v>397</v>
      </c>
      <c r="G2437" t="s">
        <v>397</v>
      </c>
      <c r="H2437" t="s">
        <v>397</v>
      </c>
      <c r="I2437" t="s">
        <v>397</v>
      </c>
      <c r="J2437">
        <v>843</v>
      </c>
      <c r="K2437">
        <v>0.37</v>
      </c>
      <c r="L2437">
        <v>0</v>
      </c>
      <c r="M2437">
        <v>0</v>
      </c>
    </row>
    <row r="2438" spans="1:13">
      <c r="A2438" s="28">
        <v>290520</v>
      </c>
      <c r="B2438" t="s">
        <v>2580</v>
      </c>
      <c r="C2438">
        <v>3185</v>
      </c>
      <c r="D2438">
        <v>165</v>
      </c>
      <c r="E2438">
        <v>5.46</v>
      </c>
      <c r="F2438" t="s">
        <v>397</v>
      </c>
      <c r="G2438" t="s">
        <v>397</v>
      </c>
      <c r="H2438" t="s">
        <v>397</v>
      </c>
      <c r="I2438" t="s">
        <v>397</v>
      </c>
      <c r="J2438">
        <v>3913</v>
      </c>
      <c r="K2438">
        <v>0.81</v>
      </c>
      <c r="L2438">
        <v>0</v>
      </c>
      <c r="M2438">
        <v>0</v>
      </c>
    </row>
    <row r="2439" spans="1:13">
      <c r="A2439" s="28">
        <v>232830</v>
      </c>
      <c r="B2439" t="s">
        <v>2581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>
      <c r="A2440" s="28">
        <v>418250</v>
      </c>
      <c r="B2440" t="s">
        <v>2582</v>
      </c>
      <c r="C2440">
        <v>7930</v>
      </c>
      <c r="D2440">
        <v>-280</v>
      </c>
      <c r="E2440">
        <v>-3.41</v>
      </c>
      <c r="F2440" t="s">
        <v>397</v>
      </c>
      <c r="G2440" t="s">
        <v>397</v>
      </c>
      <c r="H2440" t="s">
        <v>397</v>
      </c>
      <c r="I2440" t="s">
        <v>397</v>
      </c>
      <c r="J2440">
        <v>1030</v>
      </c>
      <c r="K2440">
        <v>7.7</v>
      </c>
      <c r="L2440">
        <v>0</v>
      </c>
      <c r="M2440">
        <v>0</v>
      </c>
    </row>
    <row r="2441" spans="1:13">
      <c r="A2441" s="28">
        <v>429270</v>
      </c>
      <c r="B2441" t="s">
        <v>2583</v>
      </c>
      <c r="C2441">
        <v>10460</v>
      </c>
      <c r="D2441">
        <v>-20</v>
      </c>
      <c r="E2441">
        <v>-0.19</v>
      </c>
      <c r="F2441" t="s">
        <v>397</v>
      </c>
      <c r="G2441" t="s">
        <v>397</v>
      </c>
      <c r="H2441" t="s">
        <v>397</v>
      </c>
      <c r="I2441" t="s">
        <v>397</v>
      </c>
      <c r="J2441">
        <v>3305</v>
      </c>
      <c r="K2441">
        <v>3.16</v>
      </c>
      <c r="L2441">
        <v>0</v>
      </c>
      <c r="M2441">
        <v>0</v>
      </c>
    </row>
    <row r="2442" spans="1:13">
      <c r="A2442" s="28">
        <v>269620</v>
      </c>
      <c r="B2442" t="s">
        <v>2584</v>
      </c>
      <c r="C2442">
        <v>889</v>
      </c>
      <c r="D2442">
        <v>0</v>
      </c>
      <c r="E2442">
        <v>0</v>
      </c>
      <c r="F2442" t="s">
        <v>397</v>
      </c>
      <c r="G2442" t="s">
        <v>397</v>
      </c>
      <c r="H2442" t="s">
        <v>397</v>
      </c>
      <c r="I2442" t="s">
        <v>397</v>
      </c>
      <c r="J2442">
        <v>337</v>
      </c>
      <c r="K2442">
        <v>2.64</v>
      </c>
      <c r="L2442">
        <v>0</v>
      </c>
      <c r="M2442">
        <v>0</v>
      </c>
    </row>
    <row r="2443" spans="1:13">
      <c r="A2443" s="28">
        <v>25320</v>
      </c>
      <c r="B2443" t="s">
        <v>2585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>
      <c r="A2444" s="28">
        <v>48870</v>
      </c>
      <c r="B2444" t="s">
        <v>2586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397</v>
      </c>
      <c r="I2444" t="s">
        <v>397</v>
      </c>
      <c r="J2444">
        <v>1692</v>
      </c>
      <c r="K2444">
        <v>1.66</v>
      </c>
      <c r="L2444">
        <v>0</v>
      </c>
      <c r="M2444">
        <v>0</v>
      </c>
    </row>
    <row r="2445" spans="1:13">
      <c r="A2445" s="28">
        <v>33170</v>
      </c>
      <c r="B2445" t="s">
        <v>2587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397</v>
      </c>
      <c r="I2445" t="s">
        <v>397</v>
      </c>
      <c r="J2445">
        <v>1532</v>
      </c>
      <c r="K2445">
        <v>1.22</v>
      </c>
      <c r="L2445">
        <v>0</v>
      </c>
      <c r="M2445">
        <v>0</v>
      </c>
    </row>
    <row r="2446" spans="1:13">
      <c r="A2446" s="28">
        <v>203690</v>
      </c>
      <c r="B2446" t="s">
        <v>2588</v>
      </c>
      <c r="C2446">
        <v>10410</v>
      </c>
      <c r="D2446">
        <v>530</v>
      </c>
      <c r="E2446">
        <v>5.36</v>
      </c>
      <c r="F2446" t="s">
        <v>397</v>
      </c>
      <c r="G2446" t="s">
        <v>397</v>
      </c>
      <c r="H2446" t="s">
        <v>397</v>
      </c>
      <c r="I2446" t="s">
        <v>397</v>
      </c>
      <c r="J2446">
        <v>1090</v>
      </c>
      <c r="K2446">
        <v>9.5500000000000007</v>
      </c>
      <c r="L2446">
        <v>0</v>
      </c>
      <c r="M2446">
        <v>0</v>
      </c>
    </row>
    <row r="2447" spans="1:13">
      <c r="A2447" s="28">
        <v>13810</v>
      </c>
      <c r="B2447" t="s">
        <v>2589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397</v>
      </c>
      <c r="I2447" t="s">
        <v>397</v>
      </c>
      <c r="J2447">
        <v>3154</v>
      </c>
      <c r="K2447">
        <v>1.22</v>
      </c>
      <c r="L2447">
        <v>0</v>
      </c>
      <c r="M2447">
        <v>0</v>
      </c>
    </row>
    <row r="2448" spans="1:13">
      <c r="A2448" s="28">
        <v>415380</v>
      </c>
      <c r="B2448" t="s">
        <v>2590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397</v>
      </c>
      <c r="I2448" t="s">
        <v>397</v>
      </c>
      <c r="J2448">
        <v>4996</v>
      </c>
      <c r="K2448">
        <v>3.17</v>
      </c>
      <c r="L2448">
        <v>0</v>
      </c>
      <c r="M2448">
        <v>0</v>
      </c>
    </row>
    <row r="2449" spans="1:13">
      <c r="A2449" s="28">
        <v>408900</v>
      </c>
      <c r="B2449" t="s">
        <v>2591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397</v>
      </c>
      <c r="I2449" t="s">
        <v>397</v>
      </c>
      <c r="J2449">
        <v>4847</v>
      </c>
      <c r="K2449">
        <v>7.28</v>
      </c>
      <c r="L2449">
        <v>0</v>
      </c>
      <c r="M2449">
        <v>0</v>
      </c>
    </row>
    <row r="2450" spans="1:13">
      <c r="A2450" s="28">
        <v>298830</v>
      </c>
      <c r="B2450" t="s">
        <v>2592</v>
      </c>
      <c r="C2450">
        <v>5400</v>
      </c>
      <c r="D2450">
        <v>-100</v>
      </c>
      <c r="E2450">
        <v>-1.82</v>
      </c>
      <c r="F2450" t="s">
        <v>397</v>
      </c>
      <c r="G2450" t="s">
        <v>397</v>
      </c>
      <c r="H2450" t="s">
        <v>397</v>
      </c>
      <c r="I2450" t="s">
        <v>397</v>
      </c>
      <c r="J2450" t="s">
        <v>397</v>
      </c>
      <c r="K2450" t="s">
        <v>397</v>
      </c>
      <c r="L2450">
        <v>0</v>
      </c>
      <c r="M2450">
        <v>0</v>
      </c>
    </row>
    <row r="2451" spans="1:13">
      <c r="A2451" s="28">
        <v>253450</v>
      </c>
      <c r="B2451" t="s">
        <v>2593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>
      <c r="A2452" s="28">
        <v>352090</v>
      </c>
      <c r="B2452" t="s">
        <v>2594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397</v>
      </c>
      <c r="I2452" t="s">
        <v>397</v>
      </c>
      <c r="J2452">
        <v>3552</v>
      </c>
      <c r="K2452">
        <v>2.2200000000000002</v>
      </c>
      <c r="L2452">
        <v>0</v>
      </c>
      <c r="M2452">
        <v>0</v>
      </c>
    </row>
    <row r="2453" spans="1:13">
      <c r="A2453" s="28">
        <v>115570</v>
      </c>
      <c r="B2453" t="s">
        <v>2595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397</v>
      </c>
      <c r="I2453" t="s">
        <v>397</v>
      </c>
      <c r="J2453">
        <v>9870</v>
      </c>
      <c r="K2453">
        <v>0.26</v>
      </c>
      <c r="L2453">
        <v>0</v>
      </c>
      <c r="M2453">
        <v>0</v>
      </c>
    </row>
    <row r="2454" spans="1:13">
      <c r="A2454" s="28">
        <v>159910</v>
      </c>
      <c r="B2454" t="s">
        <v>2596</v>
      </c>
      <c r="C2454">
        <v>791</v>
      </c>
      <c r="D2454">
        <v>-4</v>
      </c>
      <c r="E2454">
        <v>-0.5</v>
      </c>
      <c r="F2454" t="s">
        <v>397</v>
      </c>
      <c r="G2454" t="s">
        <v>397</v>
      </c>
      <c r="H2454" t="s">
        <v>397</v>
      </c>
      <c r="I2454" t="s">
        <v>397</v>
      </c>
      <c r="J2454">
        <v>780</v>
      </c>
      <c r="K2454">
        <v>1.01</v>
      </c>
      <c r="L2454">
        <v>0</v>
      </c>
      <c r="M2454">
        <v>0</v>
      </c>
    </row>
    <row r="2455" spans="1:13">
      <c r="A2455" s="28">
        <v>276040</v>
      </c>
      <c r="B2455" t="s">
        <v>2597</v>
      </c>
      <c r="C2455">
        <v>8160</v>
      </c>
      <c r="D2455">
        <v>160</v>
      </c>
      <c r="E2455">
        <v>2</v>
      </c>
      <c r="F2455" t="s">
        <v>397</v>
      </c>
      <c r="G2455" t="s">
        <v>397</v>
      </c>
      <c r="H2455" t="s">
        <v>397</v>
      </c>
      <c r="I2455" t="s">
        <v>397</v>
      </c>
      <c r="J2455">
        <v>2061</v>
      </c>
      <c r="K2455">
        <v>3.96</v>
      </c>
      <c r="L2455">
        <v>0</v>
      </c>
      <c r="M2455">
        <v>0</v>
      </c>
    </row>
    <row r="2456" spans="1:13">
      <c r="A2456" s="28">
        <v>33790</v>
      </c>
      <c r="B2456" t="s">
        <v>2598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397</v>
      </c>
      <c r="I2456" t="s">
        <v>397</v>
      </c>
      <c r="J2456">
        <v>1399</v>
      </c>
      <c r="K2456">
        <v>0.94</v>
      </c>
      <c r="L2456">
        <v>0</v>
      </c>
      <c r="M2456">
        <v>0</v>
      </c>
    </row>
    <row r="2457" spans="1:13">
      <c r="A2457" s="28">
        <v>99440</v>
      </c>
      <c r="B2457" t="s">
        <v>2599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397</v>
      </c>
      <c r="I2457" t="s">
        <v>397</v>
      </c>
      <c r="J2457">
        <v>2445</v>
      </c>
      <c r="K2457">
        <v>1.52</v>
      </c>
      <c r="L2457">
        <v>0</v>
      </c>
      <c r="M2457">
        <v>0</v>
      </c>
    </row>
    <row r="2458" spans="1:13">
      <c r="A2458" s="28">
        <v>136510</v>
      </c>
      <c r="B2458" t="s">
        <v>2600</v>
      </c>
      <c r="C2458">
        <v>11600</v>
      </c>
      <c r="D2458">
        <v>0</v>
      </c>
      <c r="E2458">
        <v>0</v>
      </c>
      <c r="F2458" t="s">
        <v>397</v>
      </c>
      <c r="G2458" t="s">
        <v>397</v>
      </c>
      <c r="H2458" t="s">
        <v>397</v>
      </c>
      <c r="I2458" t="s">
        <v>397</v>
      </c>
      <c r="J2458" t="s">
        <v>397</v>
      </c>
      <c r="K2458" t="s">
        <v>397</v>
      </c>
      <c r="L2458">
        <v>0</v>
      </c>
      <c r="M2458">
        <v>0</v>
      </c>
    </row>
    <row r="2459" spans="1:13">
      <c r="A2459" s="28">
        <v>424960</v>
      </c>
      <c r="B2459" t="s">
        <v>2601</v>
      </c>
      <c r="C2459">
        <v>11430</v>
      </c>
      <c r="D2459">
        <v>-370</v>
      </c>
      <c r="E2459">
        <v>-3.14</v>
      </c>
      <c r="F2459" t="s">
        <v>397</v>
      </c>
      <c r="G2459" t="s">
        <v>397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>
      <c r="A2460" s="28">
        <v>94840</v>
      </c>
      <c r="B2460" t="s">
        <v>2602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397</v>
      </c>
      <c r="I2460" t="s">
        <v>397</v>
      </c>
      <c r="J2460">
        <v>18518</v>
      </c>
      <c r="K2460">
        <v>0.4</v>
      </c>
      <c r="L2460">
        <v>0</v>
      </c>
      <c r="M2460">
        <v>0</v>
      </c>
    </row>
    <row r="2461" spans="1:13">
      <c r="A2461" s="28">
        <v>236200</v>
      </c>
      <c r="B2461" t="s">
        <v>2603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>
      <c r="A2462" s="28">
        <v>36630</v>
      </c>
      <c r="B2462" t="s">
        <v>2604</v>
      </c>
      <c r="C2462">
        <v>662</v>
      </c>
      <c r="D2462">
        <v>18</v>
      </c>
      <c r="E2462">
        <v>2.8</v>
      </c>
      <c r="F2462" t="s">
        <v>397</v>
      </c>
      <c r="G2462" t="s">
        <v>397</v>
      </c>
      <c r="H2462" t="s">
        <v>397</v>
      </c>
      <c r="I2462" t="s">
        <v>397</v>
      </c>
      <c r="J2462">
        <v>1122</v>
      </c>
      <c r="K2462">
        <v>0.59</v>
      </c>
      <c r="L2462">
        <v>0</v>
      </c>
      <c r="M2462">
        <v>0</v>
      </c>
    </row>
    <row r="2463" spans="1:13">
      <c r="A2463" s="28">
        <v>258830</v>
      </c>
      <c r="B2463" t="s">
        <v>2605</v>
      </c>
      <c r="C2463">
        <v>410</v>
      </c>
      <c r="D2463">
        <v>-7</v>
      </c>
      <c r="E2463">
        <v>-1.68</v>
      </c>
      <c r="F2463" t="s">
        <v>397</v>
      </c>
      <c r="G2463" t="s">
        <v>397</v>
      </c>
      <c r="H2463" t="s">
        <v>397</v>
      </c>
      <c r="I2463" t="s">
        <v>397</v>
      </c>
      <c r="J2463">
        <v>487</v>
      </c>
      <c r="K2463">
        <v>0.84</v>
      </c>
      <c r="L2463">
        <v>0</v>
      </c>
      <c r="M2463">
        <v>0</v>
      </c>
    </row>
    <row r="2464" spans="1:13">
      <c r="A2464" s="28">
        <v>91090</v>
      </c>
      <c r="B2464" t="s">
        <v>2606</v>
      </c>
      <c r="C2464">
        <v>1270</v>
      </c>
      <c r="D2464">
        <v>0</v>
      </c>
      <c r="E2464">
        <v>0</v>
      </c>
      <c r="F2464" t="s">
        <v>397</v>
      </c>
      <c r="G2464" t="s">
        <v>397</v>
      </c>
      <c r="H2464" t="s">
        <v>397</v>
      </c>
      <c r="I2464" t="s">
        <v>397</v>
      </c>
      <c r="J2464">
        <v>3875</v>
      </c>
      <c r="K2464">
        <v>0.33</v>
      </c>
      <c r="L2464">
        <v>0</v>
      </c>
      <c r="M2464">
        <v>0</v>
      </c>
    </row>
    <row r="2465" spans="1:13">
      <c r="A2465" s="28">
        <v>24950</v>
      </c>
      <c r="B2465" t="s">
        <v>2607</v>
      </c>
      <c r="C2465">
        <v>5250</v>
      </c>
      <c r="D2465">
        <v>0</v>
      </c>
      <c r="E2465">
        <v>0</v>
      </c>
      <c r="F2465" t="s">
        <v>397</v>
      </c>
      <c r="G2465" t="s">
        <v>397</v>
      </c>
      <c r="H2465" t="s">
        <v>397</v>
      </c>
      <c r="I2465" t="s">
        <v>397</v>
      </c>
      <c r="J2465">
        <v>7719</v>
      </c>
      <c r="K2465">
        <v>0.68</v>
      </c>
      <c r="L2465">
        <v>0</v>
      </c>
      <c r="M2465">
        <v>0</v>
      </c>
    </row>
    <row r="2466" spans="1:13">
      <c r="A2466" s="28">
        <v>411080</v>
      </c>
      <c r="B2466" t="s">
        <v>2608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397</v>
      </c>
      <c r="I2466" t="s">
        <v>397</v>
      </c>
      <c r="J2466">
        <v>203</v>
      </c>
      <c r="K2466">
        <v>40.590000000000003</v>
      </c>
      <c r="L2466">
        <v>0</v>
      </c>
      <c r="M2466">
        <v>0</v>
      </c>
    </row>
    <row r="2467" spans="1:13">
      <c r="A2467" s="28">
        <v>42600</v>
      </c>
      <c r="B2467" t="s">
        <v>2609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397</v>
      </c>
      <c r="I2467" t="s">
        <v>397</v>
      </c>
      <c r="J2467">
        <v>16261</v>
      </c>
      <c r="K2467">
        <v>1.48</v>
      </c>
      <c r="L2467">
        <v>0</v>
      </c>
      <c r="M2467">
        <v>0</v>
      </c>
    </row>
    <row r="2468" spans="1:13">
      <c r="A2468" s="28">
        <v>42940</v>
      </c>
      <c r="B2468" t="s">
        <v>2610</v>
      </c>
      <c r="C2468">
        <v>525</v>
      </c>
      <c r="D2468">
        <v>50</v>
      </c>
      <c r="E2468">
        <v>10.53</v>
      </c>
      <c r="F2468" t="s">
        <v>397</v>
      </c>
      <c r="G2468" t="s">
        <v>397</v>
      </c>
      <c r="H2468" t="s">
        <v>397</v>
      </c>
      <c r="I2468" t="s">
        <v>397</v>
      </c>
      <c r="J2468">
        <v>613</v>
      </c>
      <c r="K2468">
        <v>0.86</v>
      </c>
      <c r="L2468">
        <v>0</v>
      </c>
      <c r="M2468">
        <v>0</v>
      </c>
    </row>
    <row r="2469" spans="1:13">
      <c r="A2469" s="28">
        <v>263810</v>
      </c>
      <c r="B2469" t="s">
        <v>2611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397</v>
      </c>
      <c r="I2469" t="s">
        <v>397</v>
      </c>
      <c r="J2469">
        <v>2891</v>
      </c>
      <c r="K2469">
        <v>1.48</v>
      </c>
      <c r="L2469">
        <v>0</v>
      </c>
      <c r="M2469">
        <v>0</v>
      </c>
    </row>
    <row r="2470" spans="1:13">
      <c r="A2470" s="28">
        <v>1290</v>
      </c>
      <c r="B2470" t="s">
        <v>2612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397</v>
      </c>
      <c r="I2470" t="s">
        <v>397</v>
      </c>
      <c r="J2470">
        <v>2103</v>
      </c>
      <c r="K2470">
        <v>0.37</v>
      </c>
      <c r="L2470">
        <v>0</v>
      </c>
      <c r="M2470">
        <v>0</v>
      </c>
    </row>
    <row r="2471" spans="1:13">
      <c r="A2471" s="28">
        <v>452670</v>
      </c>
      <c r="B2471" t="s">
        <v>2613</v>
      </c>
      <c r="C2471">
        <v>2015</v>
      </c>
      <c r="D2471">
        <v>0</v>
      </c>
      <c r="E2471">
        <v>0</v>
      </c>
      <c r="F2471" t="s">
        <v>397</v>
      </c>
      <c r="G2471" t="s">
        <v>397</v>
      </c>
      <c r="H2471" t="s">
        <v>397</v>
      </c>
      <c r="I2471" t="s">
        <v>397</v>
      </c>
      <c r="J2471" t="s">
        <v>397</v>
      </c>
      <c r="K2471" t="s">
        <v>397</v>
      </c>
      <c r="L2471">
        <v>0</v>
      </c>
      <c r="M2471">
        <v>0</v>
      </c>
    </row>
    <row r="2472" spans="1:13">
      <c r="A2472" s="28">
        <v>415580</v>
      </c>
      <c r="B2472" t="s">
        <v>2614</v>
      </c>
      <c r="C2472">
        <v>2095</v>
      </c>
      <c r="D2472">
        <v>0</v>
      </c>
      <c r="E2472">
        <v>0</v>
      </c>
      <c r="F2472" t="s">
        <v>397</v>
      </c>
      <c r="G2472" t="s">
        <v>397</v>
      </c>
      <c r="H2472" t="s">
        <v>397</v>
      </c>
      <c r="I2472" t="s">
        <v>397</v>
      </c>
      <c r="J2472" t="s">
        <v>397</v>
      </c>
      <c r="K2472" t="s">
        <v>397</v>
      </c>
      <c r="L2472">
        <v>0</v>
      </c>
      <c r="M2472">
        <v>0</v>
      </c>
    </row>
    <row r="2473" spans="1:13">
      <c r="A2473" s="28">
        <v>101000</v>
      </c>
      <c r="B2473" t="s">
        <v>2615</v>
      </c>
      <c r="C2473">
        <v>3455</v>
      </c>
      <c r="D2473">
        <v>395</v>
      </c>
      <c r="E2473">
        <v>12.91</v>
      </c>
      <c r="F2473" t="s">
        <v>397</v>
      </c>
      <c r="G2473" t="s">
        <v>397</v>
      </c>
      <c r="H2473" t="s">
        <v>397</v>
      </c>
      <c r="I2473" t="s">
        <v>397</v>
      </c>
      <c r="J2473">
        <v>612</v>
      </c>
      <c r="K2473">
        <v>5.65</v>
      </c>
      <c r="L2473">
        <v>0</v>
      </c>
      <c r="M2473">
        <v>0</v>
      </c>
    </row>
    <row r="2474" spans="1:13">
      <c r="A2474" s="28">
        <v>27580</v>
      </c>
      <c r="B2474" t="s">
        <v>2616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397</v>
      </c>
      <c r="I2474" t="s">
        <v>397</v>
      </c>
      <c r="J2474">
        <v>1114</v>
      </c>
      <c r="K2474">
        <v>1.65</v>
      </c>
      <c r="L2474">
        <v>0</v>
      </c>
      <c r="M2474">
        <v>0</v>
      </c>
    </row>
    <row r="2475" spans="1:13">
      <c r="A2475" s="28">
        <v>11230</v>
      </c>
      <c r="B2475" t="s">
        <v>2617</v>
      </c>
      <c r="C2475">
        <v>4335</v>
      </c>
      <c r="D2475">
        <v>-5</v>
      </c>
      <c r="E2475">
        <v>-0.12</v>
      </c>
      <c r="F2475" t="s">
        <v>397</v>
      </c>
      <c r="G2475" t="s">
        <v>397</v>
      </c>
      <c r="H2475" t="s">
        <v>397</v>
      </c>
      <c r="I2475" t="s">
        <v>397</v>
      </c>
      <c r="J2475">
        <v>994</v>
      </c>
      <c r="K2475">
        <v>4.3600000000000003</v>
      </c>
      <c r="L2475">
        <v>0</v>
      </c>
      <c r="M2475">
        <v>0</v>
      </c>
    </row>
    <row r="2476" spans="1:13">
      <c r="A2476" s="28">
        <v>46390</v>
      </c>
      <c r="B2476" t="s">
        <v>2618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397</v>
      </c>
      <c r="I2476" t="s">
        <v>397</v>
      </c>
      <c r="J2476">
        <v>1462</v>
      </c>
      <c r="K2476">
        <v>1.17</v>
      </c>
      <c r="L2476">
        <v>0</v>
      </c>
      <c r="M2476">
        <v>0</v>
      </c>
    </row>
    <row r="2477" spans="1:13">
      <c r="A2477" s="28">
        <v>250</v>
      </c>
      <c r="B2477" t="s">
        <v>2619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397</v>
      </c>
      <c r="I2477" t="s">
        <v>397</v>
      </c>
      <c r="J2477">
        <v>7873</v>
      </c>
      <c r="K2477">
        <v>9.8800000000000008</v>
      </c>
      <c r="L2477">
        <v>0</v>
      </c>
      <c r="M2477">
        <v>0</v>
      </c>
    </row>
    <row r="2478" spans="1:13">
      <c r="A2478" s="28">
        <v>13000</v>
      </c>
      <c r="B2478" t="s">
        <v>2620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397</v>
      </c>
      <c r="I2478" t="s">
        <v>397</v>
      </c>
      <c r="J2478">
        <v>1597</v>
      </c>
      <c r="K2478">
        <v>1.02</v>
      </c>
      <c r="L2478">
        <v>0</v>
      </c>
      <c r="M2478">
        <v>0</v>
      </c>
    </row>
    <row r="2479" spans="1:13">
      <c r="A2479" s="28">
        <v>54090</v>
      </c>
      <c r="B2479" t="s">
        <v>2621</v>
      </c>
      <c r="C2479">
        <v>1390</v>
      </c>
      <c r="D2479">
        <v>-19</v>
      </c>
      <c r="E2479">
        <v>-1.35</v>
      </c>
      <c r="F2479" t="s">
        <v>397</v>
      </c>
      <c r="G2479" t="s">
        <v>397</v>
      </c>
      <c r="H2479" t="s">
        <v>397</v>
      </c>
      <c r="I2479" t="s">
        <v>397</v>
      </c>
      <c r="J2479">
        <v>3746</v>
      </c>
      <c r="K2479">
        <v>0.37</v>
      </c>
      <c r="L2479">
        <v>0</v>
      </c>
      <c r="M2479">
        <v>0</v>
      </c>
    </row>
    <row r="2480" spans="1:13">
      <c r="A2480" s="28">
        <v>520</v>
      </c>
      <c r="B2480" t="s">
        <v>2622</v>
      </c>
      <c r="C2480">
        <v>9170</v>
      </c>
      <c r="D2480">
        <v>-110</v>
      </c>
      <c r="E2480">
        <v>-1.19</v>
      </c>
      <c r="F2480" t="s">
        <v>397</v>
      </c>
      <c r="G2480" t="s">
        <v>397</v>
      </c>
      <c r="H2480" t="s">
        <v>397</v>
      </c>
      <c r="I2480" t="s">
        <v>397</v>
      </c>
      <c r="J2480">
        <v>8884</v>
      </c>
      <c r="K2480">
        <v>1.03</v>
      </c>
      <c r="L2480">
        <v>0</v>
      </c>
      <c r="M2480">
        <v>0</v>
      </c>
    </row>
    <row r="2481" spans="1:13">
      <c r="A2481" s="28">
        <v>4440</v>
      </c>
      <c r="B2481" t="s">
        <v>2623</v>
      </c>
      <c r="C2481">
        <v>4305</v>
      </c>
      <c r="D2481">
        <v>-5</v>
      </c>
      <c r="E2481">
        <v>-0.12</v>
      </c>
      <c r="F2481" t="s">
        <v>397</v>
      </c>
      <c r="G2481" t="s">
        <v>397</v>
      </c>
      <c r="H2481" t="s">
        <v>397</v>
      </c>
      <c r="I2481" t="s">
        <v>397</v>
      </c>
      <c r="J2481">
        <v>21073</v>
      </c>
      <c r="K2481">
        <v>0.2</v>
      </c>
      <c r="L2481">
        <v>0</v>
      </c>
      <c r="M2481">
        <v>0</v>
      </c>
    </row>
    <row r="2482" spans="1:13">
      <c r="A2482" s="28">
        <v>32280</v>
      </c>
      <c r="B2482" t="s">
        <v>2624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397</v>
      </c>
      <c r="I2482" t="s">
        <v>397</v>
      </c>
      <c r="J2482">
        <v>3874</v>
      </c>
      <c r="K2482">
        <v>0.46</v>
      </c>
      <c r="L2482">
        <v>0</v>
      </c>
      <c r="M2482">
        <v>0</v>
      </c>
    </row>
    <row r="2483" spans="1:13">
      <c r="A2483" s="28">
        <v>65570</v>
      </c>
      <c r="B2483" t="s">
        <v>2625</v>
      </c>
      <c r="C2483">
        <v>2855</v>
      </c>
      <c r="D2483">
        <v>-80</v>
      </c>
      <c r="E2483">
        <v>-2.73</v>
      </c>
      <c r="F2483" t="s">
        <v>397</v>
      </c>
      <c r="G2483" t="s">
        <v>397</v>
      </c>
      <c r="H2483" t="s">
        <v>397</v>
      </c>
      <c r="I2483" t="s">
        <v>397</v>
      </c>
      <c r="J2483">
        <v>3631</v>
      </c>
      <c r="K2483">
        <v>0.79</v>
      </c>
      <c r="L2483">
        <v>0</v>
      </c>
      <c r="M2483">
        <v>0</v>
      </c>
    </row>
    <row r="2484" spans="1:13">
      <c r="A2484" s="28">
        <v>361670</v>
      </c>
      <c r="B2484" t="s">
        <v>2626</v>
      </c>
      <c r="C2484">
        <v>4330</v>
      </c>
      <c r="D2484">
        <v>-115</v>
      </c>
      <c r="E2484">
        <v>-2.59</v>
      </c>
      <c r="F2484" t="s">
        <v>397</v>
      </c>
      <c r="G2484" t="s">
        <v>397</v>
      </c>
      <c r="H2484" t="s">
        <v>397</v>
      </c>
      <c r="I2484" t="s">
        <v>397</v>
      </c>
      <c r="J2484">
        <v>4529</v>
      </c>
      <c r="K2484">
        <v>0.96</v>
      </c>
      <c r="L2484">
        <v>0</v>
      </c>
      <c r="M2484">
        <v>0</v>
      </c>
    </row>
    <row r="2485" spans="1:13">
      <c r="A2485" s="28">
        <v>3720</v>
      </c>
      <c r="B2485" t="s">
        <v>2627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397</v>
      </c>
      <c r="I2485" t="s">
        <v>397</v>
      </c>
      <c r="J2485">
        <v>1525</v>
      </c>
      <c r="K2485">
        <v>2.65</v>
      </c>
      <c r="L2485">
        <v>0</v>
      </c>
      <c r="M2485">
        <v>0</v>
      </c>
    </row>
    <row r="2486" spans="1:13">
      <c r="A2486" s="28">
        <v>10140</v>
      </c>
      <c r="B2486" t="s">
        <v>2628</v>
      </c>
      <c r="C2486">
        <v>8850</v>
      </c>
      <c r="D2486">
        <v>-160</v>
      </c>
      <c r="E2486">
        <v>-1.78</v>
      </c>
      <c r="F2486" t="s">
        <v>397</v>
      </c>
      <c r="G2486" t="s">
        <v>397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>
      <c r="A2487" s="28">
        <v>1360</v>
      </c>
      <c r="B2487" t="s">
        <v>2629</v>
      </c>
      <c r="C2487">
        <v>1805</v>
      </c>
      <c r="D2487">
        <v>-2</v>
      </c>
      <c r="E2487">
        <v>-0.11</v>
      </c>
      <c r="F2487" t="s">
        <v>397</v>
      </c>
      <c r="G2487" t="s">
        <v>397</v>
      </c>
      <c r="H2487" t="s">
        <v>397</v>
      </c>
      <c r="I2487" t="s">
        <v>397</v>
      </c>
      <c r="J2487">
        <v>1381</v>
      </c>
      <c r="K2487">
        <v>1.31</v>
      </c>
      <c r="L2487">
        <v>0</v>
      </c>
      <c r="M2487">
        <v>0</v>
      </c>
    </row>
    <row r="2488" spans="1:13">
      <c r="A2488" s="28">
        <v>28050</v>
      </c>
      <c r="B2488" t="s">
        <v>2630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>
      <c r="A2489" s="28">
        <v>468510</v>
      </c>
      <c r="B2489" t="s">
        <v>2631</v>
      </c>
      <c r="C2489">
        <v>2050</v>
      </c>
      <c r="D2489">
        <v>-10</v>
      </c>
      <c r="E2489">
        <v>-0.49</v>
      </c>
      <c r="F2489" t="s">
        <v>397</v>
      </c>
      <c r="G2489" t="s">
        <v>397</v>
      </c>
      <c r="H2489" t="s">
        <v>397</v>
      </c>
      <c r="I2489" t="s">
        <v>397</v>
      </c>
      <c r="J2489" t="s">
        <v>397</v>
      </c>
      <c r="K2489" t="s">
        <v>397</v>
      </c>
      <c r="L2489">
        <v>0</v>
      </c>
      <c r="M2489">
        <v>0</v>
      </c>
    </row>
    <row r="2490" spans="1:13">
      <c r="A2490" s="28">
        <v>252990</v>
      </c>
      <c r="B2490" t="s">
        <v>2632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397</v>
      </c>
      <c r="I2490" t="s">
        <v>397</v>
      </c>
      <c r="J2490">
        <v>2296</v>
      </c>
      <c r="K2490">
        <v>2.81</v>
      </c>
      <c r="L2490">
        <v>0</v>
      </c>
      <c r="M2490">
        <v>0</v>
      </c>
    </row>
    <row r="2491" spans="1:13">
      <c r="A2491" s="28">
        <v>378800</v>
      </c>
      <c r="B2491" t="s">
        <v>2633</v>
      </c>
      <c r="C2491">
        <v>3405</v>
      </c>
      <c r="D2491">
        <v>-140</v>
      </c>
      <c r="E2491">
        <v>-3.95</v>
      </c>
      <c r="F2491" t="s">
        <v>397</v>
      </c>
      <c r="G2491" t="s">
        <v>397</v>
      </c>
      <c r="H2491" t="s">
        <v>397</v>
      </c>
      <c r="I2491" t="s">
        <v>397</v>
      </c>
      <c r="J2491">
        <v>1303</v>
      </c>
      <c r="K2491">
        <v>2.61</v>
      </c>
      <c r="L2491">
        <v>0</v>
      </c>
      <c r="M2491">
        <v>0</v>
      </c>
    </row>
    <row r="2492" spans="1:13">
      <c r="A2492" s="28">
        <v>294630</v>
      </c>
      <c r="B2492" t="s">
        <v>2634</v>
      </c>
      <c r="C2492">
        <v>5650</v>
      </c>
      <c r="D2492">
        <v>-110</v>
      </c>
      <c r="E2492">
        <v>-1.91</v>
      </c>
      <c r="F2492" t="s">
        <v>397</v>
      </c>
      <c r="G2492" t="s">
        <v>397</v>
      </c>
      <c r="H2492" t="s">
        <v>397</v>
      </c>
      <c r="I2492" t="s">
        <v>397</v>
      </c>
      <c r="J2492">
        <v>370</v>
      </c>
      <c r="K2492">
        <v>15.27</v>
      </c>
      <c r="L2492">
        <v>0</v>
      </c>
      <c r="M2492">
        <v>0</v>
      </c>
    </row>
    <row r="2493" spans="1:13">
      <c r="A2493" s="28">
        <v>79650</v>
      </c>
      <c r="B2493" t="s">
        <v>2635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397</v>
      </c>
      <c r="I2493" t="s">
        <v>397</v>
      </c>
      <c r="J2493">
        <v>3445</v>
      </c>
      <c r="K2493">
        <v>0.43</v>
      </c>
      <c r="L2493">
        <v>0</v>
      </c>
      <c r="M2493">
        <v>0</v>
      </c>
    </row>
    <row r="2494" spans="1:13">
      <c r="A2494" s="28">
        <v>396300</v>
      </c>
      <c r="B2494" t="s">
        <v>2636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>
      <c r="A2495" s="28">
        <v>340440</v>
      </c>
      <c r="B2495" t="s">
        <v>2637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397</v>
      </c>
      <c r="I2495" t="s">
        <v>397</v>
      </c>
      <c r="J2495">
        <v>1029</v>
      </c>
      <c r="K2495">
        <v>1.68</v>
      </c>
      <c r="L2495">
        <v>0</v>
      </c>
      <c r="M2495">
        <v>0</v>
      </c>
    </row>
    <row r="2496" spans="1:13">
      <c r="A2496" s="28">
        <v>53060</v>
      </c>
      <c r="B2496" t="s">
        <v>2638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397</v>
      </c>
      <c r="I2496" t="s">
        <v>397</v>
      </c>
      <c r="J2496">
        <v>1631</v>
      </c>
      <c r="K2496">
        <v>1</v>
      </c>
      <c r="L2496">
        <v>0</v>
      </c>
      <c r="M2496">
        <v>0</v>
      </c>
    </row>
    <row r="2497" spans="1:13">
      <c r="A2497" s="28">
        <v>188260</v>
      </c>
      <c r="B2497" t="s">
        <v>2639</v>
      </c>
      <c r="C2497">
        <v>3675</v>
      </c>
      <c r="D2497">
        <v>35</v>
      </c>
      <c r="E2497">
        <v>0.96</v>
      </c>
      <c r="F2497" t="s">
        <v>397</v>
      </c>
      <c r="G2497" t="s">
        <v>397</v>
      </c>
      <c r="H2497" t="s">
        <v>397</v>
      </c>
      <c r="I2497" t="s">
        <v>397</v>
      </c>
      <c r="J2497" t="s">
        <v>397</v>
      </c>
      <c r="K2497" t="s">
        <v>397</v>
      </c>
      <c r="L2497">
        <v>0</v>
      </c>
      <c r="M2497">
        <v>0</v>
      </c>
    </row>
    <row r="2498" spans="1:13">
      <c r="A2498" s="28">
        <v>2420</v>
      </c>
      <c r="B2498" t="s">
        <v>2640</v>
      </c>
      <c r="C2498">
        <v>6090</v>
      </c>
      <c r="D2498">
        <v>60</v>
      </c>
      <c r="E2498">
        <v>1</v>
      </c>
      <c r="F2498" t="s">
        <v>397</v>
      </c>
      <c r="G2498" t="s">
        <v>397</v>
      </c>
      <c r="H2498" t="s">
        <v>397</v>
      </c>
      <c r="I2498" t="s">
        <v>397</v>
      </c>
      <c r="J2498">
        <v>5022</v>
      </c>
      <c r="K2498">
        <v>1.21</v>
      </c>
      <c r="L2498">
        <v>0</v>
      </c>
      <c r="M2498">
        <v>0</v>
      </c>
    </row>
    <row r="2499" spans="1:13">
      <c r="A2499" s="28">
        <v>148150</v>
      </c>
      <c r="B2499" t="s">
        <v>2641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>
      <c r="A2500" s="28">
        <v>43260</v>
      </c>
      <c r="B2500" t="s">
        <v>2642</v>
      </c>
      <c r="C2500">
        <v>1484</v>
      </c>
      <c r="D2500">
        <v>-22</v>
      </c>
      <c r="E2500">
        <v>-1.46</v>
      </c>
      <c r="F2500" t="s">
        <v>397</v>
      </c>
      <c r="G2500" t="s">
        <v>397</v>
      </c>
      <c r="H2500" t="s">
        <v>397</v>
      </c>
      <c r="I2500" t="s">
        <v>397</v>
      </c>
      <c r="J2500">
        <v>1685</v>
      </c>
      <c r="K2500">
        <v>0.88</v>
      </c>
      <c r="L2500">
        <v>0</v>
      </c>
      <c r="M2500">
        <v>0</v>
      </c>
    </row>
    <row r="2501" spans="1:13">
      <c r="A2501" s="28">
        <v>180</v>
      </c>
      <c r="B2501" t="s">
        <v>2643</v>
      </c>
      <c r="C2501">
        <v>2025</v>
      </c>
      <c r="D2501">
        <v>5</v>
      </c>
      <c r="E2501">
        <v>0.25</v>
      </c>
      <c r="F2501" t="s">
        <v>397</v>
      </c>
      <c r="G2501" t="s">
        <v>397</v>
      </c>
      <c r="H2501" t="s">
        <v>397</v>
      </c>
      <c r="I2501" t="s">
        <v>397</v>
      </c>
      <c r="J2501">
        <v>9349</v>
      </c>
      <c r="K2501">
        <v>0.22</v>
      </c>
      <c r="L2501">
        <v>0</v>
      </c>
      <c r="M2501">
        <v>0</v>
      </c>
    </row>
    <row r="2502" spans="1:13">
      <c r="A2502" s="28">
        <v>365340</v>
      </c>
      <c r="B2502" t="s">
        <v>2644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>
      <c r="A2503" s="28">
        <v>11300</v>
      </c>
      <c r="B2503" t="s">
        <v>2645</v>
      </c>
      <c r="C2503">
        <v>1346</v>
      </c>
      <c r="D2503">
        <v>4</v>
      </c>
      <c r="E2503">
        <v>0.3</v>
      </c>
      <c r="F2503" t="s">
        <v>397</v>
      </c>
      <c r="G2503" t="s">
        <v>397</v>
      </c>
      <c r="H2503" t="s">
        <v>397</v>
      </c>
      <c r="I2503" t="s">
        <v>397</v>
      </c>
      <c r="J2503">
        <v>458</v>
      </c>
      <c r="K2503">
        <v>2.94</v>
      </c>
      <c r="L2503">
        <v>0</v>
      </c>
      <c r="M2503">
        <v>0</v>
      </c>
    </row>
    <row r="2504" spans="1:13">
      <c r="A2504" s="28">
        <v>171090</v>
      </c>
      <c r="B2504" t="s">
        <v>2646</v>
      </c>
      <c r="C2504">
        <v>43400</v>
      </c>
      <c r="D2504">
        <v>-2650</v>
      </c>
      <c r="E2504">
        <v>-5.75</v>
      </c>
      <c r="F2504" t="s">
        <v>397</v>
      </c>
      <c r="G2504" t="s">
        <v>397</v>
      </c>
      <c r="H2504" t="s">
        <v>397</v>
      </c>
      <c r="I2504" t="s">
        <v>397</v>
      </c>
      <c r="J2504">
        <v>9317</v>
      </c>
      <c r="K2504">
        <v>4.66</v>
      </c>
      <c r="L2504">
        <v>0</v>
      </c>
      <c r="M2504">
        <v>0</v>
      </c>
    </row>
    <row r="2505" spans="1:13">
      <c r="A2505" s="28">
        <v>7610</v>
      </c>
      <c r="B2505" t="s">
        <v>2647</v>
      </c>
      <c r="C2505">
        <v>3000</v>
      </c>
      <c r="D2505">
        <v>0</v>
      </c>
      <c r="E2505">
        <v>0</v>
      </c>
      <c r="F2505" t="s">
        <v>397</v>
      </c>
      <c r="G2505" t="s">
        <v>397</v>
      </c>
      <c r="H2505" t="s">
        <v>397</v>
      </c>
      <c r="I2505" t="s">
        <v>397</v>
      </c>
      <c r="J2505">
        <v>3277</v>
      </c>
      <c r="K2505">
        <v>0.92</v>
      </c>
      <c r="L2505">
        <v>0</v>
      </c>
      <c r="M2505">
        <v>0</v>
      </c>
    </row>
    <row r="2506" spans="1:13">
      <c r="A2506" s="28">
        <v>357550</v>
      </c>
      <c r="B2506" t="s">
        <v>2648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397</v>
      </c>
      <c r="I2506" t="s">
        <v>397</v>
      </c>
      <c r="J2506">
        <v>5512</v>
      </c>
      <c r="K2506">
        <v>11.63</v>
      </c>
      <c r="L2506">
        <v>0</v>
      </c>
      <c r="M2506">
        <v>0</v>
      </c>
    </row>
    <row r="2507" spans="1:13">
      <c r="A2507" s="28">
        <v>122690</v>
      </c>
      <c r="B2507" t="s">
        <v>2649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397</v>
      </c>
      <c r="I2507" t="s">
        <v>397</v>
      </c>
      <c r="J2507">
        <v>3973</v>
      </c>
      <c r="K2507">
        <v>0.92</v>
      </c>
      <c r="L2507">
        <v>0</v>
      </c>
      <c r="M2507">
        <v>0</v>
      </c>
    </row>
    <row r="2508" spans="1:13">
      <c r="A2508" s="28">
        <v>178320</v>
      </c>
      <c r="B2508" t="s">
        <v>2650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>
      <c r="A2509" s="28">
        <v>189860</v>
      </c>
      <c r="B2509" t="s">
        <v>2651</v>
      </c>
      <c r="C2509">
        <v>4045</v>
      </c>
      <c r="D2509">
        <v>-55</v>
      </c>
      <c r="E2509">
        <v>-1.34</v>
      </c>
      <c r="F2509" t="s">
        <v>397</v>
      </c>
      <c r="G2509" t="s">
        <v>397</v>
      </c>
      <c r="H2509" t="s">
        <v>397</v>
      </c>
      <c r="I2509" t="s">
        <v>397</v>
      </c>
      <c r="J2509">
        <v>3515</v>
      </c>
      <c r="K2509">
        <v>1.1499999999999999</v>
      </c>
      <c r="L2509">
        <v>0</v>
      </c>
      <c r="M2509">
        <v>0</v>
      </c>
    </row>
    <row r="2510" spans="1:13">
      <c r="A2510" s="28">
        <v>21050</v>
      </c>
      <c r="B2510" t="s">
        <v>2652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397</v>
      </c>
      <c r="I2510" t="s">
        <v>397</v>
      </c>
      <c r="J2510">
        <v>2870</v>
      </c>
      <c r="K2510">
        <v>0.47</v>
      </c>
      <c r="L2510">
        <v>0</v>
      </c>
      <c r="M2510">
        <v>0</v>
      </c>
    </row>
    <row r="2511" spans="1:13">
      <c r="A2511" s="28">
        <v>18680</v>
      </c>
      <c r="B2511" t="s">
        <v>2653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397</v>
      </c>
      <c r="I2511" t="s">
        <v>397</v>
      </c>
      <c r="J2511">
        <v>3038</v>
      </c>
      <c r="K2511">
        <v>1.1200000000000001</v>
      </c>
      <c r="L2511">
        <v>0</v>
      </c>
      <c r="M2511">
        <v>0</v>
      </c>
    </row>
    <row r="2512" spans="1:13">
      <c r="A2512" s="28">
        <v>27040</v>
      </c>
      <c r="B2512" t="s">
        <v>2654</v>
      </c>
      <c r="C2512">
        <v>395</v>
      </c>
      <c r="D2512">
        <v>0</v>
      </c>
      <c r="E2512">
        <v>0</v>
      </c>
      <c r="F2512" t="s">
        <v>397</v>
      </c>
      <c r="G2512" t="s">
        <v>397</v>
      </c>
      <c r="H2512" t="s">
        <v>397</v>
      </c>
      <c r="I2512" t="s">
        <v>397</v>
      </c>
      <c r="J2512">
        <v>780</v>
      </c>
      <c r="K2512">
        <v>0.51</v>
      </c>
      <c r="L2512">
        <v>0</v>
      </c>
      <c r="M2512">
        <v>0</v>
      </c>
    </row>
    <row r="2513" spans="1:13">
      <c r="A2513" s="28">
        <v>4415</v>
      </c>
      <c r="B2513" t="s">
        <v>2655</v>
      </c>
      <c r="C2513">
        <v>1765</v>
      </c>
      <c r="D2513">
        <v>-20</v>
      </c>
      <c r="E2513">
        <v>-1.1200000000000001</v>
      </c>
      <c r="F2513" t="s">
        <v>397</v>
      </c>
      <c r="G2513" t="s">
        <v>397</v>
      </c>
      <c r="H2513" t="s">
        <v>397</v>
      </c>
      <c r="I2513" t="s">
        <v>397</v>
      </c>
      <c r="J2513" t="s">
        <v>397</v>
      </c>
      <c r="K2513" t="s">
        <v>397</v>
      </c>
      <c r="L2513">
        <v>0</v>
      </c>
      <c r="M2513">
        <v>0</v>
      </c>
    </row>
    <row r="2514" spans="1:13">
      <c r="A2514" s="28">
        <v>4410</v>
      </c>
      <c r="B2514" t="s">
        <v>2656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397</v>
      </c>
      <c r="I2514" t="s">
        <v>397</v>
      </c>
      <c r="J2514">
        <v>76</v>
      </c>
      <c r="K2514">
        <v>2.36</v>
      </c>
      <c r="L2514">
        <v>0</v>
      </c>
      <c r="M2514">
        <v>0</v>
      </c>
    </row>
    <row r="2515" spans="1:13">
      <c r="A2515" s="28">
        <v>92190</v>
      </c>
      <c r="B2515" t="s">
        <v>2657</v>
      </c>
      <c r="C2515">
        <v>3410</v>
      </c>
      <c r="D2515">
        <v>15</v>
      </c>
      <c r="E2515">
        <v>0.44</v>
      </c>
      <c r="F2515" t="s">
        <v>397</v>
      </c>
      <c r="G2515" t="s">
        <v>397</v>
      </c>
      <c r="H2515" t="s">
        <v>397</v>
      </c>
      <c r="I2515" t="s">
        <v>397</v>
      </c>
      <c r="J2515">
        <v>2110</v>
      </c>
      <c r="K2515">
        <v>1.62</v>
      </c>
      <c r="L2515">
        <v>0</v>
      </c>
      <c r="M2515">
        <v>0</v>
      </c>
    </row>
    <row r="2516" spans="1:13">
      <c r="A2516" s="28">
        <v>43710</v>
      </c>
      <c r="B2516" t="s">
        <v>2658</v>
      </c>
      <c r="C2516">
        <v>663</v>
      </c>
      <c r="D2516">
        <v>-17</v>
      </c>
      <c r="E2516">
        <v>-2.5</v>
      </c>
      <c r="F2516" t="s">
        <v>397</v>
      </c>
      <c r="G2516" t="s">
        <v>397</v>
      </c>
      <c r="H2516" t="s">
        <v>397</v>
      </c>
      <c r="I2516" t="s">
        <v>397</v>
      </c>
      <c r="J2516">
        <v>601</v>
      </c>
      <c r="K2516">
        <v>1.1000000000000001</v>
      </c>
      <c r="L2516">
        <v>0</v>
      </c>
      <c r="M2516">
        <v>0</v>
      </c>
    </row>
    <row r="2517" spans="1:13">
      <c r="A2517" s="28">
        <v>1000</v>
      </c>
      <c r="B2517" t="s">
        <v>2659</v>
      </c>
      <c r="C2517">
        <v>1456</v>
      </c>
      <c r="D2517">
        <v>16</v>
      </c>
      <c r="E2517">
        <v>1.1100000000000001</v>
      </c>
      <c r="F2517" t="s">
        <v>397</v>
      </c>
      <c r="G2517" t="s">
        <v>397</v>
      </c>
      <c r="H2517" t="s">
        <v>397</v>
      </c>
      <c r="I2517" t="s">
        <v>397</v>
      </c>
      <c r="J2517">
        <v>634</v>
      </c>
      <c r="K2517">
        <v>2.2999999999999998</v>
      </c>
      <c r="L2517">
        <v>0</v>
      </c>
      <c r="M2517">
        <v>0</v>
      </c>
    </row>
    <row r="2518" spans="1:13">
      <c r="A2518" s="28">
        <v>25870</v>
      </c>
      <c r="B2518" t="s">
        <v>2660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397</v>
      </c>
      <c r="I2518" t="s">
        <v>397</v>
      </c>
      <c r="J2518">
        <v>4420</v>
      </c>
      <c r="K2518">
        <v>1.59</v>
      </c>
      <c r="L2518">
        <v>0</v>
      </c>
      <c r="M2518">
        <v>0</v>
      </c>
    </row>
    <row r="2519" spans="1:13">
      <c r="A2519" s="28">
        <v>215600</v>
      </c>
      <c r="B2519" t="s">
        <v>2661</v>
      </c>
      <c r="C2519">
        <v>5620</v>
      </c>
      <c r="D2519">
        <v>330</v>
      </c>
      <c r="E2519">
        <v>6.24</v>
      </c>
      <c r="F2519" t="s">
        <v>397</v>
      </c>
      <c r="G2519" t="s">
        <v>397</v>
      </c>
      <c r="H2519" t="s">
        <v>397</v>
      </c>
      <c r="I2519" t="s">
        <v>397</v>
      </c>
      <c r="J2519">
        <v>768</v>
      </c>
      <c r="K2519">
        <v>7.32</v>
      </c>
      <c r="L2519">
        <v>0</v>
      </c>
      <c r="M2519">
        <v>0</v>
      </c>
    </row>
    <row r="2520" spans="1:13">
      <c r="A2520" s="28">
        <v>101390</v>
      </c>
      <c r="B2520" t="s">
        <v>2662</v>
      </c>
      <c r="C2520">
        <v>9050</v>
      </c>
      <c r="D2520">
        <v>940</v>
      </c>
      <c r="E2520">
        <v>11.59</v>
      </c>
      <c r="F2520" t="s">
        <v>397</v>
      </c>
      <c r="G2520" t="s">
        <v>397</v>
      </c>
      <c r="H2520" t="s">
        <v>397</v>
      </c>
      <c r="I2520" t="s">
        <v>397</v>
      </c>
      <c r="J2520">
        <v>5003</v>
      </c>
      <c r="K2520">
        <v>1.81</v>
      </c>
      <c r="L2520">
        <v>0</v>
      </c>
      <c r="M2520">
        <v>0</v>
      </c>
    </row>
    <row r="2521" spans="1:13">
      <c r="A2521" s="28">
        <v>124500</v>
      </c>
      <c r="B2521" t="s">
        <v>2663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397</v>
      </c>
      <c r="I2521" t="s">
        <v>397</v>
      </c>
      <c r="J2521">
        <v>2681</v>
      </c>
      <c r="K2521">
        <v>3.45</v>
      </c>
      <c r="L2521">
        <v>0</v>
      </c>
      <c r="M2521">
        <v>0</v>
      </c>
    </row>
    <row r="2522" spans="1:13">
      <c r="A2522" s="28">
        <v>52770</v>
      </c>
      <c r="B2522" t="s">
        <v>2664</v>
      </c>
      <c r="C2522">
        <v>2135</v>
      </c>
      <c r="D2522">
        <v>-40</v>
      </c>
      <c r="E2522">
        <v>-1.84</v>
      </c>
      <c r="F2522" t="s">
        <v>397</v>
      </c>
      <c r="G2522" t="s">
        <v>397</v>
      </c>
      <c r="H2522" t="s">
        <v>397</v>
      </c>
      <c r="I2522" t="s">
        <v>397</v>
      </c>
      <c r="J2522">
        <v>205</v>
      </c>
      <c r="K2522">
        <v>10.41</v>
      </c>
      <c r="L2522">
        <v>0</v>
      </c>
      <c r="M2522">
        <v>0</v>
      </c>
    </row>
    <row r="2523" spans="1:13">
      <c r="A2523" s="28">
        <v>119830</v>
      </c>
      <c r="B2523" t="s">
        <v>2665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397</v>
      </c>
      <c r="I2523" t="s">
        <v>397</v>
      </c>
      <c r="J2523">
        <v>7113</v>
      </c>
      <c r="K2523">
        <v>1.1399999999999999</v>
      </c>
      <c r="L2523">
        <v>0</v>
      </c>
      <c r="M2523">
        <v>0</v>
      </c>
    </row>
    <row r="2524" spans="1:13">
      <c r="A2524" s="28">
        <v>52460</v>
      </c>
      <c r="B2524" t="s">
        <v>2666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397</v>
      </c>
      <c r="I2524" t="s">
        <v>397</v>
      </c>
      <c r="J2524">
        <v>2772</v>
      </c>
      <c r="K2524">
        <v>1.36</v>
      </c>
      <c r="L2524">
        <v>0</v>
      </c>
      <c r="M2524">
        <v>0</v>
      </c>
    </row>
    <row r="2525" spans="1:13">
      <c r="A2525" s="28">
        <v>175250</v>
      </c>
      <c r="B2525" t="s">
        <v>2667</v>
      </c>
      <c r="C2525">
        <v>1836</v>
      </c>
      <c r="D2525">
        <v>-35</v>
      </c>
      <c r="E2525">
        <v>-1.87</v>
      </c>
      <c r="F2525" t="s">
        <v>397</v>
      </c>
      <c r="G2525" t="s">
        <v>397</v>
      </c>
      <c r="H2525" t="s">
        <v>397</v>
      </c>
      <c r="I2525" t="s">
        <v>397</v>
      </c>
      <c r="J2525">
        <v>2400</v>
      </c>
      <c r="K2525">
        <v>0.77</v>
      </c>
      <c r="L2525">
        <v>0</v>
      </c>
      <c r="M2525">
        <v>0</v>
      </c>
    </row>
    <row r="2526" spans="1:13">
      <c r="A2526" s="28">
        <v>59100</v>
      </c>
      <c r="B2526" t="s">
        <v>2668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397</v>
      </c>
      <c r="I2526" t="s">
        <v>397</v>
      </c>
      <c r="J2526">
        <v>4978</v>
      </c>
      <c r="K2526">
        <v>1.07</v>
      </c>
      <c r="L2526">
        <v>0</v>
      </c>
      <c r="M2526">
        <v>0</v>
      </c>
    </row>
    <row r="2527" spans="1:13">
      <c r="A2527" s="28">
        <v>185490</v>
      </c>
      <c r="B2527" t="s">
        <v>2669</v>
      </c>
      <c r="C2527">
        <v>3105</v>
      </c>
      <c r="D2527">
        <v>-65</v>
      </c>
      <c r="E2527">
        <v>-2.0499999999999998</v>
      </c>
      <c r="F2527" t="s">
        <v>397</v>
      </c>
      <c r="G2527" t="s">
        <v>397</v>
      </c>
      <c r="H2527" t="s">
        <v>397</v>
      </c>
      <c r="I2527" t="s">
        <v>397</v>
      </c>
      <c r="J2527">
        <v>3107</v>
      </c>
      <c r="K2527">
        <v>1</v>
      </c>
      <c r="L2527">
        <v>0</v>
      </c>
      <c r="M2527">
        <v>0</v>
      </c>
    </row>
    <row r="2528" spans="1:13">
      <c r="A2528" s="28">
        <v>31310</v>
      </c>
      <c r="B2528" t="s">
        <v>2670</v>
      </c>
      <c r="C2528">
        <v>2630</v>
      </c>
      <c r="D2528">
        <v>-80</v>
      </c>
      <c r="E2528">
        <v>-2.95</v>
      </c>
      <c r="F2528" t="s">
        <v>397</v>
      </c>
      <c r="G2528" t="s">
        <v>397</v>
      </c>
      <c r="H2528" t="s">
        <v>397</v>
      </c>
      <c r="I2528" t="s">
        <v>397</v>
      </c>
      <c r="J2528">
        <v>7926</v>
      </c>
      <c r="K2528">
        <v>0.33</v>
      </c>
      <c r="L2528">
        <v>0</v>
      </c>
      <c r="M2528">
        <v>0</v>
      </c>
    </row>
    <row r="2529" spans="1:13">
      <c r="A2529" s="28">
        <v>123010</v>
      </c>
      <c r="B2529" t="s">
        <v>2671</v>
      </c>
      <c r="C2529">
        <v>1180</v>
      </c>
      <c r="D2529">
        <v>-30</v>
      </c>
      <c r="E2529">
        <v>-2.48</v>
      </c>
      <c r="F2529" t="s">
        <v>397</v>
      </c>
      <c r="G2529" t="s">
        <v>397</v>
      </c>
      <c r="H2529" t="s">
        <v>397</v>
      </c>
      <c r="I2529" t="s">
        <v>397</v>
      </c>
      <c r="J2529">
        <v>1752</v>
      </c>
      <c r="K2529">
        <v>0.67</v>
      </c>
      <c r="L2529">
        <v>0</v>
      </c>
      <c r="M2529">
        <v>0</v>
      </c>
    </row>
    <row r="2530" spans="1:13">
      <c r="A2530" s="28">
        <v>78860</v>
      </c>
      <c r="B2530" t="s">
        <v>2672</v>
      </c>
      <c r="C2530">
        <v>4640</v>
      </c>
      <c r="D2530">
        <v>625</v>
      </c>
      <c r="E2530">
        <v>15.57</v>
      </c>
      <c r="F2530" t="s">
        <v>397</v>
      </c>
      <c r="G2530" t="s">
        <v>397</v>
      </c>
      <c r="H2530" t="s">
        <v>397</v>
      </c>
      <c r="I2530" t="s">
        <v>397</v>
      </c>
      <c r="J2530">
        <v>19620</v>
      </c>
      <c r="K2530">
        <v>0.24</v>
      </c>
      <c r="L2530">
        <v>0</v>
      </c>
      <c r="M2530">
        <v>0</v>
      </c>
    </row>
    <row r="2531" spans="1:13">
      <c r="A2531" s="28">
        <v>451220</v>
      </c>
      <c r="B2531" t="s">
        <v>2673</v>
      </c>
      <c r="C2531">
        <v>20900</v>
      </c>
      <c r="D2531">
        <v>-950</v>
      </c>
      <c r="E2531">
        <v>-4.3499999999999996</v>
      </c>
      <c r="F2531" t="s">
        <v>397</v>
      </c>
      <c r="G2531" t="s">
        <v>397</v>
      </c>
      <c r="H2531" t="s">
        <v>397</v>
      </c>
      <c r="I2531" t="s">
        <v>397</v>
      </c>
      <c r="J2531">
        <v>1213</v>
      </c>
      <c r="K2531">
        <v>17.23</v>
      </c>
      <c r="L2531">
        <v>0</v>
      </c>
      <c r="M2531">
        <v>0</v>
      </c>
    </row>
    <row r="2532" spans="1:13">
      <c r="A2532" s="28">
        <v>307180</v>
      </c>
      <c r="B2532" t="s">
        <v>2674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397</v>
      </c>
      <c r="I2532" t="s">
        <v>397</v>
      </c>
      <c r="J2532">
        <v>666</v>
      </c>
      <c r="K2532">
        <v>4.25</v>
      </c>
      <c r="L2532">
        <v>0</v>
      </c>
      <c r="M2532">
        <v>0</v>
      </c>
    </row>
    <row r="2533" spans="1:13">
      <c r="A2533" s="28">
        <v>246720</v>
      </c>
      <c r="B2533" t="s">
        <v>2675</v>
      </c>
      <c r="C2533">
        <v>7160</v>
      </c>
      <c r="D2533">
        <v>50</v>
      </c>
      <c r="E2533">
        <v>0.7</v>
      </c>
      <c r="F2533" t="s">
        <v>397</v>
      </c>
      <c r="G2533" t="s">
        <v>397</v>
      </c>
      <c r="H2533" t="s">
        <v>397</v>
      </c>
      <c r="I2533" t="s">
        <v>397</v>
      </c>
      <c r="J2533">
        <v>561</v>
      </c>
      <c r="K2533">
        <v>12.76</v>
      </c>
      <c r="L2533">
        <v>0</v>
      </c>
      <c r="M2533">
        <v>0</v>
      </c>
    </row>
    <row r="2534" spans="1:13">
      <c r="A2534" s="28">
        <v>38880</v>
      </c>
      <c r="B2534" t="s">
        <v>2676</v>
      </c>
      <c r="C2534">
        <v>409</v>
      </c>
      <c r="D2534">
        <v>2</v>
      </c>
      <c r="E2534">
        <v>0.49</v>
      </c>
      <c r="F2534" t="s">
        <v>397</v>
      </c>
      <c r="G2534" t="s">
        <v>397</v>
      </c>
      <c r="H2534" t="s">
        <v>397</v>
      </c>
      <c r="I2534" t="s">
        <v>397</v>
      </c>
      <c r="J2534">
        <v>331</v>
      </c>
      <c r="K2534">
        <v>1.24</v>
      </c>
      <c r="L2534">
        <v>0</v>
      </c>
      <c r="M2534">
        <v>0</v>
      </c>
    </row>
    <row r="2535" spans="1:13">
      <c r="A2535" s="28">
        <v>69920</v>
      </c>
      <c r="B2535" t="s">
        <v>2677</v>
      </c>
      <c r="C2535">
        <v>2990</v>
      </c>
      <c r="D2535">
        <v>30</v>
      </c>
      <c r="E2535">
        <v>1.01</v>
      </c>
      <c r="F2535" t="s">
        <v>397</v>
      </c>
      <c r="G2535" t="s">
        <v>397</v>
      </c>
      <c r="H2535" t="s">
        <v>397</v>
      </c>
      <c r="I2535" t="s">
        <v>397</v>
      </c>
      <c r="J2535">
        <v>2228</v>
      </c>
      <c r="K2535">
        <v>1.34</v>
      </c>
      <c r="L2535">
        <v>0</v>
      </c>
      <c r="M2535">
        <v>0</v>
      </c>
    </row>
    <row r="2536" spans="1:13">
      <c r="A2536" s="28">
        <v>52860</v>
      </c>
      <c r="B2536" t="s">
        <v>2678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397</v>
      </c>
      <c r="I2536" t="s">
        <v>397</v>
      </c>
      <c r="J2536">
        <v>2537</v>
      </c>
      <c r="K2536">
        <v>1.08</v>
      </c>
      <c r="L2536">
        <v>0</v>
      </c>
      <c r="M2536">
        <v>0</v>
      </c>
    </row>
    <row r="2537" spans="1:13">
      <c r="A2537" s="28">
        <v>368600</v>
      </c>
      <c r="B2537" t="s">
        <v>2679</v>
      </c>
      <c r="C2537">
        <v>5600</v>
      </c>
      <c r="D2537">
        <v>-90</v>
      </c>
      <c r="E2537">
        <v>-1.58</v>
      </c>
      <c r="F2537" t="s">
        <v>397</v>
      </c>
      <c r="G2537" t="s">
        <v>397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>
      <c r="A2538" s="28">
        <v>289010</v>
      </c>
      <c r="B2538" t="s">
        <v>2680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397</v>
      </c>
      <c r="I2538" t="s">
        <v>397</v>
      </c>
      <c r="J2538">
        <v>5381</v>
      </c>
      <c r="K2538">
        <v>0.71</v>
      </c>
      <c r="L2538">
        <v>0</v>
      </c>
      <c r="M2538">
        <v>0</v>
      </c>
    </row>
    <row r="2539" spans="1:13">
      <c r="A2539" s="28">
        <v>339950</v>
      </c>
      <c r="B2539" t="s">
        <v>2681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397</v>
      </c>
      <c r="I2539" t="s">
        <v>397</v>
      </c>
      <c r="J2539">
        <v>866</v>
      </c>
      <c r="K2539">
        <v>2.48</v>
      </c>
      <c r="L2539">
        <v>0</v>
      </c>
      <c r="M2539">
        <v>0</v>
      </c>
    </row>
    <row r="2540" spans="1:13">
      <c r="A2540" s="28">
        <v>227610</v>
      </c>
      <c r="B2540" t="s">
        <v>2682</v>
      </c>
      <c r="C2540">
        <v>1800</v>
      </c>
      <c r="D2540">
        <v>-1</v>
      </c>
      <c r="E2540">
        <v>-0.06</v>
      </c>
      <c r="F2540" t="s">
        <v>397</v>
      </c>
      <c r="G2540" t="s">
        <v>397</v>
      </c>
      <c r="H2540" t="s">
        <v>397</v>
      </c>
      <c r="I2540" t="s">
        <v>397</v>
      </c>
      <c r="J2540">
        <v>454</v>
      </c>
      <c r="K2540">
        <v>3.96</v>
      </c>
      <c r="L2540">
        <v>0</v>
      </c>
      <c r="M2540">
        <v>0</v>
      </c>
    </row>
    <row r="2541" spans="1:13">
      <c r="A2541" s="28">
        <v>154030</v>
      </c>
      <c r="B2541" t="s">
        <v>2683</v>
      </c>
      <c r="C2541">
        <v>2625</v>
      </c>
      <c r="D2541">
        <v>10</v>
      </c>
      <c r="E2541">
        <v>0.38</v>
      </c>
      <c r="F2541" t="s">
        <v>397</v>
      </c>
      <c r="G2541" t="s">
        <v>397</v>
      </c>
      <c r="H2541" t="s">
        <v>397</v>
      </c>
      <c r="I2541" t="s">
        <v>397</v>
      </c>
      <c r="J2541">
        <v>2227</v>
      </c>
      <c r="K2541">
        <v>1.18</v>
      </c>
      <c r="L2541">
        <v>0</v>
      </c>
      <c r="M2541">
        <v>0</v>
      </c>
    </row>
    <row r="2542" spans="1:13">
      <c r="A2542" s="28">
        <v>20560</v>
      </c>
      <c r="B2542" t="s">
        <v>2684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>
      <c r="A2543" s="28">
        <v>127710</v>
      </c>
      <c r="B2543" t="s">
        <v>2685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397</v>
      </c>
      <c r="I2543" t="s">
        <v>397</v>
      </c>
      <c r="J2543">
        <v>5445</v>
      </c>
      <c r="K2543">
        <v>0.23</v>
      </c>
      <c r="L2543">
        <v>0</v>
      </c>
      <c r="M2543">
        <v>0</v>
      </c>
    </row>
    <row r="2544" spans="1:13">
      <c r="A2544" s="28">
        <v>159010</v>
      </c>
      <c r="B2544" t="s">
        <v>2686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397</v>
      </c>
      <c r="I2544" t="s">
        <v>397</v>
      </c>
      <c r="J2544">
        <v>4102</v>
      </c>
      <c r="K2544">
        <v>2.46</v>
      </c>
      <c r="L2544">
        <v>0</v>
      </c>
      <c r="M2544">
        <v>0</v>
      </c>
    </row>
    <row r="2545" spans="1:13">
      <c r="A2545" s="28">
        <v>372800</v>
      </c>
      <c r="B2545" t="s">
        <v>2687</v>
      </c>
      <c r="C2545">
        <v>6190</v>
      </c>
      <c r="D2545">
        <v>-80</v>
      </c>
      <c r="E2545">
        <v>-1.28</v>
      </c>
      <c r="F2545" t="s">
        <v>397</v>
      </c>
      <c r="G2545" t="s">
        <v>397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>
      <c r="A2546" s="28">
        <v>84850</v>
      </c>
      <c r="B2546" t="s">
        <v>2688</v>
      </c>
      <c r="C2546">
        <v>21600</v>
      </c>
      <c r="D2546">
        <v>200</v>
      </c>
      <c r="E2546">
        <v>0.93</v>
      </c>
      <c r="F2546" t="s">
        <v>397</v>
      </c>
      <c r="G2546" t="s">
        <v>397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>
      <c r="A2547" s="28">
        <v>139990</v>
      </c>
      <c r="B2547" t="s">
        <v>2689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397</v>
      </c>
      <c r="I2547" t="s">
        <v>397</v>
      </c>
      <c r="J2547">
        <v>9135</v>
      </c>
      <c r="K2547">
        <v>0.74</v>
      </c>
      <c r="L2547">
        <v>0</v>
      </c>
      <c r="M2547">
        <v>0</v>
      </c>
    </row>
    <row r="2548" spans="1:13">
      <c r="A2548" s="28">
        <v>13310</v>
      </c>
      <c r="B2548" t="s">
        <v>2690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397</v>
      </c>
      <c r="I2548" t="s">
        <v>397</v>
      </c>
      <c r="J2548">
        <v>6314</v>
      </c>
      <c r="K2548">
        <v>0.65</v>
      </c>
      <c r="L2548">
        <v>0</v>
      </c>
      <c r="M2548">
        <v>0</v>
      </c>
    </row>
    <row r="2549" spans="1:13">
      <c r="A2549" s="28">
        <v>92600</v>
      </c>
      <c r="B2549" t="s">
        <v>2691</v>
      </c>
      <c r="C2549">
        <v>2155</v>
      </c>
      <c r="D2549">
        <v>35</v>
      </c>
      <c r="E2549">
        <v>1.65</v>
      </c>
      <c r="F2549" t="s">
        <v>397</v>
      </c>
      <c r="G2549" t="s">
        <v>397</v>
      </c>
      <c r="H2549" t="s">
        <v>397</v>
      </c>
      <c r="I2549" t="s">
        <v>397</v>
      </c>
      <c r="J2549">
        <v>2261</v>
      </c>
      <c r="K2549">
        <v>0.95</v>
      </c>
      <c r="L2549">
        <v>0</v>
      </c>
      <c r="M2549">
        <v>0</v>
      </c>
    </row>
    <row r="2550" spans="1:13">
      <c r="A2550" s="28">
        <v>238090</v>
      </c>
      <c r="B2550" t="s">
        <v>2692</v>
      </c>
      <c r="C2550">
        <v>3895</v>
      </c>
      <c r="D2550">
        <v>-125</v>
      </c>
      <c r="E2550">
        <v>-3.11</v>
      </c>
      <c r="F2550" t="s">
        <v>397</v>
      </c>
      <c r="G2550" t="s">
        <v>397</v>
      </c>
      <c r="H2550" t="s">
        <v>397</v>
      </c>
      <c r="I2550" t="s">
        <v>397</v>
      </c>
      <c r="J2550">
        <v>5882</v>
      </c>
      <c r="K2550">
        <v>0.66</v>
      </c>
      <c r="L2550">
        <v>0</v>
      </c>
      <c r="M2550">
        <v>0</v>
      </c>
    </row>
    <row r="2551" spans="1:13">
      <c r="A2551" s="28">
        <v>52790</v>
      </c>
      <c r="B2551" t="s">
        <v>2693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397</v>
      </c>
      <c r="I2551" t="s">
        <v>397</v>
      </c>
      <c r="J2551">
        <v>18774</v>
      </c>
      <c r="K2551">
        <v>0.48</v>
      </c>
      <c r="L2551">
        <v>0</v>
      </c>
      <c r="M2551">
        <v>0</v>
      </c>
    </row>
    <row r="2552" spans="1:13">
      <c r="A2552" s="28">
        <v>205500</v>
      </c>
      <c r="B2552" t="s">
        <v>2694</v>
      </c>
      <c r="C2552">
        <v>1823</v>
      </c>
      <c r="D2552">
        <v>-10</v>
      </c>
      <c r="E2552">
        <v>-0.55000000000000004</v>
      </c>
      <c r="F2552" t="s">
        <v>397</v>
      </c>
      <c r="G2552" t="s">
        <v>397</v>
      </c>
      <c r="H2552" t="s">
        <v>397</v>
      </c>
      <c r="I2552" t="s">
        <v>397</v>
      </c>
      <c r="J2552">
        <v>661</v>
      </c>
      <c r="K2552">
        <v>2.76</v>
      </c>
      <c r="L2552">
        <v>0</v>
      </c>
      <c r="M2552">
        <v>0</v>
      </c>
    </row>
    <row r="2553" spans="1:13">
      <c r="A2553" s="28">
        <v>179530</v>
      </c>
      <c r="B2553" t="s">
        <v>2695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397</v>
      </c>
      <c r="I2553" t="s">
        <v>397</v>
      </c>
      <c r="J2553">
        <v>1771</v>
      </c>
      <c r="K2553">
        <v>1.67</v>
      </c>
      <c r="L2553">
        <v>0</v>
      </c>
      <c r="M2553">
        <v>0</v>
      </c>
    </row>
    <row r="2554" spans="1:13">
      <c r="A2554" s="28">
        <v>310200</v>
      </c>
      <c r="B2554" t="s">
        <v>2696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397</v>
      </c>
      <c r="I2554" t="s">
        <v>397</v>
      </c>
      <c r="J2554">
        <v>1829</v>
      </c>
      <c r="K2554">
        <v>2.04</v>
      </c>
      <c r="L2554">
        <v>0</v>
      </c>
      <c r="M2554">
        <v>0</v>
      </c>
    </row>
    <row r="2555" spans="1:13">
      <c r="A2555" s="28">
        <v>196300</v>
      </c>
      <c r="B2555" t="s">
        <v>2697</v>
      </c>
      <c r="C2555">
        <v>14500</v>
      </c>
      <c r="D2555">
        <v>220</v>
      </c>
      <c r="E2555">
        <v>1.54</v>
      </c>
      <c r="F2555" t="s">
        <v>397</v>
      </c>
      <c r="G2555" t="s">
        <v>397</v>
      </c>
      <c r="H2555" t="s">
        <v>397</v>
      </c>
      <c r="I2555" t="s">
        <v>397</v>
      </c>
      <c r="J2555">
        <v>2391</v>
      </c>
      <c r="K2555">
        <v>6.06</v>
      </c>
      <c r="L2555">
        <v>0</v>
      </c>
      <c r="M2555">
        <v>0</v>
      </c>
    </row>
    <row r="2556" spans="1:13">
      <c r="A2556" s="28">
        <v>293780</v>
      </c>
      <c r="B2556" t="s">
        <v>2698</v>
      </c>
      <c r="C2556">
        <v>5800</v>
      </c>
      <c r="D2556">
        <v>-100</v>
      </c>
      <c r="E2556">
        <v>-1.69</v>
      </c>
      <c r="F2556" t="s">
        <v>397</v>
      </c>
      <c r="G2556" t="s">
        <v>397</v>
      </c>
      <c r="H2556" t="s">
        <v>397</v>
      </c>
      <c r="I2556" t="s">
        <v>397</v>
      </c>
      <c r="J2556">
        <v>2349</v>
      </c>
      <c r="K2556">
        <v>2.4700000000000002</v>
      </c>
      <c r="L2556">
        <v>0</v>
      </c>
      <c r="M2556">
        <v>0</v>
      </c>
    </row>
    <row r="2557" spans="1:13">
      <c r="A2557" s="28">
        <v>291650</v>
      </c>
      <c r="B2557" t="s">
        <v>2699</v>
      </c>
      <c r="C2557">
        <v>3170</v>
      </c>
      <c r="D2557">
        <v>-80</v>
      </c>
      <c r="E2557">
        <v>-2.46</v>
      </c>
      <c r="F2557" t="s">
        <v>397</v>
      </c>
      <c r="G2557" t="s">
        <v>397</v>
      </c>
      <c r="H2557" t="s">
        <v>397</v>
      </c>
      <c r="I2557" t="s">
        <v>397</v>
      </c>
      <c r="J2557">
        <v>1721</v>
      </c>
      <c r="K2557">
        <v>1.84</v>
      </c>
      <c r="L2557">
        <v>0</v>
      </c>
      <c r="M2557">
        <v>0</v>
      </c>
    </row>
    <row r="2558" spans="1:13">
      <c r="A2558" s="28">
        <v>314140</v>
      </c>
      <c r="B2558" t="s">
        <v>2700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397</v>
      </c>
      <c r="I2558" t="s">
        <v>397</v>
      </c>
      <c r="J2558">
        <v>11145</v>
      </c>
      <c r="K2558">
        <v>0.85</v>
      </c>
      <c r="L2558">
        <v>0</v>
      </c>
      <c r="M2558">
        <v>0</v>
      </c>
    </row>
    <row r="2559" spans="1:13">
      <c r="A2559" s="28">
        <v>117670</v>
      </c>
      <c r="B2559" t="s">
        <v>2701</v>
      </c>
      <c r="C2559">
        <v>945</v>
      </c>
      <c r="D2559">
        <v>0</v>
      </c>
      <c r="E2559">
        <v>0</v>
      </c>
      <c r="F2559" t="s">
        <v>397</v>
      </c>
      <c r="G2559" t="s">
        <v>397</v>
      </c>
      <c r="H2559" t="s">
        <v>397</v>
      </c>
      <c r="I2559" t="s">
        <v>397</v>
      </c>
      <c r="J2559">
        <v>2030</v>
      </c>
      <c r="K2559">
        <v>0.47</v>
      </c>
      <c r="L2559">
        <v>0</v>
      </c>
      <c r="M2559">
        <v>0</v>
      </c>
    </row>
    <row r="2560" spans="1:13">
      <c r="A2560" s="28">
        <v>85810</v>
      </c>
      <c r="B2560" t="s">
        <v>2702</v>
      </c>
      <c r="C2560">
        <v>894</v>
      </c>
      <c r="D2560">
        <v>-21</v>
      </c>
      <c r="E2560">
        <v>-2.2999999999999998</v>
      </c>
      <c r="F2560" t="s">
        <v>397</v>
      </c>
      <c r="G2560" t="s">
        <v>397</v>
      </c>
      <c r="H2560" t="s">
        <v>397</v>
      </c>
      <c r="I2560" t="s">
        <v>397</v>
      </c>
      <c r="J2560">
        <v>1691</v>
      </c>
      <c r="K2560">
        <v>0.53</v>
      </c>
      <c r="L2560">
        <v>0</v>
      </c>
      <c r="M2560">
        <v>0</v>
      </c>
    </row>
    <row r="2561" spans="1:13">
      <c r="A2561" s="28">
        <v>123750</v>
      </c>
      <c r="B2561" t="s">
        <v>2703</v>
      </c>
      <c r="C2561">
        <v>2900</v>
      </c>
      <c r="D2561">
        <v>-5</v>
      </c>
      <c r="E2561">
        <v>-0.17</v>
      </c>
      <c r="F2561" t="s">
        <v>397</v>
      </c>
      <c r="G2561" t="s">
        <v>397</v>
      </c>
      <c r="H2561" t="s">
        <v>397</v>
      </c>
      <c r="I2561" t="s">
        <v>397</v>
      </c>
      <c r="J2561">
        <v>2128</v>
      </c>
      <c r="K2561">
        <v>1.36</v>
      </c>
      <c r="L2561">
        <v>0</v>
      </c>
      <c r="M2561">
        <v>0</v>
      </c>
    </row>
    <row r="2562" spans="1:13">
      <c r="A2562" s="28">
        <v>196170</v>
      </c>
      <c r="B2562" t="s">
        <v>2704</v>
      </c>
      <c r="C2562">
        <v>204500</v>
      </c>
      <c r="D2562">
        <v>-2000</v>
      </c>
      <c r="E2562">
        <v>-0.97</v>
      </c>
      <c r="F2562" t="s">
        <v>397</v>
      </c>
      <c r="G2562" t="s">
        <v>397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>
      <c r="A2563" s="28">
        <v>347860</v>
      </c>
      <c r="B2563" t="s">
        <v>2705</v>
      </c>
      <c r="C2563">
        <v>6030</v>
      </c>
      <c r="D2563">
        <v>-140</v>
      </c>
      <c r="E2563">
        <v>-2.27</v>
      </c>
      <c r="F2563" t="s">
        <v>397</v>
      </c>
      <c r="G2563" t="s">
        <v>397</v>
      </c>
      <c r="H2563" t="s">
        <v>397</v>
      </c>
      <c r="I2563" t="s">
        <v>397</v>
      </c>
      <c r="J2563">
        <v>1610</v>
      </c>
      <c r="K2563">
        <v>3.75</v>
      </c>
      <c r="L2563">
        <v>0</v>
      </c>
      <c r="M2563">
        <v>0</v>
      </c>
    </row>
    <row r="2564" spans="1:13">
      <c r="A2564" s="28">
        <v>61040</v>
      </c>
      <c r="B2564" t="s">
        <v>2706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397</v>
      </c>
      <c r="I2564" t="s">
        <v>397</v>
      </c>
      <c r="J2564">
        <v>7351</v>
      </c>
      <c r="K2564">
        <v>0.53</v>
      </c>
      <c r="L2564">
        <v>0</v>
      </c>
      <c r="M2564">
        <v>0</v>
      </c>
    </row>
    <row r="2565" spans="1:13">
      <c r="A2565" s="28">
        <v>96610</v>
      </c>
      <c r="B2565" t="s">
        <v>2707</v>
      </c>
      <c r="C2565">
        <v>2965</v>
      </c>
      <c r="D2565">
        <v>0</v>
      </c>
      <c r="E2565">
        <v>0</v>
      </c>
      <c r="F2565" t="s">
        <v>397</v>
      </c>
      <c r="G2565" t="s">
        <v>397</v>
      </c>
      <c r="H2565" t="s">
        <v>397</v>
      </c>
      <c r="I2565" t="s">
        <v>397</v>
      </c>
      <c r="J2565">
        <v>2779</v>
      </c>
      <c r="K2565">
        <v>1.07</v>
      </c>
      <c r="L2565">
        <v>0</v>
      </c>
      <c r="M2565">
        <v>0</v>
      </c>
    </row>
    <row r="2566" spans="1:13">
      <c r="A2566" s="28">
        <v>140670</v>
      </c>
      <c r="B2566" t="s">
        <v>2708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397</v>
      </c>
      <c r="I2566" t="s">
        <v>397</v>
      </c>
      <c r="J2566">
        <v>4542</v>
      </c>
      <c r="K2566">
        <v>3.43</v>
      </c>
      <c r="L2566">
        <v>0</v>
      </c>
      <c r="M2566">
        <v>0</v>
      </c>
    </row>
    <row r="2567" spans="1:13">
      <c r="A2567" s="28">
        <v>361570</v>
      </c>
      <c r="B2567" t="s">
        <v>2709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397</v>
      </c>
      <c r="I2567" t="s">
        <v>397</v>
      </c>
      <c r="J2567">
        <v>2707</v>
      </c>
      <c r="K2567">
        <v>1.32</v>
      </c>
      <c r="L2567">
        <v>0</v>
      </c>
      <c r="M2567">
        <v>0</v>
      </c>
    </row>
    <row r="2568" spans="1:13">
      <c r="A2568" s="28">
        <v>354320</v>
      </c>
      <c r="B2568" t="s">
        <v>2710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397</v>
      </c>
      <c r="I2569" t="s">
        <v>397</v>
      </c>
      <c r="J2569">
        <v>2639</v>
      </c>
      <c r="K2569">
        <v>1.37</v>
      </c>
      <c r="L2569">
        <v>0</v>
      </c>
      <c r="M2569">
        <v>0</v>
      </c>
    </row>
    <row r="2570" spans="1:13">
      <c r="A2570" s="28">
        <v>297570</v>
      </c>
      <c r="B2570" t="s">
        <v>2711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397</v>
      </c>
      <c r="I2570" t="s">
        <v>397</v>
      </c>
      <c r="J2570">
        <v>903</v>
      </c>
      <c r="K2570">
        <v>1.51</v>
      </c>
      <c r="L2570">
        <v>0</v>
      </c>
      <c r="M2570">
        <v>0</v>
      </c>
    </row>
    <row r="2571" spans="1:13">
      <c r="A2571" s="28">
        <v>65660</v>
      </c>
      <c r="B2571" t="s">
        <v>2712</v>
      </c>
      <c r="C2571">
        <v>14000</v>
      </c>
      <c r="D2571">
        <v>-130</v>
      </c>
      <c r="E2571">
        <v>-0.92</v>
      </c>
      <c r="F2571" t="s">
        <v>397</v>
      </c>
      <c r="G2571" t="s">
        <v>397</v>
      </c>
      <c r="H2571" t="s">
        <v>397</v>
      </c>
      <c r="I2571" t="s">
        <v>397</v>
      </c>
      <c r="J2571">
        <v>10974</v>
      </c>
      <c r="K2571">
        <v>1.28</v>
      </c>
      <c r="L2571">
        <v>0</v>
      </c>
      <c r="M2571">
        <v>0</v>
      </c>
    </row>
    <row r="2572" spans="1:13">
      <c r="A2572" s="28">
        <v>67390</v>
      </c>
      <c r="B2572" t="s">
        <v>2713</v>
      </c>
      <c r="C2572">
        <v>1113</v>
      </c>
      <c r="D2572">
        <v>0</v>
      </c>
      <c r="E2572">
        <v>0</v>
      </c>
      <c r="F2572" t="s">
        <v>397</v>
      </c>
      <c r="G2572" t="s">
        <v>397</v>
      </c>
      <c r="H2572" t="s">
        <v>397</v>
      </c>
      <c r="I2572" t="s">
        <v>397</v>
      </c>
      <c r="J2572">
        <v>4654</v>
      </c>
      <c r="K2572">
        <v>0.24</v>
      </c>
      <c r="L2572">
        <v>0</v>
      </c>
      <c r="M2572">
        <v>0</v>
      </c>
    </row>
    <row r="2573" spans="1:13">
      <c r="A2573" s="28">
        <v>136410</v>
      </c>
      <c r="B2573" t="s">
        <v>2714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>
      <c r="A2574" s="28">
        <v>416180</v>
      </c>
      <c r="B2574" t="s">
        <v>2715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397</v>
      </c>
      <c r="I2574" t="s">
        <v>397</v>
      </c>
      <c r="J2574">
        <v>5203</v>
      </c>
      <c r="K2574">
        <v>8.08</v>
      </c>
      <c r="L2574">
        <v>0</v>
      </c>
      <c r="M2574">
        <v>0</v>
      </c>
    </row>
    <row r="2575" spans="1:13">
      <c r="A2575" s="28">
        <v>452980</v>
      </c>
      <c r="B2575" t="s">
        <v>2716</v>
      </c>
      <c r="C2575">
        <v>1976</v>
      </c>
      <c r="D2575">
        <v>-3</v>
      </c>
      <c r="E2575">
        <v>-0.15</v>
      </c>
      <c r="F2575" t="s">
        <v>397</v>
      </c>
      <c r="G2575" t="s">
        <v>397</v>
      </c>
      <c r="H2575" t="s">
        <v>397</v>
      </c>
      <c r="I2575" t="s">
        <v>397</v>
      </c>
      <c r="J2575" t="s">
        <v>397</v>
      </c>
      <c r="K2575" t="s">
        <v>397</v>
      </c>
      <c r="L2575">
        <v>0</v>
      </c>
      <c r="M2575">
        <v>0</v>
      </c>
    </row>
    <row r="2576" spans="1:13">
      <c r="A2576" s="28">
        <v>222420</v>
      </c>
      <c r="B2576" t="s">
        <v>2717</v>
      </c>
      <c r="C2576">
        <v>1172</v>
      </c>
      <c r="D2576">
        <v>4</v>
      </c>
      <c r="E2576">
        <v>0.34</v>
      </c>
      <c r="F2576" t="s">
        <v>397</v>
      </c>
      <c r="G2576" t="s">
        <v>397</v>
      </c>
      <c r="H2576" t="s">
        <v>397</v>
      </c>
      <c r="I2576" t="s">
        <v>397</v>
      </c>
      <c r="J2576">
        <v>870</v>
      </c>
      <c r="K2576">
        <v>1.35</v>
      </c>
      <c r="L2576">
        <v>0</v>
      </c>
      <c r="M2576">
        <v>0</v>
      </c>
    </row>
    <row r="2577" spans="1:13">
      <c r="A2577" s="28">
        <v>208640</v>
      </c>
      <c r="B2577" t="s">
        <v>2718</v>
      </c>
      <c r="C2577">
        <v>345</v>
      </c>
      <c r="D2577">
        <v>-2</v>
      </c>
      <c r="E2577">
        <v>-0.57999999999999996</v>
      </c>
      <c r="F2577" t="s">
        <v>397</v>
      </c>
      <c r="G2577" t="s">
        <v>397</v>
      </c>
      <c r="H2577" t="s">
        <v>397</v>
      </c>
      <c r="I2577" t="s">
        <v>397</v>
      </c>
      <c r="J2577">
        <v>247</v>
      </c>
      <c r="K2577">
        <v>1.4</v>
      </c>
      <c r="L2577">
        <v>0</v>
      </c>
      <c r="M2577">
        <v>0</v>
      </c>
    </row>
    <row r="2578" spans="1:13">
      <c r="A2578" s="28">
        <v>4770</v>
      </c>
      <c r="B2578" t="s">
        <v>2719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397</v>
      </c>
      <c r="I2578" t="s">
        <v>397</v>
      </c>
      <c r="J2578">
        <v>2101</v>
      </c>
      <c r="K2578">
        <v>1.03</v>
      </c>
      <c r="L2578">
        <v>0</v>
      </c>
      <c r="M2578">
        <v>0</v>
      </c>
    </row>
    <row r="2579" spans="1:13">
      <c r="A2579" s="28">
        <v>10280</v>
      </c>
      <c r="B2579" t="s">
        <v>2720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397</v>
      </c>
      <c r="I2579" t="s">
        <v>397</v>
      </c>
      <c r="J2579">
        <v>891</v>
      </c>
      <c r="K2579">
        <v>1.02</v>
      </c>
      <c r="L2579">
        <v>0</v>
      </c>
      <c r="M2579">
        <v>0</v>
      </c>
    </row>
    <row r="2580" spans="1:13">
      <c r="A2580" s="28">
        <v>102280</v>
      </c>
      <c r="B2580" t="s">
        <v>2721</v>
      </c>
      <c r="C2580">
        <v>269</v>
      </c>
      <c r="D2580">
        <v>0</v>
      </c>
      <c r="E2580">
        <v>0</v>
      </c>
      <c r="F2580" t="s">
        <v>397</v>
      </c>
      <c r="G2580" t="s">
        <v>397</v>
      </c>
      <c r="H2580" t="s">
        <v>397</v>
      </c>
      <c r="I2580" t="s">
        <v>397</v>
      </c>
      <c r="J2580">
        <v>528</v>
      </c>
      <c r="K2580">
        <v>0.51</v>
      </c>
      <c r="L2580">
        <v>0</v>
      </c>
      <c r="M2580">
        <v>0</v>
      </c>
    </row>
    <row r="2581" spans="1:13">
      <c r="A2581" s="28">
        <v>217330</v>
      </c>
      <c r="B2581" t="s">
        <v>2722</v>
      </c>
      <c r="C2581">
        <v>15360</v>
      </c>
      <c r="D2581">
        <v>300</v>
      </c>
      <c r="E2581">
        <v>1.99</v>
      </c>
      <c r="F2581" t="s">
        <v>397</v>
      </c>
      <c r="G2581" t="s">
        <v>397</v>
      </c>
      <c r="H2581" t="s">
        <v>397</v>
      </c>
      <c r="I2581" t="s">
        <v>397</v>
      </c>
      <c r="J2581">
        <v>318</v>
      </c>
      <c r="K2581">
        <v>48.3</v>
      </c>
      <c r="L2581">
        <v>0</v>
      </c>
      <c r="M2581">
        <v>0</v>
      </c>
    </row>
    <row r="2582" spans="1:13">
      <c r="A2582" s="28">
        <v>257720</v>
      </c>
      <c r="B2582" t="s">
        <v>2723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>
      <c r="A2583" s="28">
        <v>187270</v>
      </c>
      <c r="B2583" t="s">
        <v>2724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397</v>
      </c>
      <c r="I2583" t="s">
        <v>397</v>
      </c>
      <c r="J2583">
        <v>6216</v>
      </c>
      <c r="K2583">
        <v>0.78</v>
      </c>
      <c r="L2583">
        <v>0</v>
      </c>
      <c r="M2583">
        <v>0</v>
      </c>
    </row>
    <row r="2584" spans="1:13">
      <c r="A2584" s="28">
        <v>56700</v>
      </c>
      <c r="B2584" t="s">
        <v>2725</v>
      </c>
      <c r="C2584">
        <v>2210</v>
      </c>
      <c r="D2584">
        <v>35</v>
      </c>
      <c r="E2584">
        <v>1.61</v>
      </c>
      <c r="F2584" t="s">
        <v>397</v>
      </c>
      <c r="G2584" t="s">
        <v>397</v>
      </c>
      <c r="H2584" t="s">
        <v>397</v>
      </c>
      <c r="I2584" t="s">
        <v>397</v>
      </c>
      <c r="J2584">
        <v>3184</v>
      </c>
      <c r="K2584">
        <v>0.69</v>
      </c>
      <c r="L2584">
        <v>0</v>
      </c>
      <c r="M2584">
        <v>0</v>
      </c>
    </row>
    <row r="2585" spans="1:13">
      <c r="A2585" s="28">
        <v>405640</v>
      </c>
      <c r="B2585" t="s">
        <v>2726</v>
      </c>
      <c r="C2585">
        <v>3480</v>
      </c>
      <c r="D2585">
        <v>-220</v>
      </c>
      <c r="E2585">
        <v>-5.95</v>
      </c>
      <c r="F2585" t="s">
        <v>397</v>
      </c>
      <c r="G2585" t="s">
        <v>397</v>
      </c>
      <c r="H2585" t="s">
        <v>397</v>
      </c>
      <c r="I2585" t="s">
        <v>397</v>
      </c>
      <c r="J2585" t="s">
        <v>397</v>
      </c>
      <c r="K2585" t="s">
        <v>397</v>
      </c>
      <c r="L2585">
        <v>0</v>
      </c>
      <c r="M2585">
        <v>0</v>
      </c>
    </row>
    <row r="2586" spans="1:13">
      <c r="A2586" s="28">
        <v>393360</v>
      </c>
      <c r="B2586" t="s">
        <v>2727</v>
      </c>
      <c r="C2586">
        <v>2065</v>
      </c>
      <c r="D2586">
        <v>-10</v>
      </c>
      <c r="E2586">
        <v>-0.48</v>
      </c>
      <c r="F2586" t="s">
        <v>397</v>
      </c>
      <c r="G2586" t="s">
        <v>397</v>
      </c>
      <c r="H2586" t="s">
        <v>397</v>
      </c>
      <c r="I2586" t="s">
        <v>397</v>
      </c>
      <c r="J2586" t="s">
        <v>397</v>
      </c>
      <c r="K2586" t="s">
        <v>397</v>
      </c>
      <c r="L2586">
        <v>0</v>
      </c>
      <c r="M2586">
        <v>0</v>
      </c>
    </row>
    <row r="2587" spans="1:13">
      <c r="A2587" s="28">
        <v>418210</v>
      </c>
      <c r="B2587" t="s">
        <v>2728</v>
      </c>
      <c r="C2587">
        <v>2380</v>
      </c>
      <c r="D2587">
        <v>-40</v>
      </c>
      <c r="E2587">
        <v>-1.65</v>
      </c>
      <c r="F2587" t="s">
        <v>397</v>
      </c>
      <c r="G2587" t="s">
        <v>397</v>
      </c>
      <c r="H2587" t="s">
        <v>397</v>
      </c>
      <c r="I2587" t="s">
        <v>397</v>
      </c>
      <c r="J2587" t="s">
        <v>397</v>
      </c>
      <c r="K2587" t="s">
        <v>397</v>
      </c>
      <c r="L2587">
        <v>0</v>
      </c>
      <c r="M2587">
        <v>0</v>
      </c>
    </row>
    <row r="2588" spans="1:13">
      <c r="A2588" s="28">
        <v>12170</v>
      </c>
      <c r="B2588" t="s">
        <v>2729</v>
      </c>
      <c r="C2588">
        <v>1066</v>
      </c>
      <c r="D2588">
        <v>-41</v>
      </c>
      <c r="E2588">
        <v>-3.7</v>
      </c>
      <c r="F2588" t="s">
        <v>397</v>
      </c>
      <c r="G2588" t="s">
        <v>397</v>
      </c>
      <c r="H2588" t="s">
        <v>397</v>
      </c>
      <c r="I2588" t="s">
        <v>397</v>
      </c>
      <c r="J2588">
        <v>384</v>
      </c>
      <c r="K2588">
        <v>2.78</v>
      </c>
      <c r="L2588">
        <v>0</v>
      </c>
      <c r="M2588">
        <v>0</v>
      </c>
    </row>
    <row r="2589" spans="1:13">
      <c r="A2589" s="28">
        <v>19175</v>
      </c>
      <c r="B2589" t="s">
        <v>2730</v>
      </c>
      <c r="C2589">
        <v>17900</v>
      </c>
      <c r="D2589">
        <v>-260</v>
      </c>
      <c r="E2589">
        <v>-1.43</v>
      </c>
      <c r="F2589" t="s">
        <v>397</v>
      </c>
      <c r="G2589" t="s">
        <v>397</v>
      </c>
      <c r="H2589" t="s">
        <v>397</v>
      </c>
      <c r="I2589" t="s">
        <v>397</v>
      </c>
      <c r="J2589" t="s">
        <v>397</v>
      </c>
      <c r="K2589" t="s">
        <v>397</v>
      </c>
      <c r="L2589">
        <v>0</v>
      </c>
      <c r="M2589">
        <v>0</v>
      </c>
    </row>
    <row r="2590" spans="1:13">
      <c r="A2590" s="28">
        <v>19170</v>
      </c>
      <c r="B2590" t="s">
        <v>2731</v>
      </c>
      <c r="C2590">
        <v>11650</v>
      </c>
      <c r="D2590">
        <v>-200</v>
      </c>
      <c r="E2590">
        <v>-1.69</v>
      </c>
      <c r="F2590" t="s">
        <v>397</v>
      </c>
      <c r="G2590" t="s">
        <v>397</v>
      </c>
      <c r="H2590" t="s">
        <v>397</v>
      </c>
      <c r="I2590" t="s">
        <v>397</v>
      </c>
      <c r="J2590">
        <v>6690</v>
      </c>
      <c r="K2590">
        <v>1.74</v>
      </c>
      <c r="L2590">
        <v>0</v>
      </c>
      <c r="M2590">
        <v>0</v>
      </c>
    </row>
    <row r="2591" spans="1:13">
      <c r="A2591" s="28">
        <v>226330</v>
      </c>
      <c r="B2591" t="s">
        <v>2732</v>
      </c>
      <c r="C2591">
        <v>9720</v>
      </c>
      <c r="D2591">
        <v>320</v>
      </c>
      <c r="E2591">
        <v>3.4</v>
      </c>
      <c r="F2591" t="s">
        <v>397</v>
      </c>
      <c r="G2591" t="s">
        <v>397</v>
      </c>
      <c r="H2591" t="s">
        <v>397</v>
      </c>
      <c r="I2591" t="s">
        <v>397</v>
      </c>
      <c r="J2591">
        <v>2327</v>
      </c>
      <c r="K2591">
        <v>4.18</v>
      </c>
      <c r="L2591">
        <v>0</v>
      </c>
      <c r="M2591">
        <v>0</v>
      </c>
    </row>
    <row r="2592" spans="1:13">
      <c r="A2592" s="28">
        <v>17000</v>
      </c>
      <c r="B2592" t="s">
        <v>2733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397</v>
      </c>
      <c r="I2592" t="s">
        <v>397</v>
      </c>
      <c r="J2592">
        <v>8382</v>
      </c>
      <c r="K2592">
        <v>0.35</v>
      </c>
      <c r="L2592">
        <v>0</v>
      </c>
      <c r="M2592">
        <v>0</v>
      </c>
    </row>
    <row r="2593" spans="1:13">
      <c r="A2593" s="28">
        <v>445970</v>
      </c>
      <c r="B2593" t="s">
        <v>2734</v>
      </c>
      <c r="C2593">
        <v>2250</v>
      </c>
      <c r="D2593">
        <v>5</v>
      </c>
      <c r="E2593">
        <v>0.22</v>
      </c>
      <c r="F2593" t="s">
        <v>397</v>
      </c>
      <c r="G2593" t="s">
        <v>397</v>
      </c>
      <c r="H2593" t="s">
        <v>397</v>
      </c>
      <c r="I2593" t="s">
        <v>397</v>
      </c>
      <c r="J2593" t="s">
        <v>397</v>
      </c>
      <c r="K2593" t="s">
        <v>397</v>
      </c>
      <c r="L2593">
        <v>0</v>
      </c>
      <c r="M2593">
        <v>0</v>
      </c>
    </row>
    <row r="2594" spans="1:13">
      <c r="A2594" s="28">
        <v>430220</v>
      </c>
      <c r="B2594" t="s">
        <v>2735</v>
      </c>
      <c r="C2594">
        <v>2350</v>
      </c>
      <c r="D2594">
        <v>-5</v>
      </c>
      <c r="E2594">
        <v>-0.21</v>
      </c>
      <c r="F2594" t="s">
        <v>397</v>
      </c>
      <c r="G2594" t="s">
        <v>397</v>
      </c>
      <c r="H2594" t="s">
        <v>397</v>
      </c>
      <c r="I2594" t="s">
        <v>397</v>
      </c>
      <c r="J2594" t="s">
        <v>397</v>
      </c>
      <c r="K2594" t="s">
        <v>397</v>
      </c>
      <c r="L2594">
        <v>0</v>
      </c>
      <c r="M2594">
        <v>0</v>
      </c>
    </row>
    <row r="2595" spans="1:13">
      <c r="A2595" s="28">
        <v>419270</v>
      </c>
      <c r="B2595" t="s">
        <v>2736</v>
      </c>
      <c r="C2595">
        <v>4375</v>
      </c>
      <c r="D2595">
        <v>-95</v>
      </c>
      <c r="E2595">
        <v>-2.13</v>
      </c>
      <c r="F2595" t="s">
        <v>397</v>
      </c>
      <c r="G2595" t="s">
        <v>397</v>
      </c>
      <c r="H2595" t="s">
        <v>397</v>
      </c>
      <c r="I2595" t="s">
        <v>397</v>
      </c>
      <c r="J2595" t="s">
        <v>397</v>
      </c>
      <c r="K2595" t="s">
        <v>397</v>
      </c>
      <c r="L2595">
        <v>0</v>
      </c>
      <c r="M2595">
        <v>0</v>
      </c>
    </row>
    <row r="2596" spans="1:13">
      <c r="A2596" s="28">
        <v>472220</v>
      </c>
      <c r="B2596" t="s">
        <v>2737</v>
      </c>
      <c r="C2596">
        <v>2145</v>
      </c>
      <c r="D2596">
        <v>20</v>
      </c>
      <c r="E2596">
        <v>0.94</v>
      </c>
      <c r="F2596" t="s">
        <v>397</v>
      </c>
      <c r="G2596" t="s">
        <v>397</v>
      </c>
      <c r="H2596" t="s">
        <v>397</v>
      </c>
      <c r="I2596" t="s">
        <v>397</v>
      </c>
      <c r="J2596" t="s">
        <v>397</v>
      </c>
      <c r="K2596" t="s">
        <v>397</v>
      </c>
      <c r="L2596">
        <v>0</v>
      </c>
      <c r="M2596">
        <v>0</v>
      </c>
    </row>
    <row r="2597" spans="1:13">
      <c r="A2597" s="28">
        <v>290560</v>
      </c>
      <c r="B2597" t="s">
        <v>2738</v>
      </c>
      <c r="C2597">
        <v>11470</v>
      </c>
      <c r="D2597">
        <v>-270</v>
      </c>
      <c r="E2597">
        <v>-2.2999999999999998</v>
      </c>
      <c r="F2597" t="s">
        <v>397</v>
      </c>
      <c r="G2597" t="s">
        <v>397</v>
      </c>
      <c r="H2597" t="s">
        <v>397</v>
      </c>
      <c r="I2597" t="s">
        <v>397</v>
      </c>
      <c r="J2597" t="s">
        <v>397</v>
      </c>
      <c r="K2597" t="s">
        <v>397</v>
      </c>
      <c r="L2597">
        <v>0</v>
      </c>
      <c r="M2597">
        <v>0</v>
      </c>
    </row>
    <row r="2598" spans="1:13">
      <c r="A2598" s="28">
        <v>162300</v>
      </c>
      <c r="B2598" t="s">
        <v>2739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397</v>
      </c>
      <c r="I2598" t="s">
        <v>397</v>
      </c>
      <c r="J2598">
        <v>1580</v>
      </c>
      <c r="K2598">
        <v>2.4500000000000002</v>
      </c>
      <c r="L2598">
        <v>0</v>
      </c>
      <c r="M2598">
        <v>0</v>
      </c>
    </row>
    <row r="2599" spans="1:13">
      <c r="A2599" s="28">
        <v>11930</v>
      </c>
      <c r="B2599" t="s">
        <v>2740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>
      <c r="A2600" s="28">
        <v>88280</v>
      </c>
      <c r="B2600" t="s">
        <v>2741</v>
      </c>
      <c r="C2600">
        <v>3575</v>
      </c>
      <c r="D2600">
        <v>-45</v>
      </c>
      <c r="E2600">
        <v>-1.24</v>
      </c>
      <c r="F2600" t="s">
        <v>397</v>
      </c>
      <c r="G2600" t="s">
        <v>397</v>
      </c>
      <c r="H2600" t="s">
        <v>397</v>
      </c>
      <c r="I2600" t="s">
        <v>397</v>
      </c>
      <c r="J2600">
        <v>1695</v>
      </c>
      <c r="K2600">
        <v>2.11</v>
      </c>
      <c r="L2600">
        <v>0</v>
      </c>
      <c r="M2600">
        <v>0</v>
      </c>
    </row>
    <row r="2601" spans="1:13">
      <c r="A2601" s="28">
        <v>403550</v>
      </c>
      <c r="B2601" t="s">
        <v>2742</v>
      </c>
      <c r="C2601">
        <v>20650</v>
      </c>
      <c r="D2601">
        <v>0</v>
      </c>
      <c r="E2601">
        <v>0</v>
      </c>
      <c r="F2601" t="s">
        <v>397</v>
      </c>
      <c r="G2601" t="s">
        <v>397</v>
      </c>
      <c r="H2601" t="s">
        <v>397</v>
      </c>
      <c r="I2601" t="s">
        <v>397</v>
      </c>
      <c r="J2601">
        <v>7565</v>
      </c>
      <c r="K2601">
        <v>2.73</v>
      </c>
      <c r="L2601">
        <v>0</v>
      </c>
      <c r="M2601">
        <v>0</v>
      </c>
    </row>
    <row r="2602" spans="1:13">
      <c r="A2602" s="28">
        <v>109670</v>
      </c>
      <c r="B2602" t="s">
        <v>2743</v>
      </c>
      <c r="C2602">
        <v>19240</v>
      </c>
      <c r="D2602">
        <v>20</v>
      </c>
      <c r="E2602">
        <v>0.1</v>
      </c>
      <c r="F2602" t="s">
        <v>397</v>
      </c>
      <c r="G2602" t="s">
        <v>397</v>
      </c>
      <c r="H2602" t="s">
        <v>397</v>
      </c>
      <c r="I2602" t="s">
        <v>397</v>
      </c>
      <c r="J2602" t="s">
        <v>397</v>
      </c>
      <c r="K2602" t="s">
        <v>397</v>
      </c>
      <c r="L2602">
        <v>0</v>
      </c>
      <c r="M2602">
        <v>0</v>
      </c>
    </row>
    <row r="2603" spans="1:13">
      <c r="A2603" s="28">
        <v>66790</v>
      </c>
      <c r="B2603" t="s">
        <v>2744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397</v>
      </c>
      <c r="I2603" t="s">
        <v>397</v>
      </c>
      <c r="J2603">
        <v>485</v>
      </c>
      <c r="K2603">
        <v>11.24</v>
      </c>
      <c r="L2603">
        <v>0</v>
      </c>
      <c r="M2603">
        <v>0</v>
      </c>
    </row>
    <row r="2604" spans="1:13">
      <c r="A2604" s="28">
        <v>149950</v>
      </c>
      <c r="B2604" t="s">
        <v>2745</v>
      </c>
      <c r="C2604">
        <v>12590</v>
      </c>
      <c r="D2604">
        <v>-100</v>
      </c>
      <c r="E2604">
        <v>-0.79</v>
      </c>
      <c r="F2604" t="s">
        <v>397</v>
      </c>
      <c r="G2604" t="s">
        <v>397</v>
      </c>
      <c r="H2604" t="s">
        <v>397</v>
      </c>
      <c r="I2604" t="s">
        <v>397</v>
      </c>
      <c r="J2604">
        <v>9873</v>
      </c>
      <c r="K2604">
        <v>1.28</v>
      </c>
      <c r="L2604">
        <v>0</v>
      </c>
      <c r="M2604">
        <v>0</v>
      </c>
    </row>
    <row r="2605" spans="1:13">
      <c r="A2605" s="28">
        <v>92040</v>
      </c>
      <c r="B2605" t="s">
        <v>2746</v>
      </c>
      <c r="C2605">
        <v>6650</v>
      </c>
      <c r="D2605">
        <v>50</v>
      </c>
      <c r="E2605">
        <v>0.76</v>
      </c>
      <c r="F2605" t="s">
        <v>397</v>
      </c>
      <c r="G2605" t="s">
        <v>397</v>
      </c>
      <c r="H2605" t="s">
        <v>397</v>
      </c>
      <c r="I2605" t="s">
        <v>397</v>
      </c>
      <c r="J2605">
        <v>3125</v>
      </c>
      <c r="K2605">
        <v>2.13</v>
      </c>
      <c r="L2605">
        <v>0</v>
      </c>
      <c r="M2605">
        <v>0</v>
      </c>
    </row>
    <row r="2606" spans="1:13">
      <c r="A2606" s="28">
        <v>74430</v>
      </c>
      <c r="B2606" t="s">
        <v>2747</v>
      </c>
      <c r="C2606">
        <v>1498</v>
      </c>
      <c r="D2606">
        <v>-3</v>
      </c>
      <c r="E2606">
        <v>-0.2</v>
      </c>
      <c r="F2606" t="s">
        <v>397</v>
      </c>
      <c r="G2606" t="s">
        <v>397</v>
      </c>
      <c r="H2606" t="s">
        <v>397</v>
      </c>
      <c r="I2606" t="s">
        <v>397</v>
      </c>
      <c r="J2606">
        <v>585</v>
      </c>
      <c r="K2606">
        <v>2.56</v>
      </c>
      <c r="L2606">
        <v>0</v>
      </c>
      <c r="M2606">
        <v>0</v>
      </c>
    </row>
    <row r="2607" spans="1:13">
      <c r="A2607" s="28">
        <v>52710</v>
      </c>
      <c r="B2607" t="s">
        <v>2748</v>
      </c>
      <c r="C2607">
        <v>7600</v>
      </c>
      <c r="D2607">
        <v>-80</v>
      </c>
      <c r="E2607">
        <v>-1.04</v>
      </c>
      <c r="F2607" t="s">
        <v>397</v>
      </c>
      <c r="G2607" t="s">
        <v>397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>
      <c r="A2608" s="28">
        <v>357580</v>
      </c>
      <c r="B2608" t="s">
        <v>2749</v>
      </c>
      <c r="C2608">
        <v>10680</v>
      </c>
      <c r="D2608">
        <v>10</v>
      </c>
      <c r="E2608">
        <v>0.09</v>
      </c>
      <c r="F2608" t="s">
        <v>397</v>
      </c>
      <c r="G2608" t="s">
        <v>397</v>
      </c>
      <c r="H2608" t="s">
        <v>397</v>
      </c>
      <c r="I2608" t="s">
        <v>397</v>
      </c>
      <c r="J2608">
        <v>3359</v>
      </c>
      <c r="K2608">
        <v>3.18</v>
      </c>
      <c r="L2608">
        <v>0</v>
      </c>
      <c r="M2608">
        <v>0</v>
      </c>
    </row>
    <row r="2609" spans="1:13">
      <c r="A2609" s="28">
        <v>125210</v>
      </c>
      <c r="B2609" t="s">
        <v>2750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397</v>
      </c>
      <c r="I2609" t="s">
        <v>397</v>
      </c>
      <c r="J2609">
        <v>3388</v>
      </c>
      <c r="K2609">
        <v>3.16</v>
      </c>
      <c r="L2609">
        <v>0</v>
      </c>
      <c r="M2609">
        <v>0</v>
      </c>
    </row>
    <row r="2610" spans="1:13">
      <c r="A2610" s="28">
        <v>58220</v>
      </c>
      <c r="B2610" t="s">
        <v>2751</v>
      </c>
      <c r="C2610">
        <v>275</v>
      </c>
      <c r="D2610">
        <v>0</v>
      </c>
      <c r="E2610">
        <v>0</v>
      </c>
      <c r="F2610" t="s">
        <v>397</v>
      </c>
      <c r="G2610" t="s">
        <v>397</v>
      </c>
      <c r="H2610" t="s">
        <v>397</v>
      </c>
      <c r="I2610" t="s">
        <v>397</v>
      </c>
      <c r="J2610" t="s">
        <v>397</v>
      </c>
      <c r="K2610" t="s">
        <v>397</v>
      </c>
      <c r="L2610">
        <v>0</v>
      </c>
      <c r="M2610">
        <v>0</v>
      </c>
    </row>
    <row r="2611" spans="1:13">
      <c r="A2611" s="28">
        <v>8700</v>
      </c>
      <c r="B2611" t="s">
        <v>2752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397</v>
      </c>
      <c r="I2611" t="s">
        <v>397</v>
      </c>
      <c r="J2611">
        <v>1270</v>
      </c>
      <c r="K2611">
        <v>1.58</v>
      </c>
      <c r="L2611">
        <v>0</v>
      </c>
      <c r="M2611">
        <v>0</v>
      </c>
    </row>
    <row r="2612" spans="1:13">
      <c r="A2612" s="28">
        <v>25980</v>
      </c>
      <c r="B2612" t="s">
        <v>2753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397</v>
      </c>
      <c r="I2612" t="s">
        <v>397</v>
      </c>
      <c r="J2612">
        <v>5866</v>
      </c>
      <c r="K2612">
        <v>1.07</v>
      </c>
      <c r="L2612">
        <v>0</v>
      </c>
      <c r="M2612">
        <v>0</v>
      </c>
    </row>
    <row r="2613" spans="1:13">
      <c r="A2613" s="28">
        <v>123860</v>
      </c>
      <c r="B2613" t="s">
        <v>2754</v>
      </c>
      <c r="C2613">
        <v>27300</v>
      </c>
      <c r="D2613">
        <v>1650</v>
      </c>
      <c r="E2613">
        <v>6.43</v>
      </c>
      <c r="F2613" t="s">
        <v>397</v>
      </c>
      <c r="G2613" t="s">
        <v>397</v>
      </c>
      <c r="H2613" t="s">
        <v>397</v>
      </c>
      <c r="I2613" t="s">
        <v>397</v>
      </c>
      <c r="J2613">
        <v>3276</v>
      </c>
      <c r="K2613">
        <v>8.33</v>
      </c>
      <c r="L2613">
        <v>0</v>
      </c>
      <c r="M2613">
        <v>0</v>
      </c>
    </row>
    <row r="2614" spans="1:13">
      <c r="A2614" s="28">
        <v>13990</v>
      </c>
      <c r="B2614" t="s">
        <v>2755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397</v>
      </c>
      <c r="I2614" t="s">
        <v>397</v>
      </c>
      <c r="J2614">
        <v>4909</v>
      </c>
      <c r="K2614">
        <v>1.1299999999999999</v>
      </c>
      <c r="L2614">
        <v>0</v>
      </c>
      <c r="M2614">
        <v>0</v>
      </c>
    </row>
    <row r="2615" spans="1:13">
      <c r="A2615" s="28">
        <v>52300</v>
      </c>
      <c r="B2615" t="s">
        <v>2756</v>
      </c>
      <c r="C2615">
        <v>460</v>
      </c>
      <c r="D2615">
        <v>19</v>
      </c>
      <c r="E2615">
        <v>4.3099999999999996</v>
      </c>
      <c r="F2615" t="s">
        <v>397</v>
      </c>
      <c r="G2615" t="s">
        <v>397</v>
      </c>
      <c r="H2615" t="s">
        <v>397</v>
      </c>
      <c r="I2615" t="s">
        <v>397</v>
      </c>
      <c r="J2615">
        <v>1688</v>
      </c>
      <c r="K2615">
        <v>0.27</v>
      </c>
      <c r="L2615">
        <v>0</v>
      </c>
      <c r="M2615">
        <v>0</v>
      </c>
    </row>
    <row r="2616" spans="1:13">
      <c r="A2616" s="28">
        <v>308170</v>
      </c>
      <c r="B2616" t="s">
        <v>2757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397</v>
      </c>
      <c r="I2616" t="s">
        <v>397</v>
      </c>
      <c r="J2616">
        <v>12061</v>
      </c>
      <c r="K2616">
        <v>0.82</v>
      </c>
      <c r="L2616">
        <v>0</v>
      </c>
      <c r="M2616">
        <v>0</v>
      </c>
    </row>
    <row r="2617" spans="1:13">
      <c r="A2617" s="28">
        <v>60590</v>
      </c>
      <c r="B2617" t="s">
        <v>2758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397</v>
      </c>
      <c r="I2617" t="s">
        <v>397</v>
      </c>
      <c r="J2617">
        <v>4014</v>
      </c>
      <c r="K2617">
        <v>2.27</v>
      </c>
      <c r="L2617">
        <v>0</v>
      </c>
      <c r="M2617">
        <v>0</v>
      </c>
    </row>
    <row r="2618" spans="1:13">
      <c r="A2618" s="28">
        <v>189330</v>
      </c>
      <c r="B2618" t="s">
        <v>2759</v>
      </c>
      <c r="C2618">
        <v>17200</v>
      </c>
      <c r="D2618">
        <v>3120</v>
      </c>
      <c r="E2618">
        <v>22.16</v>
      </c>
      <c r="F2618" t="s">
        <v>397</v>
      </c>
      <c r="G2618" t="s">
        <v>397</v>
      </c>
      <c r="H2618" t="s">
        <v>397</v>
      </c>
      <c r="I2618" t="s">
        <v>397</v>
      </c>
      <c r="J2618">
        <v>3439</v>
      </c>
      <c r="K2618">
        <v>5</v>
      </c>
      <c r="L2618">
        <v>0</v>
      </c>
      <c r="M2618">
        <v>0</v>
      </c>
    </row>
    <row r="2619" spans="1:13">
      <c r="A2619" s="28">
        <v>340810</v>
      </c>
      <c r="B2619" t="s">
        <v>2760</v>
      </c>
      <c r="C2619">
        <v>6910</v>
      </c>
      <c r="D2619">
        <v>-140</v>
      </c>
      <c r="E2619">
        <v>-1.99</v>
      </c>
      <c r="F2619" t="s">
        <v>397</v>
      </c>
      <c r="G2619" t="s">
        <v>397</v>
      </c>
      <c r="H2619" t="s">
        <v>397</v>
      </c>
      <c r="I2619" t="s">
        <v>397</v>
      </c>
      <c r="J2619">
        <v>483</v>
      </c>
      <c r="K2619">
        <v>14.31</v>
      </c>
      <c r="L2619">
        <v>0</v>
      </c>
      <c r="M2619">
        <v>0</v>
      </c>
    </row>
    <row r="2620" spans="1:13">
      <c r="A2620" s="28">
        <v>115480</v>
      </c>
      <c r="B2620" t="s">
        <v>2761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397</v>
      </c>
      <c r="I2620" t="s">
        <v>397</v>
      </c>
      <c r="J2620">
        <v>1279</v>
      </c>
      <c r="K2620">
        <v>0.63</v>
      </c>
      <c r="L2620">
        <v>0</v>
      </c>
      <c r="M2620">
        <v>0</v>
      </c>
    </row>
    <row r="2621" spans="1:13">
      <c r="A2621" s="28">
        <v>115530</v>
      </c>
      <c r="B2621" t="s">
        <v>2762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397</v>
      </c>
      <c r="I2621" t="s">
        <v>397</v>
      </c>
      <c r="J2621">
        <v>171</v>
      </c>
      <c r="K2621">
        <v>2.02</v>
      </c>
      <c r="L2621">
        <v>0</v>
      </c>
      <c r="M2621">
        <v>0</v>
      </c>
    </row>
    <row r="2622" spans="1:13">
      <c r="A2622" s="28">
        <v>359090</v>
      </c>
      <c r="B2622" t="s">
        <v>2763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397</v>
      </c>
      <c r="I2622" t="s">
        <v>397</v>
      </c>
      <c r="J2622">
        <v>664</v>
      </c>
      <c r="K2622">
        <v>1.8</v>
      </c>
      <c r="L2622">
        <v>0</v>
      </c>
      <c r="M2622">
        <v>0</v>
      </c>
    </row>
    <row r="2623" spans="1:13">
      <c r="A2623" s="28">
        <v>297090</v>
      </c>
      <c r="B2623" t="s">
        <v>2764</v>
      </c>
      <c r="C2623">
        <v>7750</v>
      </c>
      <c r="D2623">
        <v>50</v>
      </c>
      <c r="E2623">
        <v>0.65</v>
      </c>
      <c r="F2623" t="s">
        <v>397</v>
      </c>
      <c r="G2623" t="s">
        <v>397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>
      <c r="A2624" s="28">
        <v>352480</v>
      </c>
      <c r="B2624" t="s">
        <v>2765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>
      <c r="A2625" s="28">
        <v>4920</v>
      </c>
      <c r="B2625" t="s">
        <v>2766</v>
      </c>
      <c r="C2625">
        <v>1204</v>
      </c>
      <c r="D2625">
        <v>-1</v>
      </c>
      <c r="E2625">
        <v>-0.08</v>
      </c>
      <c r="F2625" t="s">
        <v>397</v>
      </c>
      <c r="G2625" t="s">
        <v>397</v>
      </c>
      <c r="H2625" t="s">
        <v>397</v>
      </c>
      <c r="I2625" t="s">
        <v>397</v>
      </c>
      <c r="J2625">
        <v>1240</v>
      </c>
      <c r="K2625">
        <v>0.97</v>
      </c>
      <c r="L2625">
        <v>0</v>
      </c>
      <c r="M2625">
        <v>0</v>
      </c>
    </row>
    <row r="2626" spans="1:13">
      <c r="A2626" s="28">
        <v>222080</v>
      </c>
      <c r="B2626" t="s">
        <v>2767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397</v>
      </c>
      <c r="I2626" t="s">
        <v>397</v>
      </c>
      <c r="J2626">
        <v>2221</v>
      </c>
      <c r="K2626">
        <v>6.16</v>
      </c>
      <c r="L2626">
        <v>0</v>
      </c>
      <c r="M2626">
        <v>0</v>
      </c>
    </row>
    <row r="2627" spans="1:13">
      <c r="A2627" s="28">
        <v>238490</v>
      </c>
      <c r="B2627" t="s">
        <v>2768</v>
      </c>
      <c r="C2627">
        <v>6090</v>
      </c>
      <c r="D2627">
        <v>-60</v>
      </c>
      <c r="E2627">
        <v>-0.98</v>
      </c>
      <c r="F2627" t="s">
        <v>397</v>
      </c>
      <c r="G2627" t="s">
        <v>397</v>
      </c>
      <c r="H2627" t="s">
        <v>397</v>
      </c>
      <c r="I2627" t="s">
        <v>397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L40"/>
  <sheetViews>
    <sheetView workbookViewId="0">
      <selection activeCell="R11" sqref="R11"/>
    </sheetView>
  </sheetViews>
  <sheetFormatPr defaultRowHeight="16.5"/>
  <cols>
    <col min="1" max="1" width="14.25" style="28" customWidth="1"/>
    <col min="2" max="2" width="18.75" customWidth="1"/>
    <col min="3" max="3" width="21" customWidth="1"/>
    <col min="4" max="4" width="18.09765625" customWidth="1"/>
    <col min="5" max="5" width="22" customWidth="1"/>
    <col min="6" max="6" width="23.09765625" customWidth="1"/>
    <col min="7" max="7" width="15.5" customWidth="1"/>
    <col min="8" max="8" width="19.59765625" customWidth="1"/>
    <col min="9" max="9" width="17.84765625" customWidth="1"/>
    <col min="10" max="10" width="21.5" customWidth="1"/>
    <col min="11" max="11" width="17.09765625" customWidth="1"/>
    <col min="12" max="12" width="18.09765625" customWidth="1"/>
  </cols>
  <sheetData>
    <row r="3" spans="1:12">
      <c r="A3" s="28" t="s">
        <v>373</v>
      </c>
      <c r="D3" t="s">
        <v>374</v>
      </c>
      <c r="E3" t="str">
        <f>ExcelToJSON(표7[#All])</f>
        <v>[{"":"3120","20240323":"일성신약","":"1.55","":"0.36","":"18.29","":"14122","":"60174","":"1.58","20240323":"0.37","":"18","":"9.52","":"적전"},{"":"282690","20240323":"동아타이어","":"6.97","":"0.44","":"8.22","":"1747","":"27514","":"6.94","20240323":"0.44","":"8.24","":"-","":"-"},{"":"19440","20240323":"세아특수강","":"6.25","":"0.34","":"7.33","":"2185","":"40593","":"6.27","20240323":"0.34","":"7.3","":"-","":"-"},{"":"10950","20240323":"S-Oil","":"-","":"-","":"-","":"18075","":"75353","":"4.39","20240323":"1.05","":"6.94","":"-","":"-"},{"":"3410","20240323":"쌍용C&amp;E","":"-","":"-","":"-","":"254","":"3172","":"27.56","20240323":"2.21","":"6.29","":"-","":"-"},{"":"78000","20240323":"텔코웨어","":"15.48","":"0.54","":"5.63","":"688","":"19820","":"15.58","20240323":"0.54","":"5.6","":"18.43","":"109.99"},{"":"5940","20240323":"NH투자증권","":"14.82","":"0.6","":"5.36","":"881","":"21824","":"14.63","20240323":"0.59","":"5.43","":"652.18","":"26.11"},{"":"11560","20240323":"세보엠이씨","":"4.02","":"0.52","":"5.27","":"2361","":"18328","":"4","20240323":"0.52","":"5.29","":"-","":"-"},{"":"9680","20240323":"모토닉","":"8.21","":"0.41","":"4.93","":"988","":"19912","":"8.27","20240323":"0.41","":"4.9","":"7.45","":"52.09"},{"":"33920","20240323":"무학","":"-","":"-","":"-","":"-","":"18143","":"-","20240323":"0.28","":"4.54","":"-","":"-"},{"":"55550","20240323":"신한지주","":"6.09","":"0.54","":"4.01","":"8454","":"95206","":"5.87","20240323":"0.52","":"4.16","":"42.88","":"36.58"},{"":"16360","20240323":"삼성증권","":"8.87","":"0.6","":"4.05","":"4730","":"69383","":"8.68","20240323":"0.59","":"4.14","":"-","":"-"},{"":"58860","20240323":"KTis","":"5.9","":"0.46","":"4.06","":"501","":"6434","":"5.87","20240323":"0.46","":"4.08","":"119.32","":"-12.53"},{"":"7590","20240323":"동방아그로","":"11.5","":"0.52","":"3.98","":"546","":"12112","":"11.56","20240323":"0.52","":"3.96","":"40.49","":"78.95"},{"":"390","20240323":"삼화페인트","":"-","":"-","":"-","":"237","":"12654","":"27.59","20240323":"0.52","":"3.82","":"-","":"-"},{"":"91700","20240323":"파트론","":"11.41","":"0.91","":"3.75","":"700","":"8739","":"11.24","20240323":"0.9","":"3.81","":"-","":"-"},{"":"45100","20240323":"한양이엔지","":"4.24","":"0.62","":"3.5","":"4044","":"27595","":"4.15","20240323":"0.61","":"3.58","":"-","":"-"},{"":"138070","20240323":"신진에스엠","":"11.29","":"0.64","":"3.47","":"255","":"4467","":"11.61","20240323":"0.66","":"3.38","":"28.92","":"9.78"},{"":"1560","20240323":"제일연마","":"-","":"-","":"-","":"297","":"12792","":"29.06","20240323":"0.67","":"3.13","":"-","":"-"},{"":"32560","20240323":"황금에스티","":"-","":"-","":"-","":"2380","":"19636","":"2.93","20240323":"0.35","":"2.87","":"17.86","":"-9.05"},{"":"5490","20240323":"POSCO홀딩스","":"-","":"-","":"-","":"41456","":"692323","":"10.49","20240323":"0.63","":"2.76","":"-","":"-"},{"":"10060","20240323":"OCI홀딩스","":"-","":"-","":"-","":"36941","":"166136","":"2.6","20240323":"0.58","":"2.61","":"3.59","":"343.56"},{"":"3610","20240323":"방림","":"-","":"-","":"-","":"152","":"5532","":"13.62","20240323":"0.37","":"2.17","":"-","":"-"},{"":"35250","20240323":"강원랜드","":"-","":"-","":"-","":"570","":"16846","":"29.12","20240323":"0.99","":"2.11","":"21.86","":"흑전"},{"":"1740","20240323":"SK네트웍스","":"-","":"-","":"-","":"395","":"10311","":"15.7","20240323":"0.6","":"1.94","":"-","":"-"},{"":"5820","20240323":"원림","":"-","":"-","":"-","":"3500","":"55263","":"5.38","20240323":"0.34","":"1.86","":"-","":"-"},{"":"720","20240323":"현대건설","":"-","":"-","":"-","":"3637","":"69028","":"9.49","20240323":"0.5","":"1.74","":"123.45","":"7.37"},{"":"92460","20240323":"한라IMS","":"-","":"-","":"-","":"470","":"5683","":"12.66","20240323":"1.05","":"1.68","":"-","":"-"},{"":"23160","20240323":"태광","":"-","":"-","":"-","":"1383","":"18560","":"9.19","20240323":"0.68","":"1.34","":"11.49","":"193.84"},{"":"1810","20240323":"무림SP","":"-","":"-","":"-","":"-","":"9321","":"-","20240323":"0.19","":"0.83","":"-","":"-"},{"":"7770","20240323":"한일화학","":"-","":"-","":"-","":"1237","":"33661","":"11.86","20240323":"0.44","":"0.68","":"-","":"-"},{"":"53350","20240323":"이니텍","":"-","":"-","":"-","":"11","":"6339","":"287.73","20240323":"0.5","":"0.63","":"-","":"-"},{"":"456040","20240323":"OCI","":"-","":"-","":"-","":"-","":"-","":"-","20240323":"-","":"0","":"-","":"-"},{"":"34220","20240323":"LG디스플레이","":"-","":"-","":"-","":"-","":"25521","":"-","20240323":"0.44","":"0","":"-","":"-"},{"":"14470","20240323":"부방","":"-","":"-","":"-","":"582","":"3441","":"4.32","20240323":"0.73","":"0","":"42.61","":"적지"},{"":"1780","20240323":"알루코","":"-","":"-","":"-","":"155","":"2639","":"23.29","20240323":"1.37","":"0","":"105.7","":"42.87"}]</v>
      </c>
    </row>
    <row r="4" spans="1:12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2769</v>
      </c>
      <c r="G4" t="s">
        <v>2770</v>
      </c>
      <c r="H4" t="s">
        <v>2771</v>
      </c>
      <c r="I4" t="s">
        <v>2772</v>
      </c>
      <c r="J4" t="s">
        <v>2773</v>
      </c>
      <c r="K4" t="s">
        <v>2857</v>
      </c>
      <c r="L4" s="8" t="s">
        <v>2781</v>
      </c>
    </row>
    <row r="5" spans="1:12">
      <c r="A5" s="28">
        <v>3120</v>
      </c>
      <c r="B5" t="str">
        <f>IFERROR(VLOOKUP(표7[[#This Row],[종목코드]],krxData_재무!$A$6:$E$2805,2,0),"-")</f>
        <v>일성신약</v>
      </c>
      <c r="C5">
        <f>IFERROR(VLOOKUP(표7[[#This Row],[종목코드]],pyKrx_Stock!$A$6:$E$262,3,0),"-")</f>
        <v>1.55</v>
      </c>
      <c r="D5">
        <f>IFERROR(VLOOKUP(표7[[#This Row],[종목코드]],pyKrx_Stock!$A$6:$E$262,4,0),"-")</f>
        <v>0.36</v>
      </c>
      <c r="E5">
        <f>IFERROR(VLOOKUP(표7[[#This Row],[종목코드]],pyKrx_Stock!$A$6:$E$262,5,0),"-")</f>
        <v>18.29</v>
      </c>
      <c r="F5">
        <f>IFERROR(VLOOKUP(표7[[#This Row],[종목코드]],krxData_재무!$A$6:$M$2805,6,0),"-")</f>
        <v>14122</v>
      </c>
      <c r="G5">
        <f>IFERROR(VLOOKUP(표7[[#This Row],[종목코드]],krxData_재무!$A$6:$M$2805,10,0),"-")</f>
        <v>60174</v>
      </c>
      <c r="H5">
        <f>IFERROR(VLOOKUP(표7[[#This Row],[종목코드]],krxData_재무!$A$6:$M$2805,7,0),"-")</f>
        <v>1.58</v>
      </c>
      <c r="I5">
        <f>IFERROR(VLOOKUP(표7[[#This Row],[종목코드]],krxData_재무!$A$6:$M$2805,11,0),"-")</f>
        <v>0.37</v>
      </c>
      <c r="J5">
        <f>IFERROR(VLOOKUP(표7[[#This Row],[종목코드]],krxData_재무!$A$6:$M$2805,13,0),"-")</f>
        <v>18</v>
      </c>
      <c r="K5">
        <f>IFERROR(VLOOKUP(표7[[#This Row],[종목명]],fnguide!$B$101:$N$1300,3,0),"-")</f>
        <v>9.52</v>
      </c>
      <c r="L5" t="str">
        <f>IFERROR(VLOOKUP(표7[[#This Row],[종목명]],fnguide!$B$101:$N$1300,6,0),"-")</f>
        <v>적전</v>
      </c>
    </row>
    <row r="6" spans="1:12">
      <c r="A6" s="28">
        <v>282690</v>
      </c>
      <c r="B6" t="str">
        <f>IFERROR(VLOOKUP(표7[[#This Row],[종목코드]],krxData_재무!$A$6:$E$2805,2,0),"-")</f>
        <v>동아타이어</v>
      </c>
      <c r="C6">
        <f>IFERROR(VLOOKUP(표7[[#This Row],[종목코드]],pyKrx_Stock!$A$6:$E$262,3,0),"-")</f>
        <v>6.97</v>
      </c>
      <c r="D6">
        <f>IFERROR(VLOOKUP(표7[[#This Row],[종목코드]],pyKrx_Stock!$A$6:$E$262,4,0),"-")</f>
        <v>0.44</v>
      </c>
      <c r="E6">
        <f>IFERROR(VLOOKUP(표7[[#This Row],[종목코드]],pyKrx_Stock!$A$6:$E$262,5,0),"-")</f>
        <v>8.2200000000000006</v>
      </c>
      <c r="F6">
        <f>IFERROR(VLOOKUP(표7[[#This Row],[종목코드]],krxData_재무!$A$6:$M$2805,6,0),"-")</f>
        <v>1747</v>
      </c>
      <c r="G6">
        <f>IFERROR(VLOOKUP(표7[[#This Row],[종목코드]],krxData_재무!$A$6:$M$2805,10,0),"-")</f>
        <v>27514</v>
      </c>
      <c r="H6">
        <f>IFERROR(VLOOKUP(표7[[#This Row],[종목코드]],krxData_재무!$A$6:$M$2805,7,0),"-")</f>
        <v>6.94</v>
      </c>
      <c r="I6">
        <f>IFERROR(VLOOKUP(표7[[#This Row],[종목코드]],krxData_재무!$A$6:$M$2805,11,0),"-")</f>
        <v>0.44</v>
      </c>
      <c r="J6">
        <f>IFERROR(VLOOKUP(표7[[#This Row],[종목코드]],krxData_재무!$A$6:$M$2805,13,0),"-")</f>
        <v>8.24</v>
      </c>
      <c r="K6" t="str">
        <f>IFERROR(VLOOKUP(표7[[#This Row],[종목명]],fnguide!$B$101:$N$1300,3,0),"-")</f>
        <v>-</v>
      </c>
      <c r="L6" t="str">
        <f>IFERROR(VLOOKUP(표7[[#This Row],[종목명]],fnguide!$B$101:$N$1300,6,0),"-")</f>
        <v>-</v>
      </c>
    </row>
    <row r="7" spans="1:12">
      <c r="A7" s="28">
        <v>19440</v>
      </c>
      <c r="B7" t="str">
        <f>IFERROR(VLOOKUP(표7[[#This Row],[종목코드]],krxData_재무!$A$6:$E$2805,2,0),"-")</f>
        <v>세아특수강</v>
      </c>
      <c r="C7">
        <f>IFERROR(VLOOKUP(표7[[#This Row],[종목코드]],pyKrx_Stock!$A$6:$E$262,3,0),"-")</f>
        <v>6.25</v>
      </c>
      <c r="D7">
        <f>IFERROR(VLOOKUP(표7[[#This Row],[종목코드]],pyKrx_Stock!$A$6:$E$262,4,0),"-")</f>
        <v>0.34</v>
      </c>
      <c r="E7">
        <f>IFERROR(VLOOKUP(표7[[#This Row],[종목코드]],pyKrx_Stock!$A$6:$E$262,5,0),"-")</f>
        <v>7.33</v>
      </c>
      <c r="F7">
        <f>IFERROR(VLOOKUP(표7[[#This Row],[종목코드]],krxData_재무!$A$6:$M$2805,6,0),"-")</f>
        <v>2185</v>
      </c>
      <c r="G7">
        <f>IFERROR(VLOOKUP(표7[[#This Row],[종목코드]],krxData_재무!$A$6:$M$2805,10,0),"-")</f>
        <v>40593</v>
      </c>
      <c r="H7">
        <f>IFERROR(VLOOKUP(표7[[#This Row],[종목코드]],krxData_재무!$A$6:$M$2805,7,0),"-")</f>
        <v>6.27</v>
      </c>
      <c r="I7">
        <f>IFERROR(VLOOKUP(표7[[#This Row],[종목코드]],krxData_재무!$A$6:$M$2805,11,0),"-")</f>
        <v>0.34</v>
      </c>
      <c r="J7">
        <f>IFERROR(VLOOKUP(표7[[#This Row],[종목코드]],krxData_재무!$A$6:$M$2805,13,0),"-")</f>
        <v>7.3</v>
      </c>
      <c r="K7" t="str">
        <f>IFERROR(VLOOKUP(표7[[#This Row],[종목명]],fnguide!$B$101:$N$1300,3,0),"-")</f>
        <v>-</v>
      </c>
      <c r="L7" t="str">
        <f>IFERROR(VLOOKUP(표7[[#This Row],[종목명]],fnguide!$B$101:$N$1300,6,0),"-")</f>
        <v>-</v>
      </c>
    </row>
    <row r="8" spans="1:12">
      <c r="A8" s="28">
        <v>10950</v>
      </c>
      <c r="B8" t="str">
        <f>IFERROR(VLOOKUP(표7[[#This Row],[종목코드]],krxData_재무!$A$6:$E$2805,2,0),"-")</f>
        <v>S-Oil</v>
      </c>
      <c r="C8" t="str">
        <f>IFERROR(VLOOKUP(표7[[#This Row],[종목코드]],pyKrx_Stock!$A$6:$E$262,3,0),"-")</f>
        <v>-</v>
      </c>
      <c r="D8" t="str">
        <f>IFERROR(VLOOKUP(표7[[#This Row],[종목코드]],pyKrx_Stock!$A$6:$E$262,4,0),"-")</f>
        <v>-</v>
      </c>
      <c r="E8" t="str">
        <f>IFERROR(VLOOKUP(표7[[#This Row],[종목코드]],pyKrx_Stock!$A$6:$E$262,5,0),"-")</f>
        <v>-</v>
      </c>
      <c r="F8">
        <f>IFERROR(VLOOKUP(표7[[#This Row],[종목코드]],krxData_재무!$A$6:$M$2805,6,0),"-")</f>
        <v>18075</v>
      </c>
      <c r="G8">
        <f>IFERROR(VLOOKUP(표7[[#This Row],[종목코드]],krxData_재무!$A$6:$M$2805,10,0),"-")</f>
        <v>75353</v>
      </c>
      <c r="H8">
        <f>IFERROR(VLOOKUP(표7[[#This Row],[종목코드]],krxData_재무!$A$6:$M$2805,7,0),"-")</f>
        <v>4.3899999999999997</v>
      </c>
      <c r="I8">
        <f>IFERROR(VLOOKUP(표7[[#This Row],[종목코드]],krxData_재무!$A$6:$M$2805,11,0),"-")</f>
        <v>1.05</v>
      </c>
      <c r="J8">
        <f>IFERROR(VLOOKUP(표7[[#This Row],[종목코드]],krxData_재무!$A$6:$M$2805,13,0),"-")</f>
        <v>6.94</v>
      </c>
      <c r="K8" t="str">
        <f>IFERROR(VLOOKUP(표7[[#This Row],[종목명]],fnguide!$B$101:$N$1300,3,0),"-")</f>
        <v>-</v>
      </c>
      <c r="L8" t="str">
        <f>IFERROR(VLOOKUP(표7[[#This Row],[종목명]],fnguide!$B$101:$N$1300,6,0),"-")</f>
        <v>-</v>
      </c>
    </row>
    <row r="9" spans="1:12">
      <c r="A9" s="28">
        <v>3410</v>
      </c>
      <c r="B9" t="str">
        <f>IFERROR(VLOOKUP(표7[[#This Row],[종목코드]],krxData_재무!$A$6:$E$2805,2,0),"-")</f>
        <v>쌍용C&amp;E</v>
      </c>
      <c r="C9" t="str">
        <f>IFERROR(VLOOKUP(표7[[#This Row],[종목코드]],pyKrx_Stock!$A$6:$E$262,3,0),"-")</f>
        <v>-</v>
      </c>
      <c r="D9" t="str">
        <f>IFERROR(VLOOKUP(표7[[#This Row],[종목코드]],pyKrx_Stock!$A$6:$E$262,4,0),"-")</f>
        <v>-</v>
      </c>
      <c r="E9" t="str">
        <f>IFERROR(VLOOKUP(표7[[#This Row],[종목코드]],pyKrx_Stock!$A$6:$E$262,5,0),"-")</f>
        <v>-</v>
      </c>
      <c r="F9">
        <f>IFERROR(VLOOKUP(표7[[#This Row],[종목코드]],krxData_재무!$A$6:$M$2805,6,0),"-")</f>
        <v>254</v>
      </c>
      <c r="G9">
        <f>IFERROR(VLOOKUP(표7[[#This Row],[종목코드]],krxData_재무!$A$6:$M$2805,10,0),"-")</f>
        <v>3172</v>
      </c>
      <c r="H9">
        <f>IFERROR(VLOOKUP(표7[[#This Row],[종목코드]],krxData_재무!$A$6:$M$2805,7,0),"-")</f>
        <v>27.56</v>
      </c>
      <c r="I9">
        <f>IFERROR(VLOOKUP(표7[[#This Row],[종목코드]],krxData_재무!$A$6:$M$2805,11,0),"-")</f>
        <v>2.21</v>
      </c>
      <c r="J9">
        <f>IFERROR(VLOOKUP(표7[[#This Row],[종목코드]],krxData_재무!$A$6:$M$2805,13,0),"-")</f>
        <v>6.29</v>
      </c>
      <c r="K9" t="str">
        <f>IFERROR(VLOOKUP(표7[[#This Row],[종목명]],fnguide!$B$101:$N$1300,3,0),"-")</f>
        <v>-</v>
      </c>
      <c r="L9" t="str">
        <f>IFERROR(VLOOKUP(표7[[#This Row],[종목명]],fnguide!$B$101:$N$1300,6,0),"-")</f>
        <v>-</v>
      </c>
    </row>
    <row r="10" spans="1:12">
      <c r="A10" s="28">
        <v>78000</v>
      </c>
      <c r="B10" t="str">
        <f>IFERROR(VLOOKUP(표7[[#This Row],[종목코드]],krxData_재무!$A$6:$E$2805,2,0),"-")</f>
        <v>텔코웨어</v>
      </c>
      <c r="C10">
        <f>IFERROR(VLOOKUP(표7[[#This Row],[종목코드]],pyKrx_Stock!$A$6:$E$262,3,0),"-")</f>
        <v>15.48</v>
      </c>
      <c r="D10">
        <f>IFERROR(VLOOKUP(표7[[#This Row],[종목코드]],pyKrx_Stock!$A$6:$E$262,4,0),"-")</f>
        <v>0.54</v>
      </c>
      <c r="E10">
        <f>IFERROR(VLOOKUP(표7[[#This Row],[종목코드]],pyKrx_Stock!$A$6:$E$262,5,0),"-")</f>
        <v>5.63</v>
      </c>
      <c r="F10">
        <f>IFERROR(VLOOKUP(표7[[#This Row],[종목코드]],krxData_재무!$A$6:$M$2805,6,0),"-")</f>
        <v>688</v>
      </c>
      <c r="G10">
        <f>IFERROR(VLOOKUP(표7[[#This Row],[종목코드]],krxData_재무!$A$6:$M$2805,10,0),"-")</f>
        <v>19820</v>
      </c>
      <c r="H10">
        <f>IFERROR(VLOOKUP(표7[[#This Row],[종목코드]],krxData_재무!$A$6:$M$2805,7,0),"-")</f>
        <v>15.58</v>
      </c>
      <c r="I10">
        <f>IFERROR(VLOOKUP(표7[[#This Row],[종목코드]],krxData_재무!$A$6:$M$2805,11,0),"-")</f>
        <v>0.54</v>
      </c>
      <c r="J10">
        <f>IFERROR(VLOOKUP(표7[[#This Row],[종목코드]],krxData_재무!$A$6:$M$2805,13,0),"-")</f>
        <v>5.6</v>
      </c>
      <c r="K10">
        <f>IFERROR(VLOOKUP(표7[[#This Row],[종목명]],fnguide!$B$101:$N$1300,3,0),"-")</f>
        <v>18.43</v>
      </c>
      <c r="L10">
        <f>IFERROR(VLOOKUP(표7[[#This Row],[종목명]],fnguide!$B$101:$N$1300,6,0),"-")</f>
        <v>109.99</v>
      </c>
    </row>
    <row r="11" spans="1:12">
      <c r="A11" s="28">
        <v>5940</v>
      </c>
      <c r="B11" t="str">
        <f>IFERROR(VLOOKUP(표7[[#This Row],[종목코드]],krxData_재무!$A$6:$E$2805,2,0),"-")</f>
        <v>NH투자증권</v>
      </c>
      <c r="C11">
        <f>IFERROR(VLOOKUP(표7[[#This Row],[종목코드]],pyKrx_Stock!$A$6:$E$262,3,0),"-")</f>
        <v>14.82</v>
      </c>
      <c r="D11">
        <f>IFERROR(VLOOKUP(표7[[#This Row],[종목코드]],pyKrx_Stock!$A$6:$E$262,4,0),"-")</f>
        <v>0.6</v>
      </c>
      <c r="E11">
        <f>IFERROR(VLOOKUP(표7[[#This Row],[종목코드]],pyKrx_Stock!$A$6:$E$262,5,0),"-")</f>
        <v>5.36</v>
      </c>
      <c r="F11">
        <f>IFERROR(VLOOKUP(표7[[#This Row],[종목코드]],krxData_재무!$A$6:$M$2805,6,0),"-")</f>
        <v>881</v>
      </c>
      <c r="G11">
        <f>IFERROR(VLOOKUP(표7[[#This Row],[종목코드]],krxData_재무!$A$6:$M$2805,10,0),"-")</f>
        <v>21824</v>
      </c>
      <c r="H11">
        <f>IFERROR(VLOOKUP(표7[[#This Row],[종목코드]],krxData_재무!$A$6:$M$2805,7,0),"-")</f>
        <v>14.63</v>
      </c>
      <c r="I11">
        <f>IFERROR(VLOOKUP(표7[[#This Row],[종목코드]],krxData_재무!$A$6:$M$2805,11,0),"-")</f>
        <v>0.59</v>
      </c>
      <c r="J11">
        <f>IFERROR(VLOOKUP(표7[[#This Row],[종목코드]],krxData_재무!$A$6:$M$2805,13,0),"-")</f>
        <v>5.43</v>
      </c>
      <c r="K11">
        <f>IFERROR(VLOOKUP(표7[[#This Row],[종목명]],fnguide!$B$101:$N$1300,3,0),"-")</f>
        <v>652.17999999999995</v>
      </c>
      <c r="L11">
        <f>IFERROR(VLOOKUP(표7[[#This Row],[종목명]],fnguide!$B$101:$N$1300,6,0),"-")</f>
        <v>26.11</v>
      </c>
    </row>
    <row r="12" spans="1:12">
      <c r="A12" s="28">
        <v>11560</v>
      </c>
      <c r="B12" t="str">
        <f>IFERROR(VLOOKUP(표7[[#This Row],[종목코드]],krxData_재무!$A$6:$E$2805,2,0),"-")</f>
        <v>세보엠이씨</v>
      </c>
      <c r="C12">
        <f>IFERROR(VLOOKUP(표7[[#This Row],[종목코드]],pyKrx_Stock!$A$6:$E$262,3,0),"-")</f>
        <v>4.0199999999999996</v>
      </c>
      <c r="D12">
        <f>IFERROR(VLOOKUP(표7[[#This Row],[종목코드]],pyKrx_Stock!$A$6:$E$262,4,0),"-")</f>
        <v>0.52</v>
      </c>
      <c r="E12">
        <f>IFERROR(VLOOKUP(표7[[#This Row],[종목코드]],pyKrx_Stock!$A$6:$E$262,5,0),"-")</f>
        <v>5.27</v>
      </c>
      <c r="F12">
        <f>IFERROR(VLOOKUP(표7[[#This Row],[종목코드]],krxData_재무!$A$6:$M$2805,6,0),"-")</f>
        <v>2361</v>
      </c>
      <c r="G12">
        <f>IFERROR(VLOOKUP(표7[[#This Row],[종목코드]],krxData_재무!$A$6:$M$2805,10,0),"-")</f>
        <v>18328</v>
      </c>
      <c r="H12">
        <f>IFERROR(VLOOKUP(표7[[#This Row],[종목코드]],krxData_재무!$A$6:$M$2805,7,0),"-")</f>
        <v>4</v>
      </c>
      <c r="I12">
        <f>IFERROR(VLOOKUP(표7[[#This Row],[종목코드]],krxData_재무!$A$6:$M$2805,11,0),"-")</f>
        <v>0.52</v>
      </c>
      <c r="J12">
        <f>IFERROR(VLOOKUP(표7[[#This Row],[종목코드]],krxData_재무!$A$6:$M$2805,13,0),"-")</f>
        <v>5.29</v>
      </c>
      <c r="K12" t="str">
        <f>IFERROR(VLOOKUP(표7[[#This Row],[종목명]],fnguide!$B$101:$N$1300,3,0),"-")</f>
        <v>-</v>
      </c>
      <c r="L12" t="str">
        <f>IFERROR(VLOOKUP(표7[[#This Row],[종목명]],fnguide!$B$101:$N$1300,6,0),"-")</f>
        <v>-</v>
      </c>
    </row>
    <row r="13" spans="1:12">
      <c r="A13" s="28">
        <v>9680</v>
      </c>
      <c r="B13" t="str">
        <f>IFERROR(VLOOKUP(표7[[#This Row],[종목코드]],krxData_재무!$A$6:$E$2805,2,0),"-")</f>
        <v>모토닉</v>
      </c>
      <c r="C13">
        <f>IFERROR(VLOOKUP(표7[[#This Row],[종목코드]],pyKrx_Stock!$A$6:$E$262,3,0),"-")</f>
        <v>8.2100000000000009</v>
      </c>
      <c r="D13">
        <f>IFERROR(VLOOKUP(표7[[#This Row],[종목코드]],pyKrx_Stock!$A$6:$E$262,4,0),"-")</f>
        <v>0.41</v>
      </c>
      <c r="E13">
        <f>IFERROR(VLOOKUP(표7[[#This Row],[종목코드]],pyKrx_Stock!$A$6:$E$262,5,0),"-")</f>
        <v>4.93</v>
      </c>
      <c r="F13">
        <f>IFERROR(VLOOKUP(표7[[#This Row],[종목코드]],krxData_재무!$A$6:$M$2805,6,0),"-")</f>
        <v>988</v>
      </c>
      <c r="G13">
        <f>IFERROR(VLOOKUP(표7[[#This Row],[종목코드]],krxData_재무!$A$6:$M$2805,10,0),"-")</f>
        <v>19912</v>
      </c>
      <c r="H13">
        <f>IFERROR(VLOOKUP(표7[[#This Row],[종목코드]],krxData_재무!$A$6:$M$2805,7,0),"-")</f>
        <v>8.27</v>
      </c>
      <c r="I13">
        <f>IFERROR(VLOOKUP(표7[[#This Row],[종목코드]],krxData_재무!$A$6:$M$2805,11,0),"-")</f>
        <v>0.41</v>
      </c>
      <c r="J13">
        <f>IFERROR(VLOOKUP(표7[[#This Row],[종목코드]],krxData_재무!$A$6:$M$2805,13,0),"-")</f>
        <v>4.9000000000000004</v>
      </c>
      <c r="K13">
        <f>IFERROR(VLOOKUP(표7[[#This Row],[종목명]],fnguide!$B$101:$N$1300,3,0),"-")</f>
        <v>7.45</v>
      </c>
      <c r="L13">
        <f>IFERROR(VLOOKUP(표7[[#This Row],[종목명]],fnguide!$B$101:$N$1300,6,0),"-")</f>
        <v>52.09</v>
      </c>
    </row>
    <row r="14" spans="1:12">
      <c r="A14" s="28">
        <v>33920</v>
      </c>
      <c r="B14" t="str">
        <f>IFERROR(VLOOKUP(표7[[#This Row],[종목코드]],krxData_재무!$A$6:$E$2805,2,0),"-")</f>
        <v>무학</v>
      </c>
      <c r="C14" t="str">
        <f>IFERROR(VLOOKUP(표7[[#This Row],[종목코드]],pyKrx_Stock!$A$6:$E$262,3,0),"-")</f>
        <v>-</v>
      </c>
      <c r="D14" t="str">
        <f>IFERROR(VLOOKUP(표7[[#This Row],[종목코드]],pyKrx_Stock!$A$6:$E$262,4,0),"-")</f>
        <v>-</v>
      </c>
      <c r="E14" t="str">
        <f>IFERROR(VLOOKUP(표7[[#This Row],[종목코드]],pyKrx_Stock!$A$6:$E$262,5,0),"-")</f>
        <v>-</v>
      </c>
      <c r="F14" t="str">
        <f>IFERROR(VLOOKUP(표7[[#This Row],[종목코드]],krxData_재무!$A$6:$M$2805,6,0),"-")</f>
        <v>-</v>
      </c>
      <c r="G14">
        <f>IFERROR(VLOOKUP(표7[[#This Row],[종목코드]],krxData_재무!$A$6:$M$2805,10,0),"-")</f>
        <v>18143</v>
      </c>
      <c r="H14" t="str">
        <f>IFERROR(VLOOKUP(표7[[#This Row],[종목코드]],krxData_재무!$A$6:$M$2805,7,0),"-")</f>
        <v>-</v>
      </c>
      <c r="I14">
        <f>IFERROR(VLOOKUP(표7[[#This Row],[종목코드]],krxData_재무!$A$6:$M$2805,11,0),"-")</f>
        <v>0.28000000000000003</v>
      </c>
      <c r="J14">
        <f>IFERROR(VLOOKUP(표7[[#This Row],[종목코드]],krxData_재무!$A$6:$M$2805,13,0),"-")</f>
        <v>4.54</v>
      </c>
      <c r="K14" t="str">
        <f>IFERROR(VLOOKUP(표7[[#This Row],[종목명]],fnguide!$B$101:$N$1300,3,0),"-")</f>
        <v>-</v>
      </c>
      <c r="L14" t="str">
        <f>IFERROR(VLOOKUP(표7[[#This Row],[종목명]],fnguide!$B$101:$N$1300,6,0),"-")</f>
        <v>-</v>
      </c>
    </row>
    <row r="15" spans="1:12">
      <c r="A15" s="28">
        <v>55550</v>
      </c>
      <c r="B15" t="str">
        <f>IFERROR(VLOOKUP(표7[[#This Row],[종목코드]],krxData_재무!$A$6:$E$2805,2,0),"-")</f>
        <v>신한지주</v>
      </c>
      <c r="C15">
        <f>IFERROR(VLOOKUP(표7[[#This Row],[종목코드]],pyKrx_Stock!$A$6:$E$262,3,0),"-")</f>
        <v>6.09</v>
      </c>
      <c r="D15">
        <f>IFERROR(VLOOKUP(표7[[#This Row],[종목코드]],pyKrx_Stock!$A$6:$E$262,4,0),"-")</f>
        <v>0.54</v>
      </c>
      <c r="E15">
        <f>IFERROR(VLOOKUP(표7[[#This Row],[종목코드]],pyKrx_Stock!$A$6:$E$262,5,0),"-")</f>
        <v>4.01</v>
      </c>
      <c r="F15">
        <f>IFERROR(VLOOKUP(표7[[#This Row],[종목코드]],krxData_재무!$A$6:$M$2805,6,0),"-")</f>
        <v>8454</v>
      </c>
      <c r="G15">
        <f>IFERROR(VLOOKUP(표7[[#This Row],[종목코드]],krxData_재무!$A$6:$M$2805,10,0),"-")</f>
        <v>95206</v>
      </c>
      <c r="H15">
        <f>IFERROR(VLOOKUP(표7[[#This Row],[종목코드]],krxData_재무!$A$6:$M$2805,7,0),"-")</f>
        <v>5.87</v>
      </c>
      <c r="I15">
        <f>IFERROR(VLOOKUP(표7[[#This Row],[종목코드]],krxData_재무!$A$6:$M$2805,11,0),"-")</f>
        <v>0.52</v>
      </c>
      <c r="J15">
        <f>IFERROR(VLOOKUP(표7[[#This Row],[종목코드]],krxData_재무!$A$6:$M$2805,13,0),"-")</f>
        <v>4.16</v>
      </c>
      <c r="K15">
        <f>IFERROR(VLOOKUP(표7[[#This Row],[종목명]],fnguide!$B$101:$N$1300,3,0),"-")</f>
        <v>42.88</v>
      </c>
      <c r="L15">
        <f>IFERROR(VLOOKUP(표7[[#This Row],[종목명]],fnguide!$B$101:$N$1300,6,0),"-")</f>
        <v>36.58</v>
      </c>
    </row>
    <row r="16" spans="1:12">
      <c r="A16" s="28">
        <v>16360</v>
      </c>
      <c r="B16" t="str">
        <f>IFERROR(VLOOKUP(표7[[#This Row],[종목코드]],krxData_재무!$A$6:$E$2805,2,0),"-")</f>
        <v>삼성증권</v>
      </c>
      <c r="C16">
        <f>IFERROR(VLOOKUP(표7[[#This Row],[종목코드]],pyKrx_Stock!$A$6:$E$262,3,0),"-")</f>
        <v>8.8699999999999992</v>
      </c>
      <c r="D16">
        <f>IFERROR(VLOOKUP(표7[[#This Row],[종목코드]],pyKrx_Stock!$A$6:$E$262,4,0),"-")</f>
        <v>0.6</v>
      </c>
      <c r="E16">
        <f>IFERROR(VLOOKUP(표7[[#This Row],[종목코드]],pyKrx_Stock!$A$6:$E$262,5,0),"-")</f>
        <v>4.05</v>
      </c>
      <c r="F16">
        <f>IFERROR(VLOOKUP(표7[[#This Row],[종목코드]],krxData_재무!$A$6:$M$2805,6,0),"-")</f>
        <v>4730</v>
      </c>
      <c r="G16">
        <f>IFERROR(VLOOKUP(표7[[#This Row],[종목코드]],krxData_재무!$A$6:$M$2805,10,0),"-")</f>
        <v>69383</v>
      </c>
      <c r="H16">
        <f>IFERROR(VLOOKUP(표7[[#This Row],[종목코드]],krxData_재무!$A$6:$M$2805,7,0),"-")</f>
        <v>8.68</v>
      </c>
      <c r="I16">
        <f>IFERROR(VLOOKUP(표7[[#This Row],[종목코드]],krxData_재무!$A$6:$M$2805,11,0),"-")</f>
        <v>0.59</v>
      </c>
      <c r="J16">
        <f>IFERROR(VLOOKUP(표7[[#This Row],[종목코드]],krxData_재무!$A$6:$M$2805,13,0),"-")</f>
        <v>4.1399999999999997</v>
      </c>
      <c r="K16" t="str">
        <f>IFERROR(VLOOKUP(표7[[#This Row],[종목명]],fnguide!$B$101:$N$1300,3,0),"-")</f>
        <v>-</v>
      </c>
      <c r="L16" t="str">
        <f>IFERROR(VLOOKUP(표7[[#This Row],[종목명]],fnguide!$B$101:$N$1300,6,0),"-")</f>
        <v>-</v>
      </c>
    </row>
    <row r="17" spans="1:12">
      <c r="A17" s="28">
        <v>58860</v>
      </c>
      <c r="B17" t="str">
        <f>IFERROR(VLOOKUP(표7[[#This Row],[종목코드]],krxData_재무!$A$6:$E$2805,2,0),"-")</f>
        <v>KTis</v>
      </c>
      <c r="C17">
        <f>IFERROR(VLOOKUP(표7[[#This Row],[종목코드]],pyKrx_Stock!$A$6:$E$262,3,0),"-")</f>
        <v>5.9</v>
      </c>
      <c r="D17">
        <f>IFERROR(VLOOKUP(표7[[#This Row],[종목코드]],pyKrx_Stock!$A$6:$E$262,4,0),"-")</f>
        <v>0.46</v>
      </c>
      <c r="E17">
        <f>IFERROR(VLOOKUP(표7[[#This Row],[종목코드]],pyKrx_Stock!$A$6:$E$262,5,0),"-")</f>
        <v>4.0599999999999996</v>
      </c>
      <c r="F17">
        <f>IFERROR(VLOOKUP(표7[[#This Row],[종목코드]],krxData_재무!$A$6:$M$2805,6,0),"-")</f>
        <v>501</v>
      </c>
      <c r="G17">
        <f>IFERROR(VLOOKUP(표7[[#This Row],[종목코드]],krxData_재무!$A$6:$M$2805,10,0),"-")</f>
        <v>6434</v>
      </c>
      <c r="H17">
        <f>IFERROR(VLOOKUP(표7[[#This Row],[종목코드]],krxData_재무!$A$6:$M$2805,7,0),"-")</f>
        <v>5.87</v>
      </c>
      <c r="I17">
        <f>IFERROR(VLOOKUP(표7[[#This Row],[종목코드]],krxData_재무!$A$6:$M$2805,11,0),"-")</f>
        <v>0.46</v>
      </c>
      <c r="J17">
        <f>IFERROR(VLOOKUP(표7[[#This Row],[종목코드]],krxData_재무!$A$6:$M$2805,13,0),"-")</f>
        <v>4.08</v>
      </c>
      <c r="K17">
        <f>IFERROR(VLOOKUP(표7[[#This Row],[종목명]],fnguide!$B$101:$N$1300,3,0),"-")</f>
        <v>119.32</v>
      </c>
      <c r="L17">
        <f>IFERROR(VLOOKUP(표7[[#This Row],[종목명]],fnguide!$B$101:$N$1300,6,0),"-")</f>
        <v>-12.53</v>
      </c>
    </row>
    <row r="18" spans="1:12">
      <c r="A18" s="28">
        <v>7590</v>
      </c>
      <c r="B18" t="str">
        <f>IFERROR(VLOOKUP(표7[[#This Row],[종목코드]],krxData_재무!$A$6:$E$2805,2,0),"-")</f>
        <v>동방아그로</v>
      </c>
      <c r="C18">
        <f>IFERROR(VLOOKUP(표7[[#This Row],[종목코드]],pyKrx_Stock!$A$6:$E$262,3,0),"-")</f>
        <v>11.5</v>
      </c>
      <c r="D18">
        <f>IFERROR(VLOOKUP(표7[[#This Row],[종목코드]],pyKrx_Stock!$A$6:$E$262,4,0),"-")</f>
        <v>0.52</v>
      </c>
      <c r="E18">
        <f>IFERROR(VLOOKUP(표7[[#This Row],[종목코드]],pyKrx_Stock!$A$6:$E$262,5,0),"-")</f>
        <v>3.98</v>
      </c>
      <c r="F18">
        <f>IFERROR(VLOOKUP(표7[[#This Row],[종목코드]],krxData_재무!$A$6:$M$2805,6,0),"-")</f>
        <v>546</v>
      </c>
      <c r="G18">
        <f>IFERROR(VLOOKUP(표7[[#This Row],[종목코드]],krxData_재무!$A$6:$M$2805,10,0),"-")</f>
        <v>12112</v>
      </c>
      <c r="H18">
        <f>IFERROR(VLOOKUP(표7[[#This Row],[종목코드]],krxData_재무!$A$6:$M$2805,7,0),"-")</f>
        <v>11.56</v>
      </c>
      <c r="I18">
        <f>IFERROR(VLOOKUP(표7[[#This Row],[종목코드]],krxData_재무!$A$6:$M$2805,11,0),"-")</f>
        <v>0.52</v>
      </c>
      <c r="J18">
        <f>IFERROR(VLOOKUP(표7[[#This Row],[종목코드]],krxData_재무!$A$6:$M$2805,13,0),"-")</f>
        <v>3.96</v>
      </c>
      <c r="K18">
        <f>IFERROR(VLOOKUP(표7[[#This Row],[종목명]],fnguide!$B$101:$N$1300,3,0),"-")</f>
        <v>40.49</v>
      </c>
      <c r="L18">
        <f>IFERROR(VLOOKUP(표7[[#This Row],[종목명]],fnguide!$B$101:$N$1300,6,0),"-")</f>
        <v>78.95</v>
      </c>
    </row>
    <row r="19" spans="1:12">
      <c r="A19" s="28">
        <v>390</v>
      </c>
      <c r="B19" t="str">
        <f>IFERROR(VLOOKUP(표7[[#This Row],[종목코드]],krxData_재무!$A$6:$E$2805,2,0),"-")</f>
        <v>삼화페인트</v>
      </c>
      <c r="C19" t="str">
        <f>IFERROR(VLOOKUP(표7[[#This Row],[종목코드]],pyKrx_Stock!$A$6:$E$262,3,0),"-")</f>
        <v>-</v>
      </c>
      <c r="D19" t="str">
        <f>IFERROR(VLOOKUP(표7[[#This Row],[종목코드]],pyKrx_Stock!$A$6:$E$262,4,0),"-")</f>
        <v>-</v>
      </c>
      <c r="E19" t="str">
        <f>IFERROR(VLOOKUP(표7[[#This Row],[종목코드]],pyKrx_Stock!$A$6:$E$262,5,0),"-")</f>
        <v>-</v>
      </c>
      <c r="F19">
        <f>IFERROR(VLOOKUP(표7[[#This Row],[종목코드]],krxData_재무!$A$6:$M$2805,6,0),"-")</f>
        <v>237</v>
      </c>
      <c r="G19">
        <f>IFERROR(VLOOKUP(표7[[#This Row],[종목코드]],krxData_재무!$A$6:$M$2805,10,0),"-")</f>
        <v>12654</v>
      </c>
      <c r="H19">
        <f>IFERROR(VLOOKUP(표7[[#This Row],[종목코드]],krxData_재무!$A$6:$M$2805,7,0),"-")</f>
        <v>27.59</v>
      </c>
      <c r="I19">
        <f>IFERROR(VLOOKUP(표7[[#This Row],[종목코드]],krxData_재무!$A$6:$M$2805,11,0),"-")</f>
        <v>0.52</v>
      </c>
      <c r="J19">
        <f>IFERROR(VLOOKUP(표7[[#This Row],[종목코드]],krxData_재무!$A$6:$M$2805,13,0),"-")</f>
        <v>3.82</v>
      </c>
      <c r="K19" t="str">
        <f>IFERROR(VLOOKUP(표7[[#This Row],[종목명]],fnguide!$B$101:$N$1300,3,0),"-")</f>
        <v>-</v>
      </c>
      <c r="L19" t="str">
        <f>IFERROR(VLOOKUP(표7[[#This Row],[종목명]],fnguide!$B$101:$N$1300,6,0),"-")</f>
        <v>-</v>
      </c>
    </row>
    <row r="20" spans="1:12">
      <c r="A20" s="28">
        <v>91700</v>
      </c>
      <c r="B20" t="str">
        <f>IFERROR(VLOOKUP(표7[[#This Row],[종목코드]],krxData_재무!$A$6:$E$2805,2,0),"-")</f>
        <v>파트론</v>
      </c>
      <c r="C20">
        <f>IFERROR(VLOOKUP(표7[[#This Row],[종목코드]],pyKrx_Stock!$A$6:$E$262,3,0),"-")</f>
        <v>11.41</v>
      </c>
      <c r="D20">
        <f>IFERROR(VLOOKUP(표7[[#This Row],[종목코드]],pyKrx_Stock!$A$6:$E$262,4,0),"-")</f>
        <v>0.91</v>
      </c>
      <c r="E20">
        <f>IFERROR(VLOOKUP(표7[[#This Row],[종목코드]],pyKrx_Stock!$A$6:$E$262,5,0),"-")</f>
        <v>3.75</v>
      </c>
      <c r="F20">
        <f>IFERROR(VLOOKUP(표7[[#This Row],[종목코드]],krxData_재무!$A$6:$M$2805,6,0),"-")</f>
        <v>700</v>
      </c>
      <c r="G20">
        <f>IFERROR(VLOOKUP(표7[[#This Row],[종목코드]],krxData_재무!$A$6:$M$2805,10,0),"-")</f>
        <v>8739</v>
      </c>
      <c r="H20">
        <f>IFERROR(VLOOKUP(표7[[#This Row],[종목코드]],krxData_재무!$A$6:$M$2805,7,0),"-")</f>
        <v>11.24</v>
      </c>
      <c r="I20">
        <f>IFERROR(VLOOKUP(표7[[#This Row],[종목코드]],krxData_재무!$A$6:$M$2805,11,0),"-")</f>
        <v>0.9</v>
      </c>
      <c r="J20">
        <f>IFERROR(VLOOKUP(표7[[#This Row],[종목코드]],krxData_재무!$A$6:$M$2805,13,0),"-")</f>
        <v>3.81</v>
      </c>
      <c r="K20" t="str">
        <f>IFERROR(VLOOKUP(표7[[#This Row],[종목명]],fnguide!$B$101:$N$1300,3,0),"-")</f>
        <v>-</v>
      </c>
      <c r="L20" t="str">
        <f>IFERROR(VLOOKUP(표7[[#This Row],[종목명]],fnguide!$B$101:$N$1300,6,0),"-")</f>
        <v>-</v>
      </c>
    </row>
    <row r="21" spans="1:12">
      <c r="A21" s="28">
        <v>45100</v>
      </c>
      <c r="B21" t="str">
        <f>IFERROR(VLOOKUP(표7[[#This Row],[종목코드]],krxData_재무!$A$6:$E$2805,2,0),"-")</f>
        <v>한양이엔지</v>
      </c>
      <c r="C21">
        <f>IFERROR(VLOOKUP(표7[[#This Row],[종목코드]],pyKrx_Stock!$A$6:$E$262,3,0),"-")</f>
        <v>4.24</v>
      </c>
      <c r="D21">
        <f>IFERROR(VLOOKUP(표7[[#This Row],[종목코드]],pyKrx_Stock!$A$6:$E$262,4,0),"-")</f>
        <v>0.62</v>
      </c>
      <c r="E21">
        <f>IFERROR(VLOOKUP(표7[[#This Row],[종목코드]],pyKrx_Stock!$A$6:$E$262,5,0),"-")</f>
        <v>3.5</v>
      </c>
      <c r="F21">
        <f>IFERROR(VLOOKUP(표7[[#This Row],[종목코드]],krxData_재무!$A$6:$M$2805,6,0),"-")</f>
        <v>4044</v>
      </c>
      <c r="G21">
        <f>IFERROR(VLOOKUP(표7[[#This Row],[종목코드]],krxData_재무!$A$6:$M$2805,10,0),"-")</f>
        <v>27595</v>
      </c>
      <c r="H21">
        <f>IFERROR(VLOOKUP(표7[[#This Row],[종목코드]],krxData_재무!$A$6:$M$2805,7,0),"-")</f>
        <v>4.1500000000000004</v>
      </c>
      <c r="I21">
        <f>IFERROR(VLOOKUP(표7[[#This Row],[종목코드]],krxData_재무!$A$6:$M$2805,11,0),"-")</f>
        <v>0.61</v>
      </c>
      <c r="J21">
        <f>IFERROR(VLOOKUP(표7[[#This Row],[종목코드]],krxData_재무!$A$6:$M$2805,13,0),"-")</f>
        <v>3.58</v>
      </c>
      <c r="K21" t="str">
        <f>IFERROR(VLOOKUP(표7[[#This Row],[종목명]],fnguide!$B$101:$N$1300,3,0),"-")</f>
        <v>-</v>
      </c>
      <c r="L21" t="str">
        <f>IFERROR(VLOOKUP(표7[[#This Row],[종목명]],fnguide!$B$101:$N$1300,6,0),"-")</f>
        <v>-</v>
      </c>
    </row>
    <row r="22" spans="1:12">
      <c r="A22" s="28">
        <v>138070</v>
      </c>
      <c r="B22" t="str">
        <f>IFERROR(VLOOKUP(표7[[#This Row],[종목코드]],krxData_재무!$A$6:$E$2805,2,0),"-")</f>
        <v>신진에스엠</v>
      </c>
      <c r="C22">
        <f>IFERROR(VLOOKUP(표7[[#This Row],[종목코드]],pyKrx_Stock!$A$6:$E$262,3,0),"-")</f>
        <v>11.29</v>
      </c>
      <c r="D22">
        <f>IFERROR(VLOOKUP(표7[[#This Row],[종목코드]],pyKrx_Stock!$A$6:$E$262,4,0),"-")</f>
        <v>0.64</v>
      </c>
      <c r="E22">
        <f>IFERROR(VLOOKUP(표7[[#This Row],[종목코드]],pyKrx_Stock!$A$6:$E$262,5,0),"-")</f>
        <v>3.47</v>
      </c>
      <c r="F22">
        <f>IFERROR(VLOOKUP(표7[[#This Row],[종목코드]],krxData_재무!$A$6:$M$2805,6,0),"-")</f>
        <v>255</v>
      </c>
      <c r="G22">
        <f>IFERROR(VLOOKUP(표7[[#This Row],[종목코드]],krxData_재무!$A$6:$M$2805,10,0),"-")</f>
        <v>4467</v>
      </c>
      <c r="H22">
        <f>IFERROR(VLOOKUP(표7[[#This Row],[종목코드]],krxData_재무!$A$6:$M$2805,7,0),"-")</f>
        <v>11.61</v>
      </c>
      <c r="I22">
        <f>IFERROR(VLOOKUP(표7[[#This Row],[종목코드]],krxData_재무!$A$6:$M$2805,11,0),"-")</f>
        <v>0.66</v>
      </c>
      <c r="J22">
        <f>IFERROR(VLOOKUP(표7[[#This Row],[종목코드]],krxData_재무!$A$6:$M$2805,13,0),"-")</f>
        <v>3.38</v>
      </c>
      <c r="K22">
        <f>IFERROR(VLOOKUP(표7[[#This Row],[종목명]],fnguide!$B$101:$N$1300,3,0),"-")</f>
        <v>28.92</v>
      </c>
      <c r="L22">
        <f>IFERROR(VLOOKUP(표7[[#This Row],[종목명]],fnguide!$B$101:$N$1300,6,0),"-")</f>
        <v>9.7799999999999994</v>
      </c>
    </row>
    <row r="23" spans="1:12">
      <c r="A23" s="28">
        <v>1560</v>
      </c>
      <c r="B23" t="str">
        <f>IFERROR(VLOOKUP(표7[[#This Row],[종목코드]],krxData_재무!$A$6:$E$2805,2,0),"-")</f>
        <v>제일연마</v>
      </c>
      <c r="C23" t="str">
        <f>IFERROR(VLOOKUP(표7[[#This Row],[종목코드]],pyKrx_Stock!$A$6:$E$262,3,0),"-")</f>
        <v>-</v>
      </c>
      <c r="D23" t="str">
        <f>IFERROR(VLOOKUP(표7[[#This Row],[종목코드]],pyKrx_Stock!$A$6:$E$262,4,0),"-")</f>
        <v>-</v>
      </c>
      <c r="E23" t="str">
        <f>IFERROR(VLOOKUP(표7[[#This Row],[종목코드]],pyKrx_Stock!$A$6:$E$262,5,0),"-")</f>
        <v>-</v>
      </c>
      <c r="F23">
        <f>IFERROR(VLOOKUP(표7[[#This Row],[종목코드]],krxData_재무!$A$6:$M$2805,6,0),"-")</f>
        <v>297</v>
      </c>
      <c r="G23">
        <f>IFERROR(VLOOKUP(표7[[#This Row],[종목코드]],krxData_재무!$A$6:$M$2805,10,0),"-")</f>
        <v>12792</v>
      </c>
      <c r="H23">
        <f>IFERROR(VLOOKUP(표7[[#This Row],[종목코드]],krxData_재무!$A$6:$M$2805,7,0),"-")</f>
        <v>29.06</v>
      </c>
      <c r="I23">
        <f>IFERROR(VLOOKUP(표7[[#This Row],[종목코드]],krxData_재무!$A$6:$M$2805,11,0),"-")</f>
        <v>0.67</v>
      </c>
      <c r="J23">
        <f>IFERROR(VLOOKUP(표7[[#This Row],[종목코드]],krxData_재무!$A$6:$M$2805,13,0),"-")</f>
        <v>3.13</v>
      </c>
      <c r="K23" t="str">
        <f>IFERROR(VLOOKUP(표7[[#This Row],[종목명]],fnguide!$B$101:$N$1300,3,0),"-")</f>
        <v>-</v>
      </c>
      <c r="L23" t="str">
        <f>IFERROR(VLOOKUP(표7[[#This Row],[종목명]],fnguide!$B$101:$N$1300,6,0),"-")</f>
        <v>-</v>
      </c>
    </row>
    <row r="24" spans="1:12">
      <c r="A24" s="28">
        <v>32560</v>
      </c>
      <c r="B24" t="str">
        <f>IFERROR(VLOOKUP(표7[[#This Row],[종목코드]],krxData_재무!$A$6:$E$2805,2,0),"-")</f>
        <v>황금에스티</v>
      </c>
      <c r="C24" t="str">
        <f>IFERROR(VLOOKUP(표7[[#This Row],[종목코드]],pyKrx_Stock!$A$6:$E$262,3,0),"-")</f>
        <v>-</v>
      </c>
      <c r="D24" t="str">
        <f>IFERROR(VLOOKUP(표7[[#This Row],[종목코드]],pyKrx_Stock!$A$6:$E$262,4,0),"-")</f>
        <v>-</v>
      </c>
      <c r="E24" t="str">
        <f>IFERROR(VLOOKUP(표7[[#This Row],[종목코드]],pyKrx_Stock!$A$6:$E$262,5,0),"-")</f>
        <v>-</v>
      </c>
      <c r="F24">
        <f>IFERROR(VLOOKUP(표7[[#This Row],[종목코드]],krxData_재무!$A$6:$M$2805,6,0),"-")</f>
        <v>2380</v>
      </c>
      <c r="G24">
        <f>IFERROR(VLOOKUP(표7[[#This Row],[종목코드]],krxData_재무!$A$6:$M$2805,10,0),"-")</f>
        <v>19636</v>
      </c>
      <c r="H24">
        <f>IFERROR(VLOOKUP(표7[[#This Row],[종목코드]],krxData_재무!$A$6:$M$2805,7,0),"-")</f>
        <v>2.93</v>
      </c>
      <c r="I24">
        <f>IFERROR(VLOOKUP(표7[[#This Row],[종목코드]],krxData_재무!$A$6:$M$2805,11,0),"-")</f>
        <v>0.35</v>
      </c>
      <c r="J24">
        <f>IFERROR(VLOOKUP(표7[[#This Row],[종목코드]],krxData_재무!$A$6:$M$2805,13,0),"-")</f>
        <v>2.87</v>
      </c>
      <c r="K24">
        <f>IFERROR(VLOOKUP(표7[[#This Row],[종목명]],fnguide!$B$101:$N$1300,3,0),"-")</f>
        <v>17.86</v>
      </c>
      <c r="L24">
        <f>IFERROR(VLOOKUP(표7[[#This Row],[종목명]],fnguide!$B$101:$N$1300,6,0),"-")</f>
        <v>-9.0500000000000007</v>
      </c>
    </row>
    <row r="25" spans="1:12">
      <c r="A25" s="28">
        <v>5490</v>
      </c>
      <c r="B25" t="str">
        <f>IFERROR(VLOOKUP(표7[[#This Row],[종목코드]],krxData_재무!$A$6:$E$2805,2,0),"-")</f>
        <v>POSCO홀딩스</v>
      </c>
      <c r="C25" t="str">
        <f>IFERROR(VLOOKUP(표7[[#This Row],[종목코드]],pyKrx_Stock!$A$6:$E$262,3,0),"-")</f>
        <v>-</v>
      </c>
      <c r="D25" t="str">
        <f>IFERROR(VLOOKUP(표7[[#This Row],[종목코드]],pyKrx_Stock!$A$6:$E$262,4,0),"-")</f>
        <v>-</v>
      </c>
      <c r="E25" t="str">
        <f>IFERROR(VLOOKUP(표7[[#This Row],[종목코드]],pyKrx_Stock!$A$6:$E$262,5,0),"-")</f>
        <v>-</v>
      </c>
      <c r="F25">
        <f>IFERROR(VLOOKUP(표7[[#This Row],[종목코드]],krxData_재무!$A$6:$M$2805,6,0),"-")</f>
        <v>41456</v>
      </c>
      <c r="G25">
        <f>IFERROR(VLOOKUP(표7[[#This Row],[종목코드]],krxData_재무!$A$6:$M$2805,10,0),"-")</f>
        <v>692323</v>
      </c>
      <c r="H25">
        <f>IFERROR(VLOOKUP(표7[[#This Row],[종목코드]],krxData_재무!$A$6:$M$2805,7,0),"-")</f>
        <v>10.49</v>
      </c>
      <c r="I25">
        <f>IFERROR(VLOOKUP(표7[[#This Row],[종목코드]],krxData_재무!$A$6:$M$2805,11,0),"-")</f>
        <v>0.63</v>
      </c>
      <c r="J25">
        <f>IFERROR(VLOOKUP(표7[[#This Row],[종목코드]],krxData_재무!$A$6:$M$2805,13,0),"-")</f>
        <v>2.76</v>
      </c>
      <c r="K25" t="str">
        <f>IFERROR(VLOOKUP(표7[[#This Row],[종목명]],fnguide!$B$101:$N$1300,3,0),"-")</f>
        <v>-</v>
      </c>
      <c r="L25" t="str">
        <f>IFERROR(VLOOKUP(표7[[#This Row],[종목명]],fnguide!$B$101:$N$1300,6,0),"-")</f>
        <v>-</v>
      </c>
    </row>
    <row r="26" spans="1:12">
      <c r="A26" s="28">
        <v>10060</v>
      </c>
      <c r="B26" t="str">
        <f>IFERROR(VLOOKUP(표7[[#This Row],[종목코드]],krxData_재무!$A$6:$E$2805,2,0),"-")</f>
        <v>OCI홀딩스</v>
      </c>
      <c r="C26" t="str">
        <f>IFERROR(VLOOKUP(표7[[#This Row],[종목코드]],pyKrx_Stock!$A$6:$E$262,3,0),"-")</f>
        <v>-</v>
      </c>
      <c r="D26" t="str">
        <f>IFERROR(VLOOKUP(표7[[#This Row],[종목코드]],pyKrx_Stock!$A$6:$E$262,4,0),"-")</f>
        <v>-</v>
      </c>
      <c r="E26" t="str">
        <f>IFERROR(VLOOKUP(표7[[#This Row],[종목코드]],pyKrx_Stock!$A$6:$E$262,5,0),"-")</f>
        <v>-</v>
      </c>
      <c r="F26">
        <f>IFERROR(VLOOKUP(표7[[#This Row],[종목코드]],krxData_재무!$A$6:$M$2805,6,0),"-")</f>
        <v>36941</v>
      </c>
      <c r="G26">
        <f>IFERROR(VLOOKUP(표7[[#This Row],[종목코드]],krxData_재무!$A$6:$M$2805,10,0),"-")</f>
        <v>166136</v>
      </c>
      <c r="H26">
        <f>IFERROR(VLOOKUP(표7[[#This Row],[종목코드]],krxData_재무!$A$6:$M$2805,7,0),"-")</f>
        <v>2.6</v>
      </c>
      <c r="I26">
        <f>IFERROR(VLOOKUP(표7[[#This Row],[종목코드]],krxData_재무!$A$6:$M$2805,11,0),"-")</f>
        <v>0.57999999999999996</v>
      </c>
      <c r="J26">
        <f>IFERROR(VLOOKUP(표7[[#This Row],[종목코드]],krxData_재무!$A$6:$M$2805,13,0),"-")</f>
        <v>2.61</v>
      </c>
      <c r="K26">
        <f>IFERROR(VLOOKUP(표7[[#This Row],[종목명]],fnguide!$B$101:$N$1300,3,0),"-")</f>
        <v>3.59</v>
      </c>
      <c r="L26">
        <f>IFERROR(VLOOKUP(표7[[#This Row],[종목명]],fnguide!$B$101:$N$1300,6,0),"-")</f>
        <v>343.56</v>
      </c>
    </row>
    <row r="27" spans="1:12">
      <c r="A27" s="28">
        <v>3610</v>
      </c>
      <c r="B27" t="str">
        <f>IFERROR(VLOOKUP(표7[[#This Row],[종목코드]],krxData_재무!$A$6:$E$2805,2,0),"-")</f>
        <v>방림</v>
      </c>
      <c r="C27" t="str">
        <f>IFERROR(VLOOKUP(표7[[#This Row],[종목코드]],pyKrx_Stock!$A$6:$E$262,3,0),"-")</f>
        <v>-</v>
      </c>
      <c r="D27" t="str">
        <f>IFERROR(VLOOKUP(표7[[#This Row],[종목코드]],pyKrx_Stock!$A$6:$E$262,4,0),"-")</f>
        <v>-</v>
      </c>
      <c r="E27" t="str">
        <f>IFERROR(VLOOKUP(표7[[#This Row],[종목코드]],pyKrx_Stock!$A$6:$E$262,5,0),"-")</f>
        <v>-</v>
      </c>
      <c r="F27">
        <f>IFERROR(VLOOKUP(표7[[#This Row],[종목코드]],krxData_재무!$A$6:$M$2805,6,0),"-")</f>
        <v>152</v>
      </c>
      <c r="G27">
        <f>IFERROR(VLOOKUP(표7[[#This Row],[종목코드]],krxData_재무!$A$6:$M$2805,10,0),"-")</f>
        <v>5532</v>
      </c>
      <c r="H27">
        <f>IFERROR(VLOOKUP(표7[[#This Row],[종목코드]],krxData_재무!$A$6:$M$2805,7,0),"-")</f>
        <v>13.62</v>
      </c>
      <c r="I27">
        <f>IFERROR(VLOOKUP(표7[[#This Row],[종목코드]],krxData_재무!$A$6:$M$2805,11,0),"-")</f>
        <v>0.37</v>
      </c>
      <c r="J27">
        <f>IFERROR(VLOOKUP(표7[[#This Row],[종목코드]],krxData_재무!$A$6:$M$2805,13,0),"-")</f>
        <v>2.17</v>
      </c>
      <c r="K27" t="str">
        <f>IFERROR(VLOOKUP(표7[[#This Row],[종목명]],fnguide!$B$101:$N$1300,3,0),"-")</f>
        <v>-</v>
      </c>
      <c r="L27" t="str">
        <f>IFERROR(VLOOKUP(표7[[#This Row],[종목명]],fnguide!$B$101:$N$1300,6,0),"-")</f>
        <v>-</v>
      </c>
    </row>
    <row r="28" spans="1:12">
      <c r="A28" s="28">
        <v>35250</v>
      </c>
      <c r="B28" t="str">
        <f>IFERROR(VLOOKUP(표7[[#This Row],[종목코드]],krxData_재무!$A$6:$E$2805,2,0),"-")</f>
        <v>강원랜드</v>
      </c>
      <c r="C28" t="str">
        <f>IFERROR(VLOOKUP(표7[[#This Row],[종목코드]],pyKrx_Stock!$A$6:$E$262,3,0),"-")</f>
        <v>-</v>
      </c>
      <c r="D28" t="str">
        <f>IFERROR(VLOOKUP(표7[[#This Row],[종목코드]],pyKrx_Stock!$A$6:$E$262,4,0),"-")</f>
        <v>-</v>
      </c>
      <c r="E28" t="str">
        <f>IFERROR(VLOOKUP(표7[[#This Row],[종목코드]],pyKrx_Stock!$A$6:$E$262,5,0),"-")</f>
        <v>-</v>
      </c>
      <c r="F28">
        <f>IFERROR(VLOOKUP(표7[[#This Row],[종목코드]],krxData_재무!$A$6:$M$2805,6,0),"-")</f>
        <v>570</v>
      </c>
      <c r="G28">
        <f>IFERROR(VLOOKUP(표7[[#This Row],[종목코드]],krxData_재무!$A$6:$M$2805,10,0),"-")</f>
        <v>16846</v>
      </c>
      <c r="H28">
        <f>IFERROR(VLOOKUP(표7[[#This Row],[종목코드]],krxData_재무!$A$6:$M$2805,7,0),"-")</f>
        <v>29.12</v>
      </c>
      <c r="I28">
        <f>IFERROR(VLOOKUP(표7[[#This Row],[종목코드]],krxData_재무!$A$6:$M$2805,11,0),"-")</f>
        <v>0.99</v>
      </c>
      <c r="J28">
        <f>IFERROR(VLOOKUP(표7[[#This Row],[종목코드]],krxData_재무!$A$6:$M$2805,13,0),"-")</f>
        <v>2.11</v>
      </c>
      <c r="K28">
        <f>IFERROR(VLOOKUP(표7[[#This Row],[종목명]],fnguide!$B$101:$N$1300,3,0),"-")</f>
        <v>21.86</v>
      </c>
      <c r="L28" t="str">
        <f>IFERROR(VLOOKUP(표7[[#This Row],[종목명]],fnguide!$B$101:$N$1300,6,0),"-")</f>
        <v>흑전</v>
      </c>
    </row>
    <row r="29" spans="1:12">
      <c r="A29" s="28">
        <v>1740</v>
      </c>
      <c r="B29" t="str">
        <f>IFERROR(VLOOKUP(표7[[#This Row],[종목코드]],krxData_재무!$A$6:$E$2805,2,0),"-")</f>
        <v>SK네트웍스</v>
      </c>
      <c r="C29" t="str">
        <f>IFERROR(VLOOKUP(표7[[#This Row],[종목코드]],pyKrx_Stock!$A$6:$E$262,3,0),"-")</f>
        <v>-</v>
      </c>
      <c r="D29" t="str">
        <f>IFERROR(VLOOKUP(표7[[#This Row],[종목코드]],pyKrx_Stock!$A$6:$E$262,4,0),"-")</f>
        <v>-</v>
      </c>
      <c r="E29" t="str">
        <f>IFERROR(VLOOKUP(표7[[#This Row],[종목코드]],pyKrx_Stock!$A$6:$E$262,5,0),"-")</f>
        <v>-</v>
      </c>
      <c r="F29">
        <f>IFERROR(VLOOKUP(표7[[#This Row],[종목코드]],krxData_재무!$A$6:$M$2805,6,0),"-")</f>
        <v>395</v>
      </c>
      <c r="G29">
        <f>IFERROR(VLOOKUP(표7[[#This Row],[종목코드]],krxData_재무!$A$6:$M$2805,10,0),"-")</f>
        <v>10311</v>
      </c>
      <c r="H29">
        <f>IFERROR(VLOOKUP(표7[[#This Row],[종목코드]],krxData_재무!$A$6:$M$2805,7,0),"-")</f>
        <v>15.7</v>
      </c>
      <c r="I29">
        <f>IFERROR(VLOOKUP(표7[[#This Row],[종목코드]],krxData_재무!$A$6:$M$2805,11,0),"-")</f>
        <v>0.6</v>
      </c>
      <c r="J29">
        <f>IFERROR(VLOOKUP(표7[[#This Row],[종목코드]],krxData_재무!$A$6:$M$2805,13,0),"-")</f>
        <v>1.94</v>
      </c>
      <c r="K29" t="str">
        <f>IFERROR(VLOOKUP(표7[[#This Row],[종목명]],fnguide!$B$101:$N$1300,3,0),"-")</f>
        <v>-</v>
      </c>
      <c r="L29" t="str">
        <f>IFERROR(VLOOKUP(표7[[#This Row],[종목명]],fnguide!$B$101:$N$1300,6,0),"-")</f>
        <v>-</v>
      </c>
    </row>
    <row r="30" spans="1:12">
      <c r="A30" s="28">
        <v>5820</v>
      </c>
      <c r="B30" t="str">
        <f>IFERROR(VLOOKUP(표7[[#This Row],[종목코드]],krxData_재무!$A$6:$E$2805,2,0),"-")</f>
        <v>원림</v>
      </c>
      <c r="C30" t="str">
        <f>IFERROR(VLOOKUP(표7[[#This Row],[종목코드]],pyKrx_Stock!$A$6:$E$262,3,0),"-")</f>
        <v>-</v>
      </c>
      <c r="D30" t="str">
        <f>IFERROR(VLOOKUP(표7[[#This Row],[종목코드]],pyKrx_Stock!$A$6:$E$262,4,0),"-")</f>
        <v>-</v>
      </c>
      <c r="E30" t="str">
        <f>IFERROR(VLOOKUP(표7[[#This Row],[종목코드]],pyKrx_Stock!$A$6:$E$262,5,0),"-")</f>
        <v>-</v>
      </c>
      <c r="F30">
        <f>IFERROR(VLOOKUP(표7[[#This Row],[종목코드]],krxData_재무!$A$6:$M$2805,6,0),"-")</f>
        <v>3500</v>
      </c>
      <c r="G30">
        <f>IFERROR(VLOOKUP(표7[[#This Row],[종목코드]],krxData_재무!$A$6:$M$2805,10,0),"-")</f>
        <v>55263</v>
      </c>
      <c r="H30">
        <f>IFERROR(VLOOKUP(표7[[#This Row],[종목코드]],krxData_재무!$A$6:$M$2805,7,0),"-")</f>
        <v>5.38</v>
      </c>
      <c r="I30">
        <f>IFERROR(VLOOKUP(표7[[#This Row],[종목코드]],krxData_재무!$A$6:$M$2805,11,0),"-")</f>
        <v>0.34</v>
      </c>
      <c r="J30">
        <f>IFERROR(VLOOKUP(표7[[#This Row],[종목코드]],krxData_재무!$A$6:$M$2805,13,0),"-")</f>
        <v>1.86</v>
      </c>
      <c r="K30" t="str">
        <f>IFERROR(VLOOKUP(표7[[#This Row],[종목명]],fnguide!$B$101:$N$1300,3,0),"-")</f>
        <v>-</v>
      </c>
      <c r="L30" t="str">
        <f>IFERROR(VLOOKUP(표7[[#This Row],[종목명]],fnguide!$B$101:$N$1300,6,0),"-")</f>
        <v>-</v>
      </c>
    </row>
    <row r="31" spans="1:12">
      <c r="A31" s="28">
        <v>720</v>
      </c>
      <c r="B31" t="str">
        <f>IFERROR(VLOOKUP(표7[[#This Row],[종목코드]],krxData_재무!$A$6:$E$2805,2,0),"-")</f>
        <v>현대건설</v>
      </c>
      <c r="C31" t="str">
        <f>IFERROR(VLOOKUP(표7[[#This Row],[종목코드]],pyKrx_Stock!$A$6:$E$262,3,0),"-")</f>
        <v>-</v>
      </c>
      <c r="D31" t="str">
        <f>IFERROR(VLOOKUP(표7[[#This Row],[종목코드]],pyKrx_Stock!$A$6:$E$262,4,0),"-")</f>
        <v>-</v>
      </c>
      <c r="E31" t="str">
        <f>IFERROR(VLOOKUP(표7[[#This Row],[종목코드]],pyKrx_Stock!$A$6:$E$262,5,0),"-")</f>
        <v>-</v>
      </c>
      <c r="F31">
        <f>IFERROR(VLOOKUP(표7[[#This Row],[종목코드]],krxData_재무!$A$6:$M$2805,6,0),"-")</f>
        <v>3637</v>
      </c>
      <c r="G31">
        <f>IFERROR(VLOOKUP(표7[[#This Row],[종목코드]],krxData_재무!$A$6:$M$2805,10,0),"-")</f>
        <v>69028</v>
      </c>
      <c r="H31">
        <f>IFERROR(VLOOKUP(표7[[#This Row],[종목코드]],krxData_재무!$A$6:$M$2805,7,0),"-")</f>
        <v>9.49</v>
      </c>
      <c r="I31">
        <f>IFERROR(VLOOKUP(표7[[#This Row],[종목코드]],krxData_재무!$A$6:$M$2805,11,0),"-")</f>
        <v>0.5</v>
      </c>
      <c r="J31">
        <f>IFERROR(VLOOKUP(표7[[#This Row],[종목코드]],krxData_재무!$A$6:$M$2805,13,0),"-")</f>
        <v>1.74</v>
      </c>
      <c r="K31">
        <f>IFERROR(VLOOKUP(표7[[#This Row],[종목명]],fnguide!$B$101:$N$1300,3,0),"-")</f>
        <v>123.45</v>
      </c>
      <c r="L31">
        <f>IFERROR(VLOOKUP(표7[[#This Row],[종목명]],fnguide!$B$101:$N$1300,6,0),"-")</f>
        <v>7.37</v>
      </c>
    </row>
    <row r="32" spans="1:12">
      <c r="A32" s="28">
        <v>92460</v>
      </c>
      <c r="B32" t="str">
        <f>IFERROR(VLOOKUP(표7[[#This Row],[종목코드]],krxData_재무!$A$6:$E$2805,2,0),"-")</f>
        <v>한라IMS</v>
      </c>
      <c r="C32" t="str">
        <f>IFERROR(VLOOKUP(표7[[#This Row],[종목코드]],pyKrx_Stock!$A$6:$E$262,3,0),"-")</f>
        <v>-</v>
      </c>
      <c r="D32" t="str">
        <f>IFERROR(VLOOKUP(표7[[#This Row],[종목코드]],pyKrx_Stock!$A$6:$E$262,4,0),"-")</f>
        <v>-</v>
      </c>
      <c r="E32" t="str">
        <f>IFERROR(VLOOKUP(표7[[#This Row],[종목코드]],pyKrx_Stock!$A$6:$E$262,5,0),"-")</f>
        <v>-</v>
      </c>
      <c r="F32">
        <f>IFERROR(VLOOKUP(표7[[#This Row],[종목코드]],krxData_재무!$A$6:$M$2805,6,0),"-")</f>
        <v>470</v>
      </c>
      <c r="G32">
        <f>IFERROR(VLOOKUP(표7[[#This Row],[종목코드]],krxData_재무!$A$6:$M$2805,10,0),"-")</f>
        <v>5683</v>
      </c>
      <c r="H32">
        <f>IFERROR(VLOOKUP(표7[[#This Row],[종목코드]],krxData_재무!$A$6:$M$2805,7,0),"-")</f>
        <v>12.66</v>
      </c>
      <c r="I32">
        <f>IFERROR(VLOOKUP(표7[[#This Row],[종목코드]],krxData_재무!$A$6:$M$2805,11,0),"-")</f>
        <v>1.05</v>
      </c>
      <c r="J32">
        <f>IFERROR(VLOOKUP(표7[[#This Row],[종목코드]],krxData_재무!$A$6:$M$2805,13,0),"-")</f>
        <v>1.68</v>
      </c>
      <c r="K32" t="str">
        <f>IFERROR(VLOOKUP(표7[[#This Row],[종목명]],fnguide!$B$101:$N$1300,3,0),"-")</f>
        <v>-</v>
      </c>
      <c r="L32" t="str">
        <f>IFERROR(VLOOKUP(표7[[#This Row],[종목명]],fnguide!$B$101:$N$1300,6,0),"-")</f>
        <v>-</v>
      </c>
    </row>
    <row r="33" spans="1:12">
      <c r="A33" s="28">
        <v>23160</v>
      </c>
      <c r="B33" t="str">
        <f>IFERROR(VLOOKUP(표7[[#This Row],[종목코드]],krxData_재무!$A$6:$E$2805,2,0),"-")</f>
        <v>태광</v>
      </c>
      <c r="C33" t="str">
        <f>IFERROR(VLOOKUP(표7[[#This Row],[종목코드]],pyKrx_Stock!$A$6:$E$262,3,0),"-")</f>
        <v>-</v>
      </c>
      <c r="D33" t="str">
        <f>IFERROR(VLOOKUP(표7[[#This Row],[종목코드]],pyKrx_Stock!$A$6:$E$262,4,0),"-")</f>
        <v>-</v>
      </c>
      <c r="E33" t="str">
        <f>IFERROR(VLOOKUP(표7[[#This Row],[종목코드]],pyKrx_Stock!$A$6:$E$262,5,0),"-")</f>
        <v>-</v>
      </c>
      <c r="F33">
        <f>IFERROR(VLOOKUP(표7[[#This Row],[종목코드]],krxData_재무!$A$6:$M$2805,6,0),"-")</f>
        <v>1383</v>
      </c>
      <c r="G33">
        <f>IFERROR(VLOOKUP(표7[[#This Row],[종목코드]],krxData_재무!$A$6:$M$2805,10,0),"-")</f>
        <v>18560</v>
      </c>
      <c r="H33">
        <f>IFERROR(VLOOKUP(표7[[#This Row],[종목코드]],krxData_재무!$A$6:$M$2805,7,0),"-")</f>
        <v>9.19</v>
      </c>
      <c r="I33">
        <f>IFERROR(VLOOKUP(표7[[#This Row],[종목코드]],krxData_재무!$A$6:$M$2805,11,0),"-")</f>
        <v>0.68</v>
      </c>
      <c r="J33">
        <f>IFERROR(VLOOKUP(표7[[#This Row],[종목코드]],krxData_재무!$A$6:$M$2805,13,0),"-")</f>
        <v>1.34</v>
      </c>
      <c r="K33">
        <f>IFERROR(VLOOKUP(표7[[#This Row],[종목명]],fnguide!$B$101:$N$1300,3,0),"-")</f>
        <v>11.49</v>
      </c>
      <c r="L33">
        <f>IFERROR(VLOOKUP(표7[[#This Row],[종목명]],fnguide!$B$101:$N$1300,6,0),"-")</f>
        <v>193.84</v>
      </c>
    </row>
    <row r="34" spans="1:12">
      <c r="A34" s="28">
        <v>1810</v>
      </c>
      <c r="B34" t="str">
        <f>IFERROR(VLOOKUP(표7[[#This Row],[종목코드]],krxData_재무!$A$6:$E$2805,2,0),"-")</f>
        <v>무림SP</v>
      </c>
      <c r="C34" t="str">
        <f>IFERROR(VLOOKUP(표7[[#This Row],[종목코드]],pyKrx_Stock!$A$6:$E$262,3,0),"-")</f>
        <v>-</v>
      </c>
      <c r="D34" t="str">
        <f>IFERROR(VLOOKUP(표7[[#This Row],[종목코드]],pyKrx_Stock!$A$6:$E$262,4,0),"-")</f>
        <v>-</v>
      </c>
      <c r="E34" t="str">
        <f>IFERROR(VLOOKUP(표7[[#This Row],[종목코드]],pyKrx_Stock!$A$6:$E$262,5,0),"-")</f>
        <v>-</v>
      </c>
      <c r="F34" t="str">
        <f>IFERROR(VLOOKUP(표7[[#This Row],[종목코드]],krxData_재무!$A$6:$M$2805,6,0),"-")</f>
        <v>-</v>
      </c>
      <c r="G34">
        <f>IFERROR(VLOOKUP(표7[[#This Row],[종목코드]],krxData_재무!$A$6:$M$2805,10,0),"-")</f>
        <v>9321</v>
      </c>
      <c r="H34" t="str">
        <f>IFERROR(VLOOKUP(표7[[#This Row],[종목코드]],krxData_재무!$A$6:$M$2805,7,0),"-")</f>
        <v>-</v>
      </c>
      <c r="I34">
        <f>IFERROR(VLOOKUP(표7[[#This Row],[종목코드]],krxData_재무!$A$6:$M$2805,11,0),"-")</f>
        <v>0.19</v>
      </c>
      <c r="J34">
        <f>IFERROR(VLOOKUP(표7[[#This Row],[종목코드]],krxData_재무!$A$6:$M$2805,13,0),"-")</f>
        <v>0.83</v>
      </c>
      <c r="K34" t="str">
        <f>IFERROR(VLOOKUP(표7[[#This Row],[종목명]],fnguide!$B$101:$N$1300,3,0),"-")</f>
        <v>-</v>
      </c>
      <c r="L34" t="str">
        <f>IFERROR(VLOOKUP(표7[[#This Row],[종목명]],fnguide!$B$101:$N$1300,6,0),"-")</f>
        <v>-</v>
      </c>
    </row>
    <row r="35" spans="1:12">
      <c r="A35" s="28">
        <v>7770</v>
      </c>
      <c r="B35" t="str">
        <f>IFERROR(VLOOKUP(표7[[#This Row],[종목코드]],krxData_재무!$A$6:$E$2805,2,0),"-")</f>
        <v>한일화학</v>
      </c>
      <c r="C35" t="str">
        <f>IFERROR(VLOOKUP(표7[[#This Row],[종목코드]],pyKrx_Stock!$A$6:$E$262,3,0),"-")</f>
        <v>-</v>
      </c>
      <c r="D35" t="str">
        <f>IFERROR(VLOOKUP(표7[[#This Row],[종목코드]],pyKrx_Stock!$A$6:$E$262,4,0),"-")</f>
        <v>-</v>
      </c>
      <c r="E35" t="str">
        <f>IFERROR(VLOOKUP(표7[[#This Row],[종목코드]],pyKrx_Stock!$A$6:$E$262,5,0),"-")</f>
        <v>-</v>
      </c>
      <c r="F35">
        <f>IFERROR(VLOOKUP(표7[[#This Row],[종목코드]],krxData_재무!$A$6:$M$2805,6,0),"-")</f>
        <v>1237</v>
      </c>
      <c r="G35">
        <f>IFERROR(VLOOKUP(표7[[#This Row],[종목코드]],krxData_재무!$A$6:$M$2805,10,0),"-")</f>
        <v>33661</v>
      </c>
      <c r="H35">
        <f>IFERROR(VLOOKUP(표7[[#This Row],[종목코드]],krxData_재무!$A$6:$M$2805,7,0),"-")</f>
        <v>11.86</v>
      </c>
      <c r="I35">
        <f>IFERROR(VLOOKUP(표7[[#This Row],[종목코드]],krxData_재무!$A$6:$M$2805,11,0),"-")</f>
        <v>0.44</v>
      </c>
      <c r="J35">
        <f>IFERROR(VLOOKUP(표7[[#This Row],[종목코드]],krxData_재무!$A$6:$M$2805,13,0),"-")</f>
        <v>0.68</v>
      </c>
      <c r="K35" t="str">
        <f>IFERROR(VLOOKUP(표7[[#This Row],[종목명]],fnguide!$B$101:$N$1300,3,0),"-")</f>
        <v>-</v>
      </c>
      <c r="L35" t="str">
        <f>IFERROR(VLOOKUP(표7[[#This Row],[종목명]],fnguide!$B$101:$N$1300,6,0),"-")</f>
        <v>-</v>
      </c>
    </row>
    <row r="36" spans="1:12">
      <c r="A36" s="28">
        <v>53350</v>
      </c>
      <c r="B36" t="str">
        <f>IFERROR(VLOOKUP(표7[[#This Row],[종목코드]],krxData_재무!$A$6:$E$2805,2,0),"-")</f>
        <v>이니텍</v>
      </c>
      <c r="C36" t="str">
        <f>IFERROR(VLOOKUP(표7[[#This Row],[종목코드]],pyKrx_Stock!$A$6:$E$262,3,0),"-")</f>
        <v>-</v>
      </c>
      <c r="D36" t="str">
        <f>IFERROR(VLOOKUP(표7[[#This Row],[종목코드]],pyKrx_Stock!$A$6:$E$262,4,0),"-")</f>
        <v>-</v>
      </c>
      <c r="E36" t="str">
        <f>IFERROR(VLOOKUP(표7[[#This Row],[종목코드]],pyKrx_Stock!$A$6:$E$262,5,0),"-")</f>
        <v>-</v>
      </c>
      <c r="F36">
        <f>IFERROR(VLOOKUP(표7[[#This Row],[종목코드]],krxData_재무!$A$6:$M$2805,6,0),"-")</f>
        <v>11</v>
      </c>
      <c r="G36">
        <f>IFERROR(VLOOKUP(표7[[#This Row],[종목코드]],krxData_재무!$A$6:$M$2805,10,0),"-")</f>
        <v>6339</v>
      </c>
      <c r="H36">
        <f>IFERROR(VLOOKUP(표7[[#This Row],[종목코드]],krxData_재무!$A$6:$M$2805,7,0),"-")</f>
        <v>287.73</v>
      </c>
      <c r="I36">
        <f>IFERROR(VLOOKUP(표7[[#This Row],[종목코드]],krxData_재무!$A$6:$M$2805,11,0),"-")</f>
        <v>0.5</v>
      </c>
      <c r="J36">
        <f>IFERROR(VLOOKUP(표7[[#This Row],[종목코드]],krxData_재무!$A$6:$M$2805,13,0),"-")</f>
        <v>0.63</v>
      </c>
      <c r="K36" t="str">
        <f>IFERROR(VLOOKUP(표7[[#This Row],[종목명]],fnguide!$B$101:$N$1300,3,0),"-")</f>
        <v>-</v>
      </c>
      <c r="L36" t="str">
        <f>IFERROR(VLOOKUP(표7[[#This Row],[종목명]],fnguide!$B$101:$N$1300,6,0),"-")</f>
        <v>-</v>
      </c>
    </row>
    <row r="37" spans="1:12">
      <c r="A37" s="28">
        <v>456040</v>
      </c>
      <c r="B37" t="str">
        <f>IFERROR(VLOOKUP(표7[[#This Row],[종목코드]],krxData_재무!$A$6:$E$2805,2,0),"-")</f>
        <v>OCI</v>
      </c>
      <c r="C37" t="str">
        <f>IFERROR(VLOOKUP(표7[[#This Row],[종목코드]],pyKrx_Stock!$A$6:$E$262,3,0),"-")</f>
        <v>-</v>
      </c>
      <c r="D37" t="str">
        <f>IFERROR(VLOOKUP(표7[[#This Row],[종목코드]],pyKrx_Stock!$A$6:$E$262,4,0),"-")</f>
        <v>-</v>
      </c>
      <c r="E37" t="str">
        <f>IFERROR(VLOOKUP(표7[[#This Row],[종목코드]],pyKrx_Stock!$A$6:$E$262,5,0),"-")</f>
        <v>-</v>
      </c>
      <c r="F37" t="str">
        <f>IFERROR(VLOOKUP(표7[[#This Row],[종목코드]],krxData_재무!$A$6:$M$2805,6,0),"-")</f>
        <v>-</v>
      </c>
      <c r="G37" t="str">
        <f>IFERROR(VLOOKUP(표7[[#This Row],[종목코드]],krxData_재무!$A$6:$M$2805,10,0),"-")</f>
        <v>-</v>
      </c>
      <c r="H37" t="str">
        <f>IFERROR(VLOOKUP(표7[[#This Row],[종목코드]],krxData_재무!$A$6:$M$2805,7,0),"-")</f>
        <v>-</v>
      </c>
      <c r="I37" t="str">
        <f>IFERROR(VLOOKUP(표7[[#This Row],[종목코드]],krxData_재무!$A$6:$M$2805,11,0),"-")</f>
        <v>-</v>
      </c>
      <c r="J37">
        <f>IFERROR(VLOOKUP(표7[[#This Row],[종목코드]],krxData_재무!$A$6:$M$2805,13,0),"-")</f>
        <v>0</v>
      </c>
      <c r="K37" t="str">
        <f>IFERROR(VLOOKUP(표7[[#This Row],[종목명]],fnguide!$B$101:$N$1300,3,0),"-")</f>
        <v>-</v>
      </c>
      <c r="L37" t="str">
        <f>IFERROR(VLOOKUP(표7[[#This Row],[종목명]],fnguide!$B$101:$N$1300,6,0),"-")</f>
        <v>-</v>
      </c>
    </row>
    <row r="38" spans="1:12">
      <c r="A38" s="28">
        <v>34220</v>
      </c>
      <c r="B38" t="str">
        <f>IFERROR(VLOOKUP(표7[[#This Row],[종목코드]],krxData_재무!$A$6:$E$2805,2,0),"-")</f>
        <v>LG디스플레이</v>
      </c>
      <c r="C38" t="str">
        <f>IFERROR(VLOOKUP(표7[[#This Row],[종목코드]],pyKrx_Stock!$A$6:$E$262,3,0),"-")</f>
        <v>-</v>
      </c>
      <c r="D38" t="str">
        <f>IFERROR(VLOOKUP(표7[[#This Row],[종목코드]],pyKrx_Stock!$A$6:$E$262,4,0),"-")</f>
        <v>-</v>
      </c>
      <c r="E38" t="str">
        <f>IFERROR(VLOOKUP(표7[[#This Row],[종목코드]],pyKrx_Stock!$A$6:$E$262,5,0),"-")</f>
        <v>-</v>
      </c>
      <c r="F38" t="str">
        <f>IFERROR(VLOOKUP(표7[[#This Row],[종목코드]],krxData_재무!$A$6:$M$2805,6,0),"-")</f>
        <v>-</v>
      </c>
      <c r="G38">
        <f>IFERROR(VLOOKUP(표7[[#This Row],[종목코드]],krxData_재무!$A$6:$M$2805,10,0),"-")</f>
        <v>25521</v>
      </c>
      <c r="H38" t="str">
        <f>IFERROR(VLOOKUP(표7[[#This Row],[종목코드]],krxData_재무!$A$6:$M$2805,7,0),"-")</f>
        <v>-</v>
      </c>
      <c r="I38">
        <f>IFERROR(VLOOKUP(표7[[#This Row],[종목코드]],krxData_재무!$A$6:$M$2805,11,0),"-")</f>
        <v>0.44</v>
      </c>
      <c r="J38">
        <f>IFERROR(VLOOKUP(표7[[#This Row],[종목코드]],krxData_재무!$A$6:$M$2805,13,0),"-")</f>
        <v>0</v>
      </c>
      <c r="K38" t="str">
        <f>IFERROR(VLOOKUP(표7[[#This Row],[종목명]],fnguide!$B$101:$N$1300,3,0),"-")</f>
        <v>-</v>
      </c>
      <c r="L38" t="str">
        <f>IFERROR(VLOOKUP(표7[[#This Row],[종목명]],fnguide!$B$101:$N$1300,6,0),"-")</f>
        <v>-</v>
      </c>
    </row>
    <row r="39" spans="1:12">
      <c r="A39" s="28">
        <v>14470</v>
      </c>
      <c r="B39" t="str">
        <f>IFERROR(VLOOKUP(표7[[#This Row],[종목코드]],krxData_재무!$A$6:$E$2805,2,0),"-")</f>
        <v>부방</v>
      </c>
      <c r="C39" t="str">
        <f>IFERROR(VLOOKUP(표7[[#This Row],[종목코드]],pyKrx_Stock!$A$6:$E$262,3,0),"-")</f>
        <v>-</v>
      </c>
      <c r="D39" t="str">
        <f>IFERROR(VLOOKUP(표7[[#This Row],[종목코드]],pyKrx_Stock!$A$6:$E$262,4,0),"-")</f>
        <v>-</v>
      </c>
      <c r="E39" t="str">
        <f>IFERROR(VLOOKUP(표7[[#This Row],[종목코드]],pyKrx_Stock!$A$6:$E$262,5,0),"-")</f>
        <v>-</v>
      </c>
      <c r="F39">
        <f>IFERROR(VLOOKUP(표7[[#This Row],[종목코드]],krxData_재무!$A$6:$M$2805,6,0),"-")</f>
        <v>582</v>
      </c>
      <c r="G39">
        <f>IFERROR(VLOOKUP(표7[[#This Row],[종목코드]],krxData_재무!$A$6:$M$2805,10,0),"-")</f>
        <v>3441</v>
      </c>
      <c r="H39">
        <f>IFERROR(VLOOKUP(표7[[#This Row],[종목코드]],krxData_재무!$A$6:$M$2805,7,0),"-")</f>
        <v>4.32</v>
      </c>
      <c r="I39">
        <f>IFERROR(VLOOKUP(표7[[#This Row],[종목코드]],krxData_재무!$A$6:$M$2805,11,0),"-")</f>
        <v>0.73</v>
      </c>
      <c r="J39">
        <f>IFERROR(VLOOKUP(표7[[#This Row],[종목코드]],krxData_재무!$A$6:$M$2805,13,0),"-")</f>
        <v>0</v>
      </c>
      <c r="K39">
        <f>IFERROR(VLOOKUP(표7[[#This Row],[종목명]],fnguide!$B$101:$N$1300,3,0),"-")</f>
        <v>42.61</v>
      </c>
      <c r="L39" t="str">
        <f>IFERROR(VLOOKUP(표7[[#This Row],[종목명]],fnguide!$B$101:$N$1300,6,0),"-")</f>
        <v>적지</v>
      </c>
    </row>
    <row r="40" spans="1:12">
      <c r="A40" s="28">
        <v>1780</v>
      </c>
      <c r="B40" t="str">
        <f>IFERROR(VLOOKUP(표7[[#This Row],[종목코드]],krxData_재무!$A$6:$E$2805,2,0),"-")</f>
        <v>알루코</v>
      </c>
      <c r="C40" t="str">
        <f>IFERROR(VLOOKUP(표7[[#This Row],[종목코드]],pyKrx_Stock!$A$6:$E$262,3,0),"-")</f>
        <v>-</v>
      </c>
      <c r="D40" t="str">
        <f>IFERROR(VLOOKUP(표7[[#This Row],[종목코드]],pyKrx_Stock!$A$6:$E$262,4,0),"-")</f>
        <v>-</v>
      </c>
      <c r="E40" t="str">
        <f>IFERROR(VLOOKUP(표7[[#This Row],[종목코드]],pyKrx_Stock!$A$6:$E$262,5,0),"-")</f>
        <v>-</v>
      </c>
      <c r="F40">
        <f>IFERROR(VLOOKUP(표7[[#This Row],[종목코드]],krxData_재무!$A$6:$M$2805,6,0),"-")</f>
        <v>155</v>
      </c>
      <c r="G40">
        <f>IFERROR(VLOOKUP(표7[[#This Row],[종목코드]],krxData_재무!$A$6:$M$2805,10,0),"-")</f>
        <v>2639</v>
      </c>
      <c r="H40">
        <f>IFERROR(VLOOKUP(표7[[#This Row],[종목코드]],krxData_재무!$A$6:$M$2805,7,0),"-")</f>
        <v>23.29</v>
      </c>
      <c r="I40">
        <f>IFERROR(VLOOKUP(표7[[#This Row],[종목코드]],krxData_재무!$A$6:$M$2805,11,0),"-")</f>
        <v>1.37</v>
      </c>
      <c r="J40">
        <f>IFERROR(VLOOKUP(표7[[#This Row],[종목코드]],krxData_재무!$A$6:$M$2805,13,0),"-")</f>
        <v>0</v>
      </c>
      <c r="K40">
        <f>IFERROR(VLOOKUP(표7[[#This Row],[종목명]],fnguide!$B$101:$N$1300,3,0),"-")</f>
        <v>105.7</v>
      </c>
      <c r="L40">
        <f>IFERROR(VLOOKUP(표7[[#This Row],[종목명]],fnguide!$B$101:$N$1300,6,0),"-")</f>
        <v>42.87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2024-04-25T04:06:47Z</dcterms:modified>
</cp:coreProperties>
</file>