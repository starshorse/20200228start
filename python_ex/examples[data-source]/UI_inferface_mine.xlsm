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5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workdir\gitdn\20200228start\python_ex\examples[data-source]\"/>
    </mc:Choice>
  </mc:AlternateContent>
  <bookViews>
    <workbookView xWindow="-120" yWindow="-120" windowWidth="38640" windowHeight="15840" activeTab="1"/>
  </bookViews>
  <sheets>
    <sheet name="결재요청" sheetId="2" r:id="rId1"/>
    <sheet name="경영정보" sheetId="3" r:id="rId2"/>
    <sheet name="Web_Stock" sheetId="4" r:id="rId3"/>
    <sheet name="pyKrx_Stock" sheetId="5" r:id="rId4"/>
    <sheet name="fnguide" sheetId="6" r:id="rId5"/>
    <sheet name="krxData_재무" sheetId="8" r:id="rId6"/>
    <sheet name="관심종목" sheetId="7" r:id="rId7"/>
  </sheets>
  <functionGroups builtInGroupCount="18"/>
  <definedNames>
    <definedName name="_xlnm._FilterDatabase" localSheetId="4" hidden="1">fnguide!$A$5:$O$79</definedName>
    <definedName name="_xlnm.Criteria" localSheetId="4">fnguide!$Q$5:$AE$6</definedName>
    <definedName name="_xlnm.Extract" localSheetId="4">fnguide!$Q$9:$AE$9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" i="7" l="1"/>
  <c r="K21" i="7" s="1"/>
  <c r="C21" i="7"/>
  <c r="D21" i="7"/>
  <c r="E21" i="7"/>
  <c r="F21" i="7"/>
  <c r="G21" i="7"/>
  <c r="H21" i="7"/>
  <c r="I21" i="7"/>
  <c r="J21" i="7"/>
  <c r="B12" i="7"/>
  <c r="C12" i="7"/>
  <c r="D12" i="7"/>
  <c r="E12" i="7"/>
  <c r="F12" i="7"/>
  <c r="G12" i="7"/>
  <c r="H12" i="7"/>
  <c r="I12" i="7"/>
  <c r="J12" i="7"/>
  <c r="L21" i="7" l="1"/>
  <c r="K12" i="7"/>
  <c r="L12" i="7"/>
  <c r="B34" i="7"/>
  <c r="B23" i="7"/>
  <c r="B36" i="7"/>
  <c r="B37" i="7"/>
  <c r="B41" i="7"/>
  <c r="B38" i="7"/>
  <c r="C34" i="7"/>
  <c r="C23" i="7"/>
  <c r="C36" i="7"/>
  <c r="C37" i="7"/>
  <c r="C41" i="7"/>
  <c r="C38" i="7"/>
  <c r="D34" i="7"/>
  <c r="D23" i="7"/>
  <c r="D36" i="7"/>
  <c r="D37" i="7"/>
  <c r="D41" i="7"/>
  <c r="D38" i="7"/>
  <c r="E34" i="7"/>
  <c r="E23" i="7"/>
  <c r="E36" i="7"/>
  <c r="E37" i="7"/>
  <c r="E41" i="7"/>
  <c r="E38" i="7"/>
  <c r="F34" i="7"/>
  <c r="F23" i="7"/>
  <c r="F36" i="7"/>
  <c r="F37" i="7"/>
  <c r="F41" i="7"/>
  <c r="F38" i="7"/>
  <c r="G34" i="7"/>
  <c r="G23" i="7"/>
  <c r="G36" i="7"/>
  <c r="G37" i="7"/>
  <c r="G41" i="7"/>
  <c r="G38" i="7"/>
  <c r="H34" i="7"/>
  <c r="H23" i="7"/>
  <c r="H36" i="7"/>
  <c r="H37" i="7"/>
  <c r="H41" i="7"/>
  <c r="H38" i="7"/>
  <c r="I34" i="7"/>
  <c r="I23" i="7"/>
  <c r="I36" i="7"/>
  <c r="I37" i="7"/>
  <c r="I41" i="7"/>
  <c r="I38" i="7"/>
  <c r="J34" i="7"/>
  <c r="J23" i="7"/>
  <c r="J36" i="7"/>
  <c r="J37" i="7"/>
  <c r="J41" i="7"/>
  <c r="J38" i="7"/>
  <c r="B6" i="7"/>
  <c r="B5" i="7"/>
  <c r="B10" i="7"/>
  <c r="B19" i="7"/>
  <c r="B13" i="7"/>
  <c r="B16" i="7"/>
  <c r="B18" i="7"/>
  <c r="B15" i="7"/>
  <c r="B14" i="7"/>
  <c r="B9" i="7"/>
  <c r="B17" i="7"/>
  <c r="B28" i="7"/>
  <c r="B31" i="7"/>
  <c r="B39" i="7"/>
  <c r="B8" i="7"/>
  <c r="B27" i="7"/>
  <c r="B26" i="7"/>
  <c r="B33" i="7"/>
  <c r="B29" i="7"/>
  <c r="B25" i="7"/>
  <c r="B42" i="7"/>
  <c r="B32" i="7"/>
  <c r="B11" i="7"/>
  <c r="B40" i="7"/>
  <c r="B30" i="7"/>
  <c r="C6" i="7"/>
  <c r="C5" i="7"/>
  <c r="C10" i="7"/>
  <c r="C19" i="7"/>
  <c r="C13" i="7"/>
  <c r="C16" i="7"/>
  <c r="C18" i="7"/>
  <c r="C15" i="7"/>
  <c r="C14" i="7"/>
  <c r="C9" i="7"/>
  <c r="C17" i="7"/>
  <c r="C28" i="7"/>
  <c r="C31" i="7"/>
  <c r="C39" i="7"/>
  <c r="C8" i="7"/>
  <c r="C27" i="7"/>
  <c r="C26" i="7"/>
  <c r="C33" i="7"/>
  <c r="C29" i="7"/>
  <c r="C25" i="7"/>
  <c r="C42" i="7"/>
  <c r="C32" i="7"/>
  <c r="C11" i="7"/>
  <c r="C40" i="7"/>
  <c r="C30" i="7"/>
  <c r="D6" i="7"/>
  <c r="D5" i="7"/>
  <c r="D10" i="7"/>
  <c r="D19" i="7"/>
  <c r="D13" i="7"/>
  <c r="D16" i="7"/>
  <c r="D18" i="7"/>
  <c r="D15" i="7"/>
  <c r="D14" i="7"/>
  <c r="D9" i="7"/>
  <c r="D17" i="7"/>
  <c r="D28" i="7"/>
  <c r="D31" i="7"/>
  <c r="D39" i="7"/>
  <c r="D8" i="7"/>
  <c r="D27" i="7"/>
  <c r="D26" i="7"/>
  <c r="D33" i="7"/>
  <c r="D29" i="7"/>
  <c r="D25" i="7"/>
  <c r="D42" i="7"/>
  <c r="D32" i="7"/>
  <c r="D11" i="7"/>
  <c r="D40" i="7"/>
  <c r="D30" i="7"/>
  <c r="E6" i="7"/>
  <c r="E5" i="7"/>
  <c r="E10" i="7"/>
  <c r="E19" i="7"/>
  <c r="E13" i="7"/>
  <c r="E16" i="7"/>
  <c r="E18" i="7"/>
  <c r="E15" i="7"/>
  <c r="E14" i="7"/>
  <c r="E9" i="7"/>
  <c r="E17" i="7"/>
  <c r="E28" i="7"/>
  <c r="E31" i="7"/>
  <c r="E39" i="7"/>
  <c r="E8" i="7"/>
  <c r="E27" i="7"/>
  <c r="E26" i="7"/>
  <c r="E33" i="7"/>
  <c r="E29" i="7"/>
  <c r="E25" i="7"/>
  <c r="E42" i="7"/>
  <c r="E32" i="7"/>
  <c r="E11" i="7"/>
  <c r="E40" i="7"/>
  <c r="E30" i="7"/>
  <c r="F6" i="7"/>
  <c r="F5" i="7"/>
  <c r="F10" i="7"/>
  <c r="F19" i="7"/>
  <c r="F13" i="7"/>
  <c r="F16" i="7"/>
  <c r="F18" i="7"/>
  <c r="F15" i="7"/>
  <c r="F14" i="7"/>
  <c r="F9" i="7"/>
  <c r="F17" i="7"/>
  <c r="F28" i="7"/>
  <c r="F31" i="7"/>
  <c r="F39" i="7"/>
  <c r="F8" i="7"/>
  <c r="F27" i="7"/>
  <c r="F26" i="7"/>
  <c r="F33" i="7"/>
  <c r="F29" i="7"/>
  <c r="F25" i="7"/>
  <c r="F42" i="7"/>
  <c r="F32" i="7"/>
  <c r="F11" i="7"/>
  <c r="F40" i="7"/>
  <c r="F30" i="7"/>
  <c r="G6" i="7"/>
  <c r="G5" i="7"/>
  <c r="G10" i="7"/>
  <c r="G19" i="7"/>
  <c r="G13" i="7"/>
  <c r="G16" i="7"/>
  <c r="G18" i="7"/>
  <c r="G15" i="7"/>
  <c r="G14" i="7"/>
  <c r="G9" i="7"/>
  <c r="G17" i="7"/>
  <c r="G28" i="7"/>
  <c r="G31" i="7"/>
  <c r="G39" i="7"/>
  <c r="G8" i="7"/>
  <c r="G27" i="7"/>
  <c r="G26" i="7"/>
  <c r="G33" i="7"/>
  <c r="G29" i="7"/>
  <c r="G25" i="7"/>
  <c r="G42" i="7"/>
  <c r="G32" i="7"/>
  <c r="G11" i="7"/>
  <c r="G40" i="7"/>
  <c r="G30" i="7"/>
  <c r="H6" i="7"/>
  <c r="H5" i="7"/>
  <c r="H10" i="7"/>
  <c r="H19" i="7"/>
  <c r="H13" i="7"/>
  <c r="H16" i="7"/>
  <c r="H18" i="7"/>
  <c r="H15" i="7"/>
  <c r="H14" i="7"/>
  <c r="H9" i="7"/>
  <c r="H17" i="7"/>
  <c r="H28" i="7"/>
  <c r="H31" i="7"/>
  <c r="H39" i="7"/>
  <c r="H8" i="7"/>
  <c r="H27" i="7"/>
  <c r="H26" i="7"/>
  <c r="H33" i="7"/>
  <c r="H29" i="7"/>
  <c r="H25" i="7"/>
  <c r="H42" i="7"/>
  <c r="H32" i="7"/>
  <c r="H11" i="7"/>
  <c r="H40" i="7"/>
  <c r="H30" i="7"/>
  <c r="I6" i="7"/>
  <c r="I5" i="7"/>
  <c r="I10" i="7"/>
  <c r="I19" i="7"/>
  <c r="I13" i="7"/>
  <c r="I16" i="7"/>
  <c r="I18" i="7"/>
  <c r="I15" i="7"/>
  <c r="I14" i="7"/>
  <c r="I9" i="7"/>
  <c r="I17" i="7"/>
  <c r="I28" i="7"/>
  <c r="I31" i="7"/>
  <c r="I39" i="7"/>
  <c r="I8" i="7"/>
  <c r="I27" i="7"/>
  <c r="I26" i="7"/>
  <c r="I33" i="7"/>
  <c r="I29" i="7"/>
  <c r="I25" i="7"/>
  <c r="I42" i="7"/>
  <c r="I32" i="7"/>
  <c r="I11" i="7"/>
  <c r="I40" i="7"/>
  <c r="I30" i="7"/>
  <c r="J6" i="7"/>
  <c r="J5" i="7"/>
  <c r="J10" i="7"/>
  <c r="J19" i="7"/>
  <c r="J13" i="7"/>
  <c r="J16" i="7"/>
  <c r="J18" i="7"/>
  <c r="J15" i="7"/>
  <c r="J14" i="7"/>
  <c r="J9" i="7"/>
  <c r="J17" i="7"/>
  <c r="J28" i="7"/>
  <c r="J31" i="7"/>
  <c r="J39" i="7"/>
  <c r="J8" i="7"/>
  <c r="J27" i="7"/>
  <c r="J26" i="7"/>
  <c r="J33" i="7"/>
  <c r="J29" i="7"/>
  <c r="J25" i="7"/>
  <c r="J42" i="7"/>
  <c r="J32" i="7"/>
  <c r="J11" i="7"/>
  <c r="J40" i="7"/>
  <c r="J30" i="7"/>
  <c r="B35" i="7"/>
  <c r="B24" i="7"/>
  <c r="B7" i="7"/>
  <c r="B22" i="7"/>
  <c r="B20" i="7"/>
  <c r="J35" i="7"/>
  <c r="J24" i="7"/>
  <c r="J7" i="7"/>
  <c r="J22" i="7"/>
  <c r="J20" i="7"/>
  <c r="I35" i="7"/>
  <c r="I24" i="7"/>
  <c r="I7" i="7"/>
  <c r="I22" i="7"/>
  <c r="I20" i="7"/>
  <c r="G35" i="7"/>
  <c r="G24" i="7"/>
  <c r="G7" i="7"/>
  <c r="G22" i="7"/>
  <c r="G20" i="7"/>
  <c r="H35" i="7"/>
  <c r="H24" i="7"/>
  <c r="H7" i="7"/>
  <c r="H22" i="7"/>
  <c r="H20" i="7"/>
  <c r="F35" i="7"/>
  <c r="F24" i="7"/>
  <c r="F7" i="7"/>
  <c r="F22" i="7"/>
  <c r="F20" i="7"/>
  <c r="K20" i="7" l="1"/>
  <c r="L20" i="7"/>
  <c r="K22" i="7"/>
  <c r="L22" i="7"/>
  <c r="K7" i="7"/>
  <c r="L7" i="7"/>
  <c r="K24" i="7"/>
  <c r="L24" i="7"/>
  <c r="K35" i="7"/>
  <c r="L35" i="7"/>
  <c r="K30" i="7"/>
  <c r="L30" i="7"/>
  <c r="K40" i="7"/>
  <c r="L40" i="7"/>
  <c r="K11" i="7"/>
  <c r="L11" i="7"/>
  <c r="K32" i="7"/>
  <c r="L32" i="7"/>
  <c r="K42" i="7"/>
  <c r="L42" i="7"/>
  <c r="K25" i="7"/>
  <c r="L25" i="7"/>
  <c r="K29" i="7"/>
  <c r="L29" i="7"/>
  <c r="K33" i="7"/>
  <c r="L33" i="7"/>
  <c r="K26" i="7"/>
  <c r="L26" i="7"/>
  <c r="K27" i="7"/>
  <c r="L27" i="7"/>
  <c r="K8" i="7"/>
  <c r="L8" i="7"/>
  <c r="K39" i="7"/>
  <c r="L39" i="7"/>
  <c r="K31" i="7"/>
  <c r="L31" i="7"/>
  <c r="K28" i="7"/>
  <c r="L28" i="7"/>
  <c r="K17" i="7"/>
  <c r="L17" i="7"/>
  <c r="K9" i="7"/>
  <c r="L9" i="7"/>
  <c r="K14" i="7"/>
  <c r="L14" i="7"/>
  <c r="K15" i="7"/>
  <c r="L15" i="7"/>
  <c r="K18" i="7"/>
  <c r="L18" i="7"/>
  <c r="K16" i="7"/>
  <c r="L16" i="7"/>
  <c r="K13" i="7"/>
  <c r="L13" i="7"/>
  <c r="K19" i="7"/>
  <c r="L19" i="7"/>
  <c r="K10" i="7"/>
  <c r="L10" i="7"/>
  <c r="K5" i="7"/>
  <c r="L5" i="7"/>
  <c r="K6" i="7"/>
  <c r="L6" i="7"/>
  <c r="K38" i="7"/>
  <c r="L38" i="7"/>
  <c r="K41" i="7"/>
  <c r="L41" i="7"/>
  <c r="K37" i="7"/>
  <c r="L37" i="7"/>
  <c r="K36" i="7"/>
  <c r="L36" i="7"/>
  <c r="K23" i="7"/>
  <c r="L23" i="7"/>
  <c r="K34" i="7"/>
  <c r="L34" i="7"/>
  <c r="C20" i="7"/>
  <c r="D20" i="7"/>
  <c r="E20" i="7"/>
  <c r="C22" i="7" l="1"/>
  <c r="D22" i="7"/>
  <c r="E22" i="7"/>
  <c r="E35" i="7"/>
  <c r="E24" i="7"/>
  <c r="E7" i="7"/>
  <c r="D35" i="7"/>
  <c r="D24" i="7"/>
  <c r="D7" i="7"/>
  <c r="C35" i="7"/>
  <c r="C24" i="7"/>
  <c r="C7" i="7"/>
  <c r="E3" i="7"/>
</calcChain>
</file>

<file path=xl/sharedStrings.xml><?xml version="1.0" encoding="utf-8"?>
<sst xmlns="http://schemas.openxmlformats.org/spreadsheetml/2006/main" count="12945" uniqueCount="2869">
  <si>
    <t>요청ID</t>
    <phoneticPr fontId="1" type="noConversion"/>
  </si>
  <si>
    <t>결재요청자</t>
    <phoneticPr fontId="1" type="noConversion"/>
  </si>
  <si>
    <t>긴급여부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</si>
  <si>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</si>
  <si>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</si>
  <si>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</si>
  <si>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결재라인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</si>
  <si>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</si>
  <si>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</si>
  <si>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</si>
  <si>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제출상태</t>
    <phoneticPr fontId="1" type="noConversion"/>
  </si>
  <si>
    <t>결재요청일</t>
  </si>
  <si>
    <t>진행상황</t>
    <phoneticPr fontId="1" type="noConversion"/>
  </si>
  <si>
    <t>결재결과</t>
    <phoneticPr fontId="1" type="noConversion"/>
  </si>
  <si>
    <t>결재의견</t>
    <phoneticPr fontId="1" type="noConversion"/>
  </si>
  <si>
    <t>김현선</t>
  </si>
  <si>
    <t>일반</t>
  </si>
  <si>
    <t>test</t>
  </si>
  <si>
    <t>테스트입니다.</t>
  </si>
  <si>
    <t>김연희</t>
  </si>
  <si>
    <t>Y</t>
  </si>
  <si>
    <t>결재 완료(승인)</t>
  </si>
  <si>
    <t>승인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</si>
  <si>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</si>
  <si>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</si>
  <si>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</si>
  <si>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</si>
  <si>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이현정</t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</si>
  <si>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</si>
  <si>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</si>
  <si>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</si>
  <si>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김연희,최성철,황인국</t>
  </si>
  <si>
    <t>(최성철) PSYS 사이트_x000D_
(황인국) KG 모빌리언스</t>
  </si>
  <si>
    <t>장기근속포상금지급</t>
  </si>
  <si>
    <t>5년장기근속자(김연희) 포상휴가5일,포상금(월급100%) 지급, 입사일: 2017년9월6일, 지급일: 9월급여지급 시</t>
  </si>
  <si>
    <t>(최성철) 그간의 노고에 감사합니다. 앞으로도 더욱 발전하는 모습을 보여 주세요._x000D_
(황인국) 회사의 발전에 많은 기여를 하신 노고에 감사드립니다.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</si>
  <si>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</si>
  <si>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</si>
  <si>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(황인국) 성원에 감사드리며 수상을 축하합니다.</t>
  </si>
  <si>
    <t>유다현</t>
  </si>
  <si>
    <t>기업은행 신용카드(기명,하이패스용) 발급을 위한 서류(법인등기부등본사본,사업자등록증사본,주주명부,법인인감증명서,대표자신분증사본,위임장)</t>
  </si>
  <si>
    <t>N</t>
  </si>
  <si>
    <t>결재 완료(반려)</t>
  </si>
  <si>
    <t>반려</t>
  </si>
  <si>
    <t>(최성철) 누구 인감증명이고 인감증명 일련번호 기재 바람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</si>
  <si>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</si>
  <si>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</si>
  <si>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</si>
  <si>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</si>
  <si>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</si>
  <si>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</si>
  <si>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</si>
  <si>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(최성철) 본 인감증명은 스캔만하고 제출은 하지 않은 건임.</t>
  </si>
  <si>
    <t>국민은행(상현역지점)대표자변경 및 갱신신용카드수령 업무관련 법인인감증명서 필요 (황인국 대표 1통 : CAWY-AXVE-GSV1, 최성철 대표 1통: CAWY-AXVE-GIX1) / KT사용 인감은 스캔본만 사용하고 회수하여 같은 법인인감 이번에 재사용예정임</t>
  </si>
  <si>
    <t>정지혜매니저 운전자보험(롯데손해보험) 계약자를 기존 이지바이오팜에서 이지켐텍으로 변경 하는 건 (황인국 대표 1통 : OAWY-WXVE-WSW7, 최성철 대표 1통: OAWY-WXVE-WIY7)</t>
  </si>
  <si>
    <t>이지켐텍 지점폐지등기를 위한 이사록의사록 공증 시 필요 (황인국 대표 1통 : CAWY-AXVE-GSX3, 최성철 대표 1통: CAWY-AXVE-GIZ3 )</t>
  </si>
  <si>
    <t>현대카드사 법인기명카드 발급 (황인국 대표 1통: OAWZ-WBWV-WTA9, 최성철 대표 1통: CAWZ-ABWW-GBT7 )</t>
  </si>
  <si>
    <t>국민은행(상현역지점) 휴면계좌(844) 해지 (황인국 대표 1통: CAXI-ATRY-GVP6, 최성철 대표 1통: OAXI-WTRZ-WGA0)</t>
  </si>
  <si>
    <t>SK㈜ 머티리얼즈 업체등록(황인국 대표 1통 : OAXI-WTRY-WVQ3, 최성철 대표 1통:CAXI-ATRZ-GGB6)</t>
  </si>
  <si>
    <t>월별 추이</t>
    <phoneticPr fontId="1" type="noConversion"/>
  </si>
  <si>
    <t>확정견적 건수</t>
    <phoneticPr fontId="1" type="noConversion"/>
  </si>
  <si>
    <t>년도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</si>
  <si>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</si>
  <si>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</si>
  <si>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</si>
  <si>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</si>
  <si>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</si>
  <si>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</si>
  <si>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</si>
  <si>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</si>
  <si>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</si>
  <si>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</si>
  <si>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</si>
  <si>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</si>
  <si>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판매액 추이</t>
    <phoneticPr fontId="1" type="noConversion"/>
  </si>
  <si>
    <t>출금액 추이</t>
    <phoneticPr fontId="1" type="noConversion"/>
  </si>
  <si>
    <t>BNK금융지주</t>
  </si>
  <si>
    <t>CR홀딩스</t>
  </si>
  <si>
    <t>DGB금융지주</t>
  </si>
  <si>
    <t>DN오토모티브</t>
  </si>
  <si>
    <t>E1</t>
  </si>
  <si>
    <t>GS</t>
  </si>
  <si>
    <t>GS건설</t>
  </si>
  <si>
    <t>HDC랩스</t>
  </si>
  <si>
    <t>HD현대</t>
  </si>
  <si>
    <t>HD현대건설기계</t>
  </si>
  <si>
    <t>HMM</t>
  </si>
  <si>
    <t>HS애드</t>
  </si>
  <si>
    <t>JB금융지주</t>
  </si>
  <si>
    <t>KB금융</t>
  </si>
  <si>
    <t>KCC글라스</t>
  </si>
  <si>
    <t>KEC</t>
  </si>
  <si>
    <t>KPX케미칼</t>
  </si>
  <si>
    <t>KSS해운</t>
  </si>
  <si>
    <t>KT</t>
  </si>
  <si>
    <t>KTcs</t>
  </si>
  <si>
    <t>KTis</t>
  </si>
  <si>
    <t>LF</t>
  </si>
  <si>
    <t>LG</t>
  </si>
  <si>
    <t>LG유플러스</t>
  </si>
  <si>
    <t>LX인터내셔널</t>
  </si>
  <si>
    <t>LX홀딩스</t>
  </si>
  <si>
    <t>MH에탄올</t>
  </si>
  <si>
    <t>NH투자증권</t>
  </si>
  <si>
    <t>NICE</t>
  </si>
  <si>
    <t>SBS</t>
  </si>
  <si>
    <t>SGC에너지</t>
  </si>
  <si>
    <t>SIMPAC</t>
  </si>
  <si>
    <t>SK가스</t>
  </si>
  <si>
    <t>SK디스커버리</t>
  </si>
  <si>
    <t>SK디앤디</t>
  </si>
  <si>
    <t>SK이노베이션</t>
  </si>
  <si>
    <t>SNT모티브</t>
  </si>
  <si>
    <t>SNT에너지</t>
  </si>
  <si>
    <t>SNT홀딩스</t>
  </si>
  <si>
    <t>TYM</t>
  </si>
  <si>
    <t>경농</t>
  </si>
  <si>
    <t>경동도시가스</t>
  </si>
  <si>
    <t>계룡건설</t>
  </si>
  <si>
    <t>고려아연</t>
  </si>
  <si>
    <t>광주신세계</t>
  </si>
  <si>
    <t>교보증권</t>
  </si>
  <si>
    <t>국도화학</t>
  </si>
  <si>
    <t>극동유화</t>
  </si>
  <si>
    <t>금호건설</t>
  </si>
  <si>
    <t>금호석유</t>
  </si>
  <si>
    <t>기업은행</t>
  </si>
  <si>
    <t>노루홀딩스</t>
  </si>
  <si>
    <t>농심홀딩스</t>
  </si>
  <si>
    <t>다올투자증권</t>
  </si>
  <si>
    <t>대덕</t>
  </si>
  <si>
    <t>대상</t>
  </si>
  <si>
    <t>대신증권</t>
  </si>
  <si>
    <t>대창단조</t>
  </si>
  <si>
    <t>대한제강</t>
  </si>
  <si>
    <t>대한제당</t>
  </si>
  <si>
    <t>대한항공</t>
  </si>
  <si>
    <t>대현</t>
  </si>
  <si>
    <t>동국홀딩스</t>
  </si>
  <si>
    <t>동방아그로</t>
  </si>
  <si>
    <t>동부건설</t>
  </si>
  <si>
    <t>동성케미컬</t>
  </si>
  <si>
    <t>동아타이어</t>
  </si>
  <si>
    <t>동원수산</t>
  </si>
  <si>
    <t>동일산업</t>
  </si>
  <si>
    <t>디씨엠</t>
  </si>
  <si>
    <t>롯데렌탈</t>
  </si>
  <si>
    <t>롯데정밀화학</t>
  </si>
  <si>
    <t>롯데지주</t>
  </si>
  <si>
    <t>모토닉</t>
  </si>
  <si>
    <t>무림P&amp;P</t>
  </si>
  <si>
    <t>미창석유</t>
  </si>
  <si>
    <t>바이오노트</t>
  </si>
  <si>
    <t>부국증권</t>
  </si>
  <si>
    <t>삼성생명</t>
  </si>
  <si>
    <t>삼성증권</t>
  </si>
  <si>
    <t>삼성카드</t>
  </si>
  <si>
    <t>삼양홀딩스</t>
  </si>
  <si>
    <t>삼영무역</t>
  </si>
  <si>
    <t>삼영전자</t>
  </si>
  <si>
    <t>삼원강재</t>
  </si>
  <si>
    <t>삼익악기</t>
  </si>
  <si>
    <t>삼진제약</t>
  </si>
  <si>
    <t>삼호개발</t>
  </si>
  <si>
    <t>성보화학</t>
  </si>
  <si>
    <t>세아베스틸지주</t>
  </si>
  <si>
    <t>세아제강</t>
  </si>
  <si>
    <t>세아특수강</t>
  </si>
  <si>
    <t>세아홀딩스</t>
  </si>
  <si>
    <t>송원산업</t>
  </si>
  <si>
    <t>스카이라이프</t>
  </si>
  <si>
    <t>신도리코</t>
  </si>
  <si>
    <t>신라교역</t>
  </si>
  <si>
    <t>신세계 I&amp;C</t>
  </si>
  <si>
    <t>신세계인터내셔날</t>
  </si>
  <si>
    <t>신영증권</t>
  </si>
  <si>
    <t>신원</t>
  </si>
  <si>
    <t>신한지주</t>
  </si>
  <si>
    <t>아이마켓코리아</t>
  </si>
  <si>
    <t>애경케미칼</t>
  </si>
  <si>
    <t>에스디바이오센서</t>
  </si>
  <si>
    <t>에이플러스에셋</t>
  </si>
  <si>
    <t>영원무역</t>
  </si>
  <si>
    <t>영원무역홀딩스</t>
  </si>
  <si>
    <t>영풍제지</t>
  </si>
  <si>
    <t>오리온홀딩스</t>
  </si>
  <si>
    <t>우리금융지주</t>
  </si>
  <si>
    <t>유성기업</t>
  </si>
  <si>
    <t>유수홀딩스</t>
  </si>
  <si>
    <t>유안타증권</t>
  </si>
  <si>
    <t>인천도시가스</t>
  </si>
  <si>
    <t>인터지스</t>
  </si>
  <si>
    <t>일성신약</t>
  </si>
  <si>
    <t>일신방직</t>
  </si>
  <si>
    <t>일진홀딩스</t>
  </si>
  <si>
    <t>자이에스앤디</t>
  </si>
  <si>
    <t>전방</t>
  </si>
  <si>
    <t>제이에스코퍼레이션</t>
  </si>
  <si>
    <t>조흥</t>
  </si>
  <si>
    <t>지누스</t>
  </si>
  <si>
    <t>진도</t>
  </si>
  <si>
    <t>진양홀딩스</t>
  </si>
  <si>
    <t>코리안리</t>
  </si>
  <si>
    <t>코오롱</t>
  </si>
  <si>
    <t>코오롱글로벌</t>
  </si>
  <si>
    <t>코오롱인더</t>
  </si>
  <si>
    <t>쿠쿠홀딩스</t>
  </si>
  <si>
    <t>쿠쿠홈시스</t>
  </si>
  <si>
    <t>크라운제과</t>
  </si>
  <si>
    <t>태경산업</t>
  </si>
  <si>
    <t>태영건설</t>
  </si>
  <si>
    <t>테이팩스</t>
  </si>
  <si>
    <t>텔코웨어</t>
  </si>
  <si>
    <t>티와이홀딩스</t>
  </si>
  <si>
    <t>팬오션</t>
  </si>
  <si>
    <t>풍산홀딩스</t>
  </si>
  <si>
    <t>하나금융지주</t>
  </si>
  <si>
    <t>하나제약</t>
  </si>
  <si>
    <t>하이트진로홀딩스</t>
  </si>
  <si>
    <t>한국금융지주</t>
  </si>
  <si>
    <t>한국앤컴퍼니</t>
  </si>
  <si>
    <t>한국자산신탁</t>
  </si>
  <si>
    <t>한국전자홀딩스</t>
  </si>
  <si>
    <t>한국주철관</t>
  </si>
  <si>
    <t>한국철강</t>
  </si>
  <si>
    <t>한국토지신탁</t>
  </si>
  <si>
    <t>한섬</t>
  </si>
  <si>
    <t>한세예스24홀딩스</t>
  </si>
  <si>
    <t>한솔제지</t>
  </si>
  <si>
    <t>한솔홀딩스</t>
  </si>
  <si>
    <t>한신공영</t>
  </si>
  <si>
    <t>한양증권</t>
  </si>
  <si>
    <t>한일시멘트</t>
  </si>
  <si>
    <t>한일현대시멘트</t>
  </si>
  <si>
    <t>한일홀딩스</t>
  </si>
  <si>
    <t>한진중공업홀딩스</t>
  </si>
  <si>
    <t>현대지에프홀딩스</t>
  </si>
  <si>
    <t>현대차증권</t>
  </si>
  <si>
    <t>현대코퍼레이션</t>
  </si>
  <si>
    <t>현대코퍼레이션홀딩스</t>
  </si>
  <si>
    <t>현대해상</t>
  </si>
  <si>
    <t>현대홈쇼핑</t>
  </si>
  <si>
    <t>호전실업</t>
  </si>
  <si>
    <t>화성산업</t>
  </si>
  <si>
    <t>화천기공</t>
  </si>
  <si>
    <t>휴스틸</t>
  </si>
  <si>
    <t>KOSPI종목 재무</t>
    <phoneticPr fontId="1" type="noConversion"/>
  </si>
  <si>
    <t>종목코드</t>
    <phoneticPr fontId="1" type="noConversion"/>
  </si>
  <si>
    <t>종목명</t>
    <phoneticPr fontId="1" type="noConversion"/>
  </si>
  <si>
    <t>PBR</t>
    <phoneticPr fontId="1" type="noConversion"/>
  </si>
  <si>
    <t>PER</t>
    <phoneticPr fontId="1" type="noConversion"/>
  </si>
  <si>
    <t>DIV</t>
    <phoneticPr fontId="1" type="noConversion"/>
  </si>
  <si>
    <t>네이버 KOSPI 재무</t>
    <phoneticPr fontId="1" type="noConversion"/>
  </si>
  <si>
    <t>PYKRX  KOR_STOCK 재무</t>
    <phoneticPr fontId="1" type="noConversion"/>
  </si>
  <si>
    <t>종목 재무</t>
    <phoneticPr fontId="1" type="noConversion"/>
  </si>
  <si>
    <t>리드코프</t>
  </si>
  <si>
    <t>메가스터디</t>
  </si>
  <si>
    <t>씨앤투스</t>
  </si>
  <si>
    <t>SGC이테크건설</t>
  </si>
  <si>
    <t>에스에이엠티</t>
  </si>
  <si>
    <t>네오티스</t>
  </si>
  <si>
    <t>빅솔론</t>
  </si>
  <si>
    <t>서원인텍</t>
  </si>
  <si>
    <t>도이치모터스</t>
  </si>
  <si>
    <t>푸른저축은행</t>
  </si>
  <si>
    <t>경동제약</t>
  </si>
  <si>
    <t>삼현철강</t>
  </si>
  <si>
    <t>에스제이그룹</t>
  </si>
  <si>
    <t>라이온켐텍</t>
  </si>
  <si>
    <t>대창스틸</t>
  </si>
  <si>
    <t>대원</t>
  </si>
  <si>
    <t>레드캡투어</t>
  </si>
  <si>
    <t>서한</t>
  </si>
  <si>
    <t>DH오토리드</t>
  </si>
  <si>
    <t>코웰패션</t>
  </si>
  <si>
    <t>세보엠이씨</t>
  </si>
  <si>
    <t>동원개발</t>
  </si>
  <si>
    <t>삼지전자</t>
  </si>
  <si>
    <t>에스티오</t>
  </si>
  <si>
    <t>에이스침대</t>
  </si>
  <si>
    <t>남화산업</t>
  </si>
  <si>
    <t>메카로</t>
  </si>
  <si>
    <t>와이엠씨</t>
  </si>
  <si>
    <t>금화피에스시</t>
  </si>
  <si>
    <t>와이지-원</t>
  </si>
  <si>
    <t>원풍</t>
  </si>
  <si>
    <t>에이티넘인베스트</t>
  </si>
  <si>
    <t>티쓰리</t>
  </si>
  <si>
    <t>유진기업</t>
  </si>
  <si>
    <t>제룡산업</t>
  </si>
  <si>
    <t>한국가구</t>
  </si>
  <si>
    <t>한국캐피탈</t>
  </si>
  <si>
    <t>태웅로직스</t>
  </si>
  <si>
    <t>경남스틸</t>
  </si>
  <si>
    <t>동일금속</t>
  </si>
  <si>
    <t>태양</t>
  </si>
  <si>
    <t>와토스코리아</t>
  </si>
  <si>
    <t>골프존뉴딘홀딩스</t>
  </si>
  <si>
    <t>아이디피</t>
  </si>
  <si>
    <t>인포바인</t>
  </si>
  <si>
    <t>YW</t>
  </si>
  <si>
    <t>윈스</t>
  </si>
  <si>
    <t>KG모빌리언스</t>
  </si>
  <si>
    <t>파트론</t>
  </si>
  <si>
    <t>흥국</t>
  </si>
  <si>
    <t>정다운</t>
  </si>
  <si>
    <t>HRS</t>
  </si>
  <si>
    <t>씨큐브</t>
  </si>
  <si>
    <t>신진에스엠</t>
  </si>
  <si>
    <t>딜리</t>
  </si>
  <si>
    <t>쎌바이오텍</t>
  </si>
  <si>
    <t>한국컴퓨터</t>
  </si>
  <si>
    <t>한양이엔지</t>
  </si>
  <si>
    <t>쎄니트</t>
  </si>
  <si>
    <t>유에스티</t>
  </si>
  <si>
    <t>코텍</t>
  </si>
  <si>
    <t>서희건설</t>
  </si>
  <si>
    <t>에스텍</t>
  </si>
  <si>
    <t>에스에프에이</t>
  </si>
  <si>
    <t>풍강</t>
  </si>
  <si>
    <t>케이디켐</t>
  </si>
  <si>
    <t>삼일기업공사</t>
  </si>
  <si>
    <t>KX</t>
  </si>
  <si>
    <t>우리손에프앤지</t>
  </si>
  <si>
    <t>남화토건</t>
  </si>
  <si>
    <t>KCI</t>
  </si>
  <si>
    <t>크리스에프앤씨</t>
  </si>
  <si>
    <t>레이언스</t>
  </si>
  <si>
    <t>영풍정밀</t>
  </si>
  <si>
    <t>이씨에스</t>
  </si>
  <si>
    <t>진성티이씨</t>
  </si>
  <si>
    <t>뉴트리</t>
  </si>
  <si>
    <t>컴투스</t>
  </si>
  <si>
    <t>KG이니시스</t>
  </si>
  <si>
    <t>KODAQ종목 재무</t>
    <phoneticPr fontId="1" type="noConversion"/>
  </si>
  <si>
    <t>NO</t>
    <phoneticPr fontId="1" type="noConversion"/>
  </si>
  <si>
    <t>시장</t>
    <phoneticPr fontId="1" type="noConversion"/>
  </si>
  <si>
    <t>부채비율</t>
    <phoneticPr fontId="1" type="noConversion"/>
  </si>
  <si>
    <t>유보율</t>
    <phoneticPr fontId="1" type="noConversion"/>
  </si>
  <si>
    <t>매출액 증가율</t>
    <phoneticPr fontId="1" type="noConversion"/>
  </si>
  <si>
    <t>EPS 증가율</t>
    <phoneticPr fontId="1" type="noConversion"/>
  </si>
  <si>
    <t>ROA</t>
    <phoneticPr fontId="1" type="noConversion"/>
  </si>
  <si>
    <t>ROE</t>
    <phoneticPr fontId="1" type="noConversion"/>
  </si>
  <si>
    <t>EPS</t>
    <phoneticPr fontId="1" type="noConversion"/>
  </si>
  <si>
    <t>BPS</t>
    <phoneticPr fontId="1" type="noConversion"/>
  </si>
  <si>
    <t xml:space="preserve">EV/ EVITA </t>
    <phoneticPr fontId="1" type="noConversion"/>
  </si>
  <si>
    <t>종목재무</t>
    <phoneticPr fontId="1" type="noConversion"/>
  </si>
  <si>
    <t>유</t>
  </si>
  <si>
    <t>코</t>
  </si>
  <si>
    <t>적전</t>
  </si>
  <si>
    <t>흑전</t>
  </si>
  <si>
    <t>pyKrx Fishied!</t>
    <phoneticPr fontId="1" type="noConversion"/>
  </si>
  <si>
    <t>한라IMS</t>
  </si>
  <si>
    <t>무림SP</t>
  </si>
  <si>
    <t>한일화학</t>
  </si>
  <si>
    <t>부방</t>
  </si>
  <si>
    <t>이니텍</t>
  </si>
  <si>
    <t>삼화페인트</t>
  </si>
  <si>
    <t>무학</t>
  </si>
  <si>
    <t>쌍용C&amp;E</t>
  </si>
  <si>
    <t>OCI홀딩스</t>
  </si>
  <si>
    <t>SK네트웍스</t>
  </si>
  <si>
    <t>OCI</t>
  </si>
  <si>
    <t>POSCO홀딩스</t>
  </si>
  <si>
    <t>S-Oil</t>
  </si>
  <si>
    <t>황금에스티</t>
  </si>
  <si>
    <t>방림</t>
  </si>
  <si>
    <t>현대건설</t>
  </si>
  <si>
    <t>제일연마</t>
  </si>
  <si>
    <t>알루코</t>
  </si>
  <si>
    <t>원림</t>
  </si>
  <si>
    <t>LG디스플레이</t>
  </si>
  <si>
    <t>강원랜드</t>
  </si>
  <si>
    <t>관심종목</t>
    <phoneticPr fontId="1" type="noConversion"/>
  </si>
  <si>
    <t>Req_JSON</t>
    <phoneticPr fontId="1" type="noConversion"/>
  </si>
  <si>
    <t>&lt; 50</t>
    <phoneticPr fontId="1" type="noConversion"/>
  </si>
  <si>
    <t>&gt; 5</t>
    <phoneticPr fontId="1" type="noConversion"/>
  </si>
  <si>
    <t>데이터 =&gt; 필터 고급적용</t>
    <phoneticPr fontId="1" type="noConversion"/>
  </si>
  <si>
    <t>코</t>
    <phoneticPr fontId="1" type="noConversion"/>
  </si>
  <si>
    <t>스톤브릿지벤처스</t>
  </si>
  <si>
    <t>TJ미디어</t>
  </si>
  <si>
    <t>오리콤</t>
  </si>
  <si>
    <t>삼천리</t>
  </si>
  <si>
    <t>서울가스</t>
  </si>
  <si>
    <t>종목코드</t>
  </si>
  <si>
    <t>종목명</t>
  </si>
  <si>
    <t>종가</t>
  </si>
  <si>
    <t>대비</t>
  </si>
  <si>
    <t>등락률</t>
  </si>
  <si>
    <t>EPS</t>
  </si>
  <si>
    <t>PER</t>
  </si>
  <si>
    <t>선행 EPS</t>
  </si>
  <si>
    <t>선행 PER</t>
  </si>
  <si>
    <t>BPS</t>
  </si>
  <si>
    <t>PBR</t>
  </si>
  <si>
    <t>주당배당금</t>
  </si>
  <si>
    <t>배당수익률</t>
  </si>
  <si>
    <t>-</t>
  </si>
  <si>
    <t>락앤락</t>
  </si>
  <si>
    <t>오상헬스케어</t>
  </si>
  <si>
    <t>S-Oil우</t>
  </si>
  <si>
    <t>크레버스</t>
  </si>
  <si>
    <t>이노션</t>
  </si>
  <si>
    <t>삼양옵틱스</t>
  </si>
  <si>
    <t>피씨디렉트</t>
  </si>
  <si>
    <t>이크레더블</t>
  </si>
  <si>
    <t>서호전기</t>
  </si>
  <si>
    <t>금호석유우</t>
  </si>
  <si>
    <t>효성</t>
  </si>
  <si>
    <t>정상제이엘에스</t>
  </si>
  <si>
    <t>대신증권우</t>
  </si>
  <si>
    <t>대신증권2우B</t>
  </si>
  <si>
    <t>코엔텍</t>
  </si>
  <si>
    <t>한국쉘석유</t>
  </si>
  <si>
    <t>부국증권우</t>
  </si>
  <si>
    <t>SK이노베이션우</t>
  </si>
  <si>
    <t>GS우</t>
  </si>
  <si>
    <t>삼양홀딩스우</t>
  </si>
  <si>
    <t>태영건설우</t>
  </si>
  <si>
    <t>하이트진로2우B</t>
  </si>
  <si>
    <t>예스코홀딩스</t>
  </si>
  <si>
    <t>제일기획</t>
  </si>
  <si>
    <t>NH투자증권우</t>
  </si>
  <si>
    <t>한국기업평가</t>
  </si>
  <si>
    <t>SK텔레콤</t>
  </si>
  <si>
    <t>신풍</t>
  </si>
  <si>
    <t>AJ네트웍스</t>
  </si>
  <si>
    <t>효성ITX</t>
  </si>
  <si>
    <t>코오롱인더우</t>
  </si>
  <si>
    <t>한온시스템</t>
  </si>
  <si>
    <t>한양증권우</t>
  </si>
  <si>
    <t>신영증권우</t>
  </si>
  <si>
    <t>화인써키트</t>
  </si>
  <si>
    <t>37550K</t>
  </si>
  <si>
    <t>DL이앤씨우</t>
  </si>
  <si>
    <t>LX세미콘</t>
  </si>
  <si>
    <t>삼성화재우</t>
  </si>
  <si>
    <t>유안타증권우</t>
  </si>
  <si>
    <t>피에스텍</t>
  </si>
  <si>
    <t>HL홀딩스</t>
  </si>
  <si>
    <t>SK디스커버리우</t>
  </si>
  <si>
    <t>28513K</t>
  </si>
  <si>
    <t>SK케미칼우</t>
  </si>
  <si>
    <t>00806K</t>
  </si>
  <si>
    <t>대덕1우</t>
  </si>
  <si>
    <t>화승인더</t>
  </si>
  <si>
    <t>케이카</t>
  </si>
  <si>
    <t>창해에탄올</t>
  </si>
  <si>
    <t>KT&amp;G</t>
  </si>
  <si>
    <t>골프존</t>
  </si>
  <si>
    <t>00088K</t>
  </si>
  <si>
    <t>한화3우B</t>
  </si>
  <si>
    <t>KPX홀딩스</t>
  </si>
  <si>
    <t>유화증권우</t>
  </si>
  <si>
    <t>00680K</t>
  </si>
  <si>
    <t>미래에셋증권2우B</t>
  </si>
  <si>
    <t>미래에셋증권우</t>
  </si>
  <si>
    <t>TKG휴켐스</t>
  </si>
  <si>
    <t>제이에스티나</t>
  </si>
  <si>
    <t>한국금융지주우</t>
  </si>
  <si>
    <t>평화홀딩스</t>
  </si>
  <si>
    <t>롯데칠성우</t>
  </si>
  <si>
    <t>유화증권</t>
  </si>
  <si>
    <t>엔브이에이치코리아</t>
  </si>
  <si>
    <t>삼양사우</t>
  </si>
  <si>
    <t>기신정기</t>
  </si>
  <si>
    <t>이라이콤</t>
  </si>
  <si>
    <t>하이트진로</t>
  </si>
  <si>
    <t>현대차3우B</t>
  </si>
  <si>
    <t>웅진씽크빅</t>
  </si>
  <si>
    <t>신세계건설</t>
  </si>
  <si>
    <t>하이트진로홀딩스우</t>
  </si>
  <si>
    <t>LG우</t>
  </si>
  <si>
    <t>금호건설우</t>
  </si>
  <si>
    <t>DB손해보험</t>
  </si>
  <si>
    <t>현대차2우B</t>
  </si>
  <si>
    <t>롯데쇼핑</t>
  </si>
  <si>
    <t>코오롱우</t>
  </si>
  <si>
    <t>삼성화재</t>
  </si>
  <si>
    <t>현대차우</t>
  </si>
  <si>
    <t>위닉스</t>
  </si>
  <si>
    <t>대한제당우</t>
  </si>
  <si>
    <t>효성첨단소재</t>
  </si>
  <si>
    <t>00499K</t>
  </si>
  <si>
    <t>롯데지주우</t>
  </si>
  <si>
    <t>대상우</t>
  </si>
  <si>
    <t>35320K</t>
  </si>
  <si>
    <t>대덕전자1우</t>
  </si>
  <si>
    <t>DL우</t>
  </si>
  <si>
    <t>CJ우</t>
  </si>
  <si>
    <t>에스원</t>
  </si>
  <si>
    <t>동서</t>
  </si>
  <si>
    <t>삼양패키징</t>
  </si>
  <si>
    <t>플랜티넷</t>
  </si>
  <si>
    <t>CJ제일제당 우</t>
  </si>
  <si>
    <t>37550L</t>
  </si>
  <si>
    <t>DL이앤씨2우(전환)</t>
  </si>
  <si>
    <t>동양</t>
  </si>
  <si>
    <t>엠브레인</t>
  </si>
  <si>
    <t>세방우</t>
  </si>
  <si>
    <t>SJM홀딩스</t>
  </si>
  <si>
    <t>JW생명과학</t>
  </si>
  <si>
    <t>예스24</t>
  </si>
  <si>
    <t>피제이메탈</t>
  </si>
  <si>
    <t>삼정펄프</t>
  </si>
  <si>
    <t>휠라홀딩스</t>
  </si>
  <si>
    <t>사람인</t>
  </si>
  <si>
    <t>삼화왕관</t>
  </si>
  <si>
    <t>씨앤지하이테크</t>
  </si>
  <si>
    <t>인지소프트</t>
  </si>
  <si>
    <t>인크로스</t>
  </si>
  <si>
    <t>넥센우</t>
  </si>
  <si>
    <t>코리아에셋투자증권</t>
  </si>
  <si>
    <t>동아지질</t>
  </si>
  <si>
    <t>NPC우</t>
  </si>
  <si>
    <t>국순당</t>
  </si>
  <si>
    <t>DB금융투자</t>
  </si>
  <si>
    <t>PI첨단소재</t>
  </si>
  <si>
    <t>해태제과식품</t>
  </si>
  <si>
    <t>동인기연</t>
  </si>
  <si>
    <t>한국콜마홀딩스</t>
  </si>
  <si>
    <t>HB솔루션</t>
  </si>
  <si>
    <t>새론오토모티브</t>
  </si>
  <si>
    <t>도화엔지니어링</t>
  </si>
  <si>
    <t>00279K</t>
  </si>
  <si>
    <t>아모레G3우(전환)</t>
  </si>
  <si>
    <t>미원화학</t>
  </si>
  <si>
    <t>이수화학</t>
  </si>
  <si>
    <t>메가스터디교육</t>
  </si>
  <si>
    <t>오션브릿지</t>
  </si>
  <si>
    <t>33637K</t>
  </si>
  <si>
    <t>솔루스첨단소재1우</t>
  </si>
  <si>
    <t>LG헬로비전</t>
  </si>
  <si>
    <t>38380K</t>
  </si>
  <si>
    <t>LX홀딩스1우</t>
  </si>
  <si>
    <t>YBM넷</t>
  </si>
  <si>
    <t>한전KPS</t>
  </si>
  <si>
    <t>NICE평가정보</t>
  </si>
  <si>
    <t>포시에스</t>
  </si>
  <si>
    <t>03473K</t>
  </si>
  <si>
    <t>SK우</t>
  </si>
  <si>
    <t>HDC현대산업개발</t>
  </si>
  <si>
    <t>엔씨소프트</t>
  </si>
  <si>
    <t>나스미디어</t>
  </si>
  <si>
    <t>KB오토시스</t>
  </si>
  <si>
    <t>BGF리테일</t>
  </si>
  <si>
    <t>LG화학우</t>
  </si>
  <si>
    <t>한독크린텍</t>
  </si>
  <si>
    <t>한네트</t>
  </si>
  <si>
    <t>효성티앤씨</t>
  </si>
  <si>
    <t>씨젠</t>
  </si>
  <si>
    <t>엘엠에스</t>
  </si>
  <si>
    <t>진양폴리</t>
  </si>
  <si>
    <t>엠투아이</t>
  </si>
  <si>
    <t>HDC</t>
  </si>
  <si>
    <t>와이솔</t>
  </si>
  <si>
    <t>넥센타이어1우B</t>
  </si>
  <si>
    <t>대한항공우</t>
  </si>
  <si>
    <t>퍼시스</t>
  </si>
  <si>
    <t>코오롱글로벌우</t>
  </si>
  <si>
    <t>KCC건설</t>
  </si>
  <si>
    <t>디알젬</t>
  </si>
  <si>
    <t>두산우</t>
  </si>
  <si>
    <t>진양산업</t>
  </si>
  <si>
    <t>JW홀딩스</t>
  </si>
  <si>
    <t>헥토이노베이션</t>
  </si>
  <si>
    <t>그린케미칼</t>
  </si>
  <si>
    <t>오텍</t>
  </si>
  <si>
    <t>에프앤가이드</t>
  </si>
  <si>
    <t>00104K</t>
  </si>
  <si>
    <t>CJ4우(전환)</t>
  </si>
  <si>
    <t>디지털대성</t>
  </si>
  <si>
    <t>공구우먼</t>
  </si>
  <si>
    <t>롯데하이마트</t>
  </si>
  <si>
    <t>대교우B</t>
  </si>
  <si>
    <t>삼성전기우</t>
  </si>
  <si>
    <t>고려신용정보</t>
  </si>
  <si>
    <t>케이엘넷</t>
  </si>
  <si>
    <t>나이스디앤비</t>
  </si>
  <si>
    <t>36328K</t>
  </si>
  <si>
    <t>티와이홀딩스우</t>
  </si>
  <si>
    <t>한미글로벌</t>
  </si>
  <si>
    <t>현대제철</t>
  </si>
  <si>
    <t>나이스정보통신</t>
  </si>
  <si>
    <t>SPC삼립</t>
  </si>
  <si>
    <t>현대글로비스</t>
  </si>
  <si>
    <t>동남합성</t>
  </si>
  <si>
    <t>대성에너지</t>
  </si>
  <si>
    <t>삼양통상</t>
  </si>
  <si>
    <t>SNT다이내믹스</t>
  </si>
  <si>
    <t>매일유업</t>
  </si>
  <si>
    <t>케이피에프</t>
  </si>
  <si>
    <t>DB하이텍</t>
  </si>
  <si>
    <t>삼표시멘트</t>
  </si>
  <si>
    <t>한전산업</t>
  </si>
  <si>
    <t>동성화인텍</t>
  </si>
  <si>
    <t>대림B&amp;Co</t>
  </si>
  <si>
    <t>아시아나IDT</t>
  </si>
  <si>
    <t>해성산업</t>
  </si>
  <si>
    <t>진로발효</t>
  </si>
  <si>
    <t>빛샘전자</t>
  </si>
  <si>
    <t>KCC</t>
  </si>
  <si>
    <t>롯데케미칼</t>
  </si>
  <si>
    <t>DL이앤씨</t>
  </si>
  <si>
    <t>현대차</t>
  </si>
  <si>
    <t>한독</t>
  </si>
  <si>
    <t>HD현대인프라코어</t>
  </si>
  <si>
    <t>와이엠텍</t>
  </si>
  <si>
    <t>한국선재</t>
  </si>
  <si>
    <t>BGF</t>
  </si>
  <si>
    <t>한솔로지스틱스</t>
  </si>
  <si>
    <t>이마트</t>
  </si>
  <si>
    <t>동원산업</t>
  </si>
  <si>
    <t>빙그레</t>
  </si>
  <si>
    <t>이글루</t>
  </si>
  <si>
    <t>네오팜</t>
  </si>
  <si>
    <t>한국경제TV</t>
  </si>
  <si>
    <t>파버나인</t>
  </si>
  <si>
    <t>유투바이오</t>
  </si>
  <si>
    <t>국보디자인</t>
  </si>
  <si>
    <t>기아</t>
  </si>
  <si>
    <t>안국약품</t>
  </si>
  <si>
    <t>코메론</t>
  </si>
  <si>
    <t>대원산업</t>
  </si>
  <si>
    <t>노루페인트</t>
  </si>
  <si>
    <t>금양그린파워</t>
  </si>
  <si>
    <t>인탑스</t>
  </si>
  <si>
    <t>스틱인베스트먼트</t>
  </si>
  <si>
    <t>SJM</t>
  </si>
  <si>
    <t>에코마케팅</t>
  </si>
  <si>
    <t>한익스프레스</t>
  </si>
  <si>
    <t>고려제약</t>
  </si>
  <si>
    <t>한국수출포장</t>
  </si>
  <si>
    <t>동원시스템즈우</t>
  </si>
  <si>
    <t>상신브레이크</t>
  </si>
  <si>
    <t>더네이쳐홀딩스</t>
  </si>
  <si>
    <t>보광산업</t>
  </si>
  <si>
    <t>보라티알</t>
  </si>
  <si>
    <t>신성통상</t>
  </si>
  <si>
    <t>03481K</t>
  </si>
  <si>
    <t>해성산업1우</t>
  </si>
  <si>
    <t>와이어블</t>
  </si>
  <si>
    <t>수산인더스트리</t>
  </si>
  <si>
    <t>한화</t>
  </si>
  <si>
    <t>일진파워</t>
  </si>
  <si>
    <t>시큐브</t>
  </si>
  <si>
    <t>SK</t>
  </si>
  <si>
    <t>대성홀딩스</t>
  </si>
  <si>
    <t>동양에스텍</t>
  </si>
  <si>
    <t>다우기술</t>
  </si>
  <si>
    <t>두산밥캣</t>
  </si>
  <si>
    <t>아이윈</t>
  </si>
  <si>
    <t>LG생활건강우</t>
  </si>
  <si>
    <t>유니드</t>
  </si>
  <si>
    <t>삼양사</t>
  </si>
  <si>
    <t>상상인</t>
  </si>
  <si>
    <t>HD현대에너지솔루션</t>
  </si>
  <si>
    <t>넥센</t>
  </si>
  <si>
    <t>현대퓨처넷</t>
  </si>
  <si>
    <t>롯데칠성</t>
  </si>
  <si>
    <t>테스</t>
  </si>
  <si>
    <t>화신정공</t>
  </si>
  <si>
    <t>원일특강</t>
  </si>
  <si>
    <t>한진</t>
  </si>
  <si>
    <t>한세실업</t>
  </si>
  <si>
    <t>대상홀딩스</t>
  </si>
  <si>
    <t>한창산업</t>
  </si>
  <si>
    <t>한화우</t>
  </si>
  <si>
    <t>현대백화점</t>
  </si>
  <si>
    <t>헥토파이낸셜</t>
  </si>
  <si>
    <t>현우산업</t>
  </si>
  <si>
    <t>두산2우B</t>
  </si>
  <si>
    <t>진양제약</t>
  </si>
  <si>
    <t>이지홀딩스</t>
  </si>
  <si>
    <t>뷰웍스</t>
  </si>
  <si>
    <t>인지컨트롤스</t>
  </si>
  <si>
    <t>화승코퍼레이션</t>
  </si>
  <si>
    <t>하인크코리아</t>
  </si>
  <si>
    <t>HDC현대EP</t>
  </si>
  <si>
    <t>알리코제약</t>
  </si>
  <si>
    <t>세명전기</t>
  </si>
  <si>
    <t>성도이엔지</t>
  </si>
  <si>
    <t>미래에셋증권</t>
  </si>
  <si>
    <t>인지디스플레</t>
  </si>
  <si>
    <t>유신</t>
  </si>
  <si>
    <t>세방</t>
  </si>
  <si>
    <t>세진중공업</t>
  </si>
  <si>
    <t>수젠텍</t>
  </si>
  <si>
    <t>대륙제관</t>
  </si>
  <si>
    <t>삼아제약</t>
  </si>
  <si>
    <t>농우바이오</t>
  </si>
  <si>
    <t>유비쿼스</t>
  </si>
  <si>
    <t>코오롱플라스틱</t>
  </si>
  <si>
    <t>원익머트리얼즈</t>
  </si>
  <si>
    <t>교촌에프앤비</t>
  </si>
  <si>
    <t>제노레이</t>
  </si>
  <si>
    <t>케이사인</t>
  </si>
  <si>
    <t>디케이락</t>
  </si>
  <si>
    <t>에스씨디</t>
  </si>
  <si>
    <t>유니온</t>
  </si>
  <si>
    <t>26490K</t>
  </si>
  <si>
    <t>크라운제과우</t>
  </si>
  <si>
    <t>제이씨케미칼</t>
  </si>
  <si>
    <t>모나미</t>
  </si>
  <si>
    <t>유니퀘스트</t>
  </si>
  <si>
    <t>브랜드엑스코퍼레이션</t>
  </si>
  <si>
    <t>한국정보인증</t>
  </si>
  <si>
    <t>동부건설우</t>
  </si>
  <si>
    <t>무림페이퍼</t>
  </si>
  <si>
    <t>동국알앤에스</t>
  </si>
  <si>
    <t>F&amp;F</t>
  </si>
  <si>
    <t>한창제지</t>
  </si>
  <si>
    <t>코웨이</t>
  </si>
  <si>
    <t>삼성전자우</t>
  </si>
  <si>
    <t>금강철강</t>
  </si>
  <si>
    <t>성신양회</t>
  </si>
  <si>
    <t>하이록코리아</t>
  </si>
  <si>
    <t>이엠넷</t>
  </si>
  <si>
    <t>LG화학</t>
  </si>
  <si>
    <t>대원제약</t>
  </si>
  <si>
    <t>인산가</t>
  </si>
  <si>
    <t>부국철강</t>
  </si>
  <si>
    <t>종근당홀딩스</t>
  </si>
  <si>
    <t>대한약품</t>
  </si>
  <si>
    <t>SK케미칼</t>
  </si>
  <si>
    <t>대정화금</t>
  </si>
  <si>
    <t>성우전자</t>
  </si>
  <si>
    <t>강남제비스코</t>
  </si>
  <si>
    <t>오뚜기</t>
  </si>
  <si>
    <t>CJ</t>
  </si>
  <si>
    <t>파이오링크</t>
  </si>
  <si>
    <t>키움증권</t>
  </si>
  <si>
    <t>제이엠티</t>
  </si>
  <si>
    <t>아이디스홀딩스</t>
  </si>
  <si>
    <t>휴온스글로벌</t>
  </si>
  <si>
    <t>BGF에코머티리얼즈</t>
  </si>
  <si>
    <t>케어젠</t>
  </si>
  <si>
    <t>제이엔케이히터</t>
  </si>
  <si>
    <t>동아엘텍</t>
  </si>
  <si>
    <t>멀티캠퍼스</t>
  </si>
  <si>
    <t>F&amp;F홀딩스</t>
  </si>
  <si>
    <t>동원F&amp;B</t>
  </si>
  <si>
    <t>태경비케이</t>
  </si>
  <si>
    <t>신세계</t>
  </si>
  <si>
    <t>DL</t>
  </si>
  <si>
    <t>다우데이타</t>
  </si>
  <si>
    <t>풍산</t>
  </si>
  <si>
    <t>한국큐빅</t>
  </si>
  <si>
    <t>현대공업</t>
  </si>
  <si>
    <t>LG이노텍</t>
  </si>
  <si>
    <t>KNN</t>
  </si>
  <si>
    <t>KISCO홀딩스</t>
  </si>
  <si>
    <t>서울반도체</t>
  </si>
  <si>
    <t>웹젠</t>
  </si>
  <si>
    <t>일진다이아</t>
  </si>
  <si>
    <t>대주산업</t>
  </si>
  <si>
    <t>세운메디칼</t>
  </si>
  <si>
    <t>오디텍</t>
  </si>
  <si>
    <t>아모레G우</t>
  </si>
  <si>
    <t>유유제약</t>
  </si>
  <si>
    <t>케이프</t>
  </si>
  <si>
    <t>아세아제지</t>
  </si>
  <si>
    <t>희림</t>
  </si>
  <si>
    <t>광전자</t>
  </si>
  <si>
    <t>아세아텍</t>
  </si>
  <si>
    <t>이베스트투자증권</t>
  </si>
  <si>
    <t>콜마비앤에이치</t>
  </si>
  <si>
    <t>영풍</t>
  </si>
  <si>
    <t>33637L</t>
  </si>
  <si>
    <t>솔루스첨단소재2우B</t>
  </si>
  <si>
    <t>옵티시스</t>
  </si>
  <si>
    <t>한솔PNS</t>
  </si>
  <si>
    <t>KG스틸</t>
  </si>
  <si>
    <t>KH바텍</t>
  </si>
  <si>
    <t>환인제약</t>
  </si>
  <si>
    <t>에스에이티</t>
  </si>
  <si>
    <t>02826K</t>
  </si>
  <si>
    <t>삼성물산우B</t>
  </si>
  <si>
    <t>유유제약1우</t>
  </si>
  <si>
    <t>금비</t>
  </si>
  <si>
    <t>NI스틸</t>
  </si>
  <si>
    <t>디와이</t>
  </si>
  <si>
    <t>아세아시멘트</t>
  </si>
  <si>
    <t>케이씨피드</t>
  </si>
  <si>
    <t>삼성에스디에스</t>
  </si>
  <si>
    <t>파세코</t>
  </si>
  <si>
    <t>NPC</t>
  </si>
  <si>
    <t>현대에이치티</t>
  </si>
  <si>
    <t>두올</t>
  </si>
  <si>
    <t>케이씨티</t>
  </si>
  <si>
    <t>소룩스</t>
  </si>
  <si>
    <t>애경산업</t>
  </si>
  <si>
    <t>제이스텍</t>
  </si>
  <si>
    <t>아모레퍼시픽우</t>
  </si>
  <si>
    <t>국일신동</t>
  </si>
  <si>
    <t>이지바이오</t>
  </si>
  <si>
    <t>삼성전자</t>
  </si>
  <si>
    <t>성신양회우</t>
  </si>
  <si>
    <t>엠씨넥스</t>
  </si>
  <si>
    <t>금강공업</t>
  </si>
  <si>
    <t>모베이스</t>
  </si>
  <si>
    <t>제일전기공업</t>
  </si>
  <si>
    <t>동구바이오제약</t>
  </si>
  <si>
    <t>WISCOM</t>
  </si>
  <si>
    <t>GS리테일</t>
  </si>
  <si>
    <t>이건홀딩스</t>
  </si>
  <si>
    <t>삼익THK</t>
  </si>
  <si>
    <t>신세계푸드</t>
  </si>
  <si>
    <t>씨유테크</t>
  </si>
  <si>
    <t>삼륭물산</t>
  </si>
  <si>
    <t>신대양제지</t>
  </si>
  <si>
    <t>유비쿼스홀딩스</t>
  </si>
  <si>
    <t>롯데웰푸드</t>
  </si>
  <si>
    <t>동화약품</t>
  </si>
  <si>
    <t>심텍홀딩스</t>
  </si>
  <si>
    <t>선광</t>
  </si>
  <si>
    <t>푸드웰</t>
  </si>
  <si>
    <t>해성디에스</t>
  </si>
  <si>
    <t>CJ제일제당</t>
  </si>
  <si>
    <t>모델솔루션</t>
  </si>
  <si>
    <t>우주일렉트로</t>
  </si>
  <si>
    <t>에이치케이</t>
  </si>
  <si>
    <t>디와이파워</t>
  </si>
  <si>
    <t>노루페인트우</t>
  </si>
  <si>
    <t>DMS</t>
  </si>
  <si>
    <t>인팩</t>
  </si>
  <si>
    <t>대한제분</t>
  </si>
  <si>
    <t>위세아이텍</t>
  </si>
  <si>
    <t>인터로조</t>
  </si>
  <si>
    <t>브리지텍</t>
  </si>
  <si>
    <t>지엠비코리아</t>
  </si>
  <si>
    <t>매일홀딩스</t>
  </si>
  <si>
    <t>로지시스</t>
  </si>
  <si>
    <t>드림텍</t>
  </si>
  <si>
    <t>케이씨에스</t>
  </si>
  <si>
    <t>롯데정보통신</t>
  </si>
  <si>
    <t>비아트론</t>
  </si>
  <si>
    <t>엠아이텍</t>
  </si>
  <si>
    <t>이닉스</t>
  </si>
  <si>
    <t>에스엘</t>
  </si>
  <si>
    <t>슈피겐코리아</t>
  </si>
  <si>
    <t>중앙에너비스</t>
  </si>
  <si>
    <t>대원강업</t>
  </si>
  <si>
    <t>이상네트웍스</t>
  </si>
  <si>
    <t>이엘피</t>
  </si>
  <si>
    <t>한국전자금융</t>
  </si>
  <si>
    <t>제우스</t>
  </si>
  <si>
    <t>흥국에프엔비</t>
  </si>
  <si>
    <t>우진플라임</t>
  </si>
  <si>
    <t>대신정보통신</t>
  </si>
  <si>
    <t>KC그린홀딩스</t>
  </si>
  <si>
    <t>녹십자홀딩스</t>
  </si>
  <si>
    <t>모나리자</t>
  </si>
  <si>
    <t>오로라</t>
  </si>
  <si>
    <t>아이디스</t>
  </si>
  <si>
    <t>디케이앤디</t>
  </si>
  <si>
    <t>포스코스틸리온</t>
  </si>
  <si>
    <t>아바코</t>
  </si>
  <si>
    <t>휴메딕스</t>
  </si>
  <si>
    <t>피에이치에이</t>
  </si>
  <si>
    <t>비상교육</t>
  </si>
  <si>
    <t>조광페인트</t>
  </si>
  <si>
    <t>심텍</t>
  </si>
  <si>
    <t>포스코인터내셔널</t>
  </si>
  <si>
    <t>대덕전자</t>
  </si>
  <si>
    <t>산돌</t>
  </si>
  <si>
    <t>미원에스씨</t>
  </si>
  <si>
    <t>신흥</t>
  </si>
  <si>
    <t>옵투스제약</t>
  </si>
  <si>
    <t>비비씨</t>
  </si>
  <si>
    <t>코맥스</t>
  </si>
  <si>
    <t>휴온스</t>
  </si>
  <si>
    <t>이지트로닉스</t>
  </si>
  <si>
    <t>케이씨</t>
  </si>
  <si>
    <t>우진</t>
  </si>
  <si>
    <t>에이치피오</t>
  </si>
  <si>
    <t>티씨케이</t>
  </si>
  <si>
    <t>한국종합기술</t>
  </si>
  <si>
    <t>엔피케이</t>
  </si>
  <si>
    <t>LG전자우</t>
  </si>
  <si>
    <t>한샘</t>
  </si>
  <si>
    <t>BYC우</t>
  </si>
  <si>
    <t>한국팩키지</t>
  </si>
  <si>
    <t>아세아</t>
  </si>
  <si>
    <t>크라운해태홀딩스</t>
  </si>
  <si>
    <t>비엠티</t>
  </si>
  <si>
    <t>유나이티드제약</t>
  </si>
  <si>
    <t>이건산업</t>
  </si>
  <si>
    <t>포메탈</t>
  </si>
  <si>
    <t>나우IB</t>
  </si>
  <si>
    <t>모트렉스</t>
  </si>
  <si>
    <t>SCI평가정보</t>
  </si>
  <si>
    <t>세종공업</t>
  </si>
  <si>
    <t>문배철강</t>
  </si>
  <si>
    <t>코미코</t>
  </si>
  <si>
    <t>서흥</t>
  </si>
  <si>
    <t>이랜텍</t>
  </si>
  <si>
    <t>오공</t>
  </si>
  <si>
    <t>티비씨</t>
  </si>
  <si>
    <t>KG케미칼</t>
  </si>
  <si>
    <t>아이센스</t>
  </si>
  <si>
    <t>우림피티에스</t>
  </si>
  <si>
    <t>펌텍코리아</t>
  </si>
  <si>
    <t>하림지주</t>
  </si>
  <si>
    <t>팜스코</t>
  </si>
  <si>
    <t>유니트론텍</t>
  </si>
  <si>
    <t>동아화성</t>
  </si>
  <si>
    <t>한국전자인증</t>
  </si>
  <si>
    <t>SH에너지화학</t>
  </si>
  <si>
    <t>신영와코루</t>
  </si>
  <si>
    <t>삼보판지</t>
  </si>
  <si>
    <t>아이퀘스트</t>
  </si>
  <si>
    <t>안랩</t>
  </si>
  <si>
    <t>경인전자</t>
  </si>
  <si>
    <t>노루홀딩스우</t>
  </si>
  <si>
    <t>팜스토리</t>
  </si>
  <si>
    <t>에스엠</t>
  </si>
  <si>
    <t>이노룰스</t>
  </si>
  <si>
    <t>태평양물산</t>
  </si>
  <si>
    <t>제일테크노스</t>
  </si>
  <si>
    <t>한솔테크닉스</t>
  </si>
  <si>
    <t>동양우</t>
  </si>
  <si>
    <t>영림원소프트랩</t>
  </si>
  <si>
    <t>코리아에프티</t>
  </si>
  <si>
    <t>KCTC</t>
  </si>
  <si>
    <t>노바렉스</t>
  </si>
  <si>
    <t>오이솔루션</t>
  </si>
  <si>
    <t>태경케미컬</t>
  </si>
  <si>
    <t>삼진</t>
  </si>
  <si>
    <t>싸이맥스</t>
  </si>
  <si>
    <t>한국내화</t>
  </si>
  <si>
    <t>태림포장</t>
  </si>
  <si>
    <t>KBG</t>
  </si>
  <si>
    <t>삼화콘덴서</t>
  </si>
  <si>
    <t>한국타이어앤테크놀로지</t>
  </si>
  <si>
    <t>조선선재</t>
  </si>
  <si>
    <t>동양이엔피</t>
  </si>
  <si>
    <t>피에스케이</t>
  </si>
  <si>
    <t>신송홀딩스</t>
  </si>
  <si>
    <t>피제이전자</t>
  </si>
  <si>
    <t>HL만도</t>
  </si>
  <si>
    <t>프럼파스트</t>
  </si>
  <si>
    <t>흥구석유</t>
  </si>
  <si>
    <t>동국산업</t>
  </si>
  <si>
    <t>오리엔탈정공</t>
  </si>
  <si>
    <t>LS</t>
  </si>
  <si>
    <t>현대모비스</t>
  </si>
  <si>
    <t>삼성물산</t>
  </si>
  <si>
    <t>NHN KCP</t>
  </si>
  <si>
    <t>시디즈</t>
  </si>
  <si>
    <t>비씨월드제약</t>
  </si>
  <si>
    <t>경방</t>
  </si>
  <si>
    <t>베뉴지</t>
  </si>
  <si>
    <t>파수</t>
  </si>
  <si>
    <t>영보화학</t>
  </si>
  <si>
    <t>큐알티</t>
  </si>
  <si>
    <t>비에이치</t>
  </si>
  <si>
    <t>한화시스템</t>
  </si>
  <si>
    <t>녹십자</t>
  </si>
  <si>
    <t>이녹스첨단소재</t>
  </si>
  <si>
    <t>성창오토텍</t>
  </si>
  <si>
    <t>DSR제강</t>
  </si>
  <si>
    <t>삼성전기</t>
  </si>
  <si>
    <t>CJ프레시웨이</t>
  </si>
  <si>
    <t>푸드나무</t>
  </si>
  <si>
    <t>KG ETS</t>
  </si>
  <si>
    <t>고려제강</t>
  </si>
  <si>
    <t>팜스빌</t>
  </si>
  <si>
    <t>계양전기</t>
  </si>
  <si>
    <t>유진투자증권</t>
  </si>
  <si>
    <t>경인양행</t>
  </si>
  <si>
    <t>와이즈버즈</t>
  </si>
  <si>
    <t>케이엔솔</t>
  </si>
  <si>
    <t>금강공업우</t>
  </si>
  <si>
    <t>광동제약</t>
  </si>
  <si>
    <t>대화제약</t>
  </si>
  <si>
    <t>휴비츠</t>
  </si>
  <si>
    <t>더블유게임즈</t>
  </si>
  <si>
    <t>디아이티</t>
  </si>
  <si>
    <t>DSR</t>
  </si>
  <si>
    <t>티에이치엔</t>
  </si>
  <si>
    <t>에코아이</t>
  </si>
  <si>
    <t>가온그룹</t>
  </si>
  <si>
    <t>신일제약</t>
  </si>
  <si>
    <t>동원시스템즈</t>
  </si>
  <si>
    <t>사조오양</t>
  </si>
  <si>
    <t>농심</t>
  </si>
  <si>
    <t>LS에코에너지</t>
  </si>
  <si>
    <t>디바이스이엔지</t>
  </si>
  <si>
    <t>두산</t>
  </si>
  <si>
    <t>선진</t>
  </si>
  <si>
    <t>남해화학</t>
  </si>
  <si>
    <t>아즈텍WB</t>
  </si>
  <si>
    <t>포커스에이치엔에스</t>
  </si>
  <si>
    <t>액트로</t>
  </si>
  <si>
    <t>나래나노텍</t>
  </si>
  <si>
    <t>하츠</t>
  </si>
  <si>
    <t>마크로젠</t>
  </si>
  <si>
    <t>태광</t>
  </si>
  <si>
    <t>인카금융서비스</t>
  </si>
  <si>
    <t>동양피스톤</t>
  </si>
  <si>
    <t>위메이드</t>
  </si>
  <si>
    <t>서플러스글로벌</t>
  </si>
  <si>
    <t>이노와이어리스</t>
  </si>
  <si>
    <t>동아쏘시오홀딩스</t>
  </si>
  <si>
    <t>JW중외제약우</t>
  </si>
  <si>
    <t>현대이지웰</t>
  </si>
  <si>
    <t>동양2우B</t>
  </si>
  <si>
    <t>AP시스템</t>
  </si>
  <si>
    <t>동일고무벨트</t>
  </si>
  <si>
    <t>현대건설우</t>
  </si>
  <si>
    <t>하나머티리얼즈</t>
  </si>
  <si>
    <t>어보브반도체</t>
  </si>
  <si>
    <t>삼화전기</t>
  </si>
  <si>
    <t>톱텍</t>
  </si>
  <si>
    <t>유라테크</t>
  </si>
  <si>
    <t>AK홀딩스</t>
  </si>
  <si>
    <t>잇츠한불</t>
  </si>
  <si>
    <t>에이텍</t>
  </si>
  <si>
    <t>LS ELECTRIC</t>
  </si>
  <si>
    <t>남성</t>
  </si>
  <si>
    <t>삼영엠텍</t>
  </si>
  <si>
    <t>우진엔텍</t>
  </si>
  <si>
    <t>까뮤이앤씨</t>
  </si>
  <si>
    <t>한국무브넥스</t>
  </si>
  <si>
    <t>서린바이오</t>
  </si>
  <si>
    <t>현대엘리베이</t>
  </si>
  <si>
    <t>유니온머티리얼</t>
  </si>
  <si>
    <t>나라엠앤디</t>
  </si>
  <si>
    <t>YTN</t>
  </si>
  <si>
    <t>현대위아</t>
  </si>
  <si>
    <t>한국카본</t>
  </si>
  <si>
    <t>대한뉴팜</t>
  </si>
  <si>
    <t>피에스케이홀딩스</t>
  </si>
  <si>
    <t>백산</t>
  </si>
  <si>
    <t>넥센타이어</t>
  </si>
  <si>
    <t>경동인베스트</t>
  </si>
  <si>
    <t>피엔케이피부임상연구센타</t>
  </si>
  <si>
    <t>LX하우시스우</t>
  </si>
  <si>
    <t>엠에스씨</t>
  </si>
  <si>
    <t>에스앤디</t>
  </si>
  <si>
    <t>지에스이</t>
  </si>
  <si>
    <t>아이씨디</t>
  </si>
  <si>
    <t>대교</t>
  </si>
  <si>
    <t>세화피앤씨</t>
  </si>
  <si>
    <t>대림제지</t>
  </si>
  <si>
    <t>세원정공</t>
  </si>
  <si>
    <t>JW중외제약</t>
  </si>
  <si>
    <t>리노공업</t>
  </si>
  <si>
    <t>세이브존I&amp;C</t>
  </si>
  <si>
    <t>기가비스</t>
  </si>
  <si>
    <t>화승알앤에이</t>
  </si>
  <si>
    <t>일양약품우</t>
  </si>
  <si>
    <t>에스엠코어</t>
  </si>
  <si>
    <t>그래디언트</t>
  </si>
  <si>
    <t>우리산업홀딩스</t>
  </si>
  <si>
    <t>LG생활건강</t>
  </si>
  <si>
    <t>오스템</t>
  </si>
  <si>
    <t>한솔케미칼</t>
  </si>
  <si>
    <t>NE능률</t>
  </si>
  <si>
    <t>우리산업</t>
  </si>
  <si>
    <t>태원물산</t>
  </si>
  <si>
    <t>부스타</t>
  </si>
  <si>
    <t>한국콜마</t>
  </si>
  <si>
    <t>사조씨푸드</t>
  </si>
  <si>
    <t>제이브이엠</t>
  </si>
  <si>
    <t>한일철강</t>
  </si>
  <si>
    <t>동국제약</t>
  </si>
  <si>
    <t>유니셈</t>
  </si>
  <si>
    <t>케이엠</t>
  </si>
  <si>
    <t>CNH</t>
  </si>
  <si>
    <t>동원금속</t>
  </si>
  <si>
    <t>티엘비</t>
  </si>
  <si>
    <t>지니언스</t>
  </si>
  <si>
    <t>수산아이앤티</t>
  </si>
  <si>
    <t>이구산업</t>
  </si>
  <si>
    <t>모코엠시스</t>
  </si>
  <si>
    <t>세아제강지주</t>
  </si>
  <si>
    <t>RF머트리얼즈</t>
  </si>
  <si>
    <t>브이원텍</t>
  </si>
  <si>
    <t>일동홀딩스</t>
  </si>
  <si>
    <t>위드텍</t>
  </si>
  <si>
    <t>비츠로셀</t>
  </si>
  <si>
    <t>일양약품</t>
  </si>
  <si>
    <t>인바디</t>
  </si>
  <si>
    <t>파인디지털</t>
  </si>
  <si>
    <t>녹십자홀딩스2우</t>
  </si>
  <si>
    <t>바디텍메드</t>
  </si>
  <si>
    <t>한국단자</t>
  </si>
  <si>
    <t>핑거</t>
  </si>
  <si>
    <t>지아이텍</t>
  </si>
  <si>
    <t>벽산</t>
  </si>
  <si>
    <t>구영테크</t>
  </si>
  <si>
    <t>지엔씨에너지</t>
  </si>
  <si>
    <t>상아프론테크</t>
  </si>
  <si>
    <t>원준</t>
  </si>
  <si>
    <t>성우테크론</t>
  </si>
  <si>
    <t>대상홀딩스우</t>
  </si>
  <si>
    <t>혜인</t>
  </si>
  <si>
    <t>뉴파워프라즈마</t>
  </si>
  <si>
    <t>크라운해태홀딩스우</t>
  </si>
  <si>
    <t>큐에스아이</t>
  </si>
  <si>
    <t>덕신하우징</t>
  </si>
  <si>
    <t>현대에버다임</t>
  </si>
  <si>
    <t>유비케어</t>
  </si>
  <si>
    <t>성우하이텍</t>
  </si>
  <si>
    <t>바이오플러스</t>
  </si>
  <si>
    <t>에코플라스틱</t>
  </si>
  <si>
    <t>대림통상</t>
  </si>
  <si>
    <t>그리티</t>
  </si>
  <si>
    <t>티플랙스</t>
  </si>
  <si>
    <t>오리온</t>
  </si>
  <si>
    <t>에스텍파마</t>
  </si>
  <si>
    <t>멕아이씨에스</t>
  </si>
  <si>
    <t>서연탑메탈</t>
  </si>
  <si>
    <t>씨에스윈드</t>
  </si>
  <si>
    <t>러셀</t>
  </si>
  <si>
    <t>프로텍</t>
  </si>
  <si>
    <t>대한과학</t>
  </si>
  <si>
    <t>디지틀조선</t>
  </si>
  <si>
    <t>풀무원</t>
  </si>
  <si>
    <t>씨티케이</t>
  </si>
  <si>
    <t>엠에스오토텍</t>
  </si>
  <si>
    <t>경동나비엔</t>
  </si>
  <si>
    <t>사조대림</t>
  </si>
  <si>
    <t>서울옥션</t>
  </si>
  <si>
    <t>유니켐</t>
  </si>
  <si>
    <t>노바텍</t>
  </si>
  <si>
    <t>미래컴퍼니</t>
  </si>
  <si>
    <t>이연제약</t>
  </si>
  <si>
    <t>SKC</t>
  </si>
  <si>
    <t>디아이</t>
  </si>
  <si>
    <t>티앤엘</t>
  </si>
  <si>
    <t>삼성공조</t>
  </si>
  <si>
    <t>삼보모터스</t>
  </si>
  <si>
    <t>중앙백신</t>
  </si>
  <si>
    <t>종근당</t>
  </si>
  <si>
    <t>현대무벡스</t>
  </si>
  <si>
    <t>승일</t>
  </si>
  <si>
    <t>동아에스티</t>
  </si>
  <si>
    <t>대모</t>
  </si>
  <si>
    <t>휴네시온</t>
  </si>
  <si>
    <t>디엔에프</t>
  </si>
  <si>
    <t>SV인베스트먼트</t>
  </si>
  <si>
    <t>LIG넥스원</t>
  </si>
  <si>
    <t>키다리스튜디오</t>
  </si>
  <si>
    <t>DI동일</t>
  </si>
  <si>
    <t>성광벤드</t>
  </si>
  <si>
    <t>유유제약2우B</t>
  </si>
  <si>
    <t>덕우전자</t>
  </si>
  <si>
    <t>사조산업</t>
  </si>
  <si>
    <t>미원홀딩스</t>
  </si>
  <si>
    <t>삼성출판사</t>
  </si>
  <si>
    <t>디스플레이텍</t>
  </si>
  <si>
    <t>대원미디어</t>
  </si>
  <si>
    <t>일진전기</t>
  </si>
  <si>
    <t>HK이노엔</t>
  </si>
  <si>
    <t>한국석유</t>
  </si>
  <si>
    <t>비트컴퓨터</t>
  </si>
  <si>
    <t>켐트로닉스</t>
  </si>
  <si>
    <t>쏠리드</t>
  </si>
  <si>
    <t>브레인즈컴퍼니</t>
  </si>
  <si>
    <t>녹십자웰빙</t>
  </si>
  <si>
    <t>티에스이</t>
  </si>
  <si>
    <t>홈센타홀딩스</t>
  </si>
  <si>
    <t>미원상사</t>
  </si>
  <si>
    <t>에코프로에이치엔</t>
  </si>
  <si>
    <t>코위버</t>
  </si>
  <si>
    <t>화신</t>
  </si>
  <si>
    <t>서연</t>
  </si>
  <si>
    <t>싸이버원</t>
  </si>
  <si>
    <t>네오오토</t>
  </si>
  <si>
    <t>HB테크놀러지</t>
  </si>
  <si>
    <t>포인트엔지니어링</t>
  </si>
  <si>
    <t>에프엔에스테크</t>
  </si>
  <si>
    <t>지씨셀</t>
  </si>
  <si>
    <t>고려산업</t>
  </si>
  <si>
    <t>마이크로컨텍솔</t>
  </si>
  <si>
    <t>SK증권</t>
  </si>
  <si>
    <t>제주은행</t>
  </si>
  <si>
    <t>대동스틸</t>
  </si>
  <si>
    <t>아모레G</t>
  </si>
  <si>
    <t>현대바이오랜드</t>
  </si>
  <si>
    <t>현대오토에버</t>
  </si>
  <si>
    <t>신신제약</t>
  </si>
  <si>
    <t>이글벳</t>
  </si>
  <si>
    <t>현대약품</t>
  </si>
  <si>
    <t>보령</t>
  </si>
  <si>
    <t>계양전기우</t>
  </si>
  <si>
    <t>백광산업</t>
  </si>
  <si>
    <t>유진테크</t>
  </si>
  <si>
    <t>아주IB투자</t>
  </si>
  <si>
    <t>지오엘리먼트</t>
  </si>
  <si>
    <t>롯데에너지머티리얼즈</t>
  </si>
  <si>
    <t>매커스</t>
  </si>
  <si>
    <t>대한유화</t>
  </si>
  <si>
    <t>CS홀딩스</t>
  </si>
  <si>
    <t>18064K</t>
  </si>
  <si>
    <t>한진칼우</t>
  </si>
  <si>
    <t>세방전지</t>
  </si>
  <si>
    <t>서연이화</t>
  </si>
  <si>
    <t>에너토크</t>
  </si>
  <si>
    <t>대동</t>
  </si>
  <si>
    <t>경보제약</t>
  </si>
  <si>
    <t>솔루스첨단소재</t>
  </si>
  <si>
    <t>TS인베스트먼트</t>
  </si>
  <si>
    <t>메디아나</t>
  </si>
  <si>
    <t>하이텍팜</t>
  </si>
  <si>
    <t>SK하이닉스</t>
  </si>
  <si>
    <t>엠케이전자</t>
  </si>
  <si>
    <t>클리오</t>
  </si>
  <si>
    <t>대성미생물</t>
  </si>
  <si>
    <t>고영</t>
  </si>
  <si>
    <t>샘표식품</t>
  </si>
  <si>
    <t>칩스앤미디어</t>
  </si>
  <si>
    <t>삼양식품</t>
  </si>
  <si>
    <t>파마리서치</t>
  </si>
  <si>
    <t>LG전자</t>
  </si>
  <si>
    <t>대양제지</t>
  </si>
  <si>
    <t>넥스틴</t>
  </si>
  <si>
    <t>와이엔텍</t>
  </si>
  <si>
    <t>대동금속</t>
  </si>
  <si>
    <t>서암기계공업</t>
  </si>
  <si>
    <t>메디톡스</t>
  </si>
  <si>
    <t>솔브레인</t>
  </si>
  <si>
    <t>에스티아이</t>
  </si>
  <si>
    <t>서부T&amp;D</t>
  </si>
  <si>
    <t>이엔에프테크놀로지</t>
  </si>
  <si>
    <t>카스</t>
  </si>
  <si>
    <t>케이옥션</t>
  </si>
  <si>
    <t>ISC</t>
  </si>
  <si>
    <t>와이씨켐</t>
  </si>
  <si>
    <t>에이텍모빌리티</t>
  </si>
  <si>
    <t>대한화섬</t>
  </si>
  <si>
    <t>프로이천</t>
  </si>
  <si>
    <t>하림</t>
  </si>
  <si>
    <t>RFHIC</t>
  </si>
  <si>
    <t>유한양행우</t>
  </si>
  <si>
    <t>아비코전자</t>
  </si>
  <si>
    <t>에스피지</t>
  </si>
  <si>
    <t>이랜시스</t>
  </si>
  <si>
    <t>엔시스</t>
  </si>
  <si>
    <t>TPC</t>
  </si>
  <si>
    <t>에스에이티이엔지</t>
  </si>
  <si>
    <t>에스티팜</t>
  </si>
  <si>
    <t>하이스틸</t>
  </si>
  <si>
    <t>케이아이엔엑스</t>
  </si>
  <si>
    <t>알엔투테크놀로지</t>
  </si>
  <si>
    <t>아진엑스텍</t>
  </si>
  <si>
    <t>BYC</t>
  </si>
  <si>
    <t>상신이디피</t>
  </si>
  <si>
    <t>DRB동일</t>
  </si>
  <si>
    <t>아이쓰리시스템</t>
  </si>
  <si>
    <t>라온피플</t>
  </si>
  <si>
    <t>비츠로테크</t>
  </si>
  <si>
    <t>JW중외제약2우B</t>
  </si>
  <si>
    <t>율촌화학</t>
  </si>
  <si>
    <t>신흥에스이씨</t>
  </si>
  <si>
    <t>디지캡</t>
  </si>
  <si>
    <t>케이씨텍</t>
  </si>
  <si>
    <t>아모레퍼시픽</t>
  </si>
  <si>
    <t>오픈베이스</t>
  </si>
  <si>
    <t>토비스</t>
  </si>
  <si>
    <t>아프리카TV</t>
  </si>
  <si>
    <t>원익IPS</t>
  </si>
  <si>
    <t>화승엔터프라이즈</t>
  </si>
  <si>
    <t>인텍플러스</t>
  </si>
  <si>
    <t>천보</t>
  </si>
  <si>
    <t>덕성</t>
  </si>
  <si>
    <t>와이지엔터테인먼트</t>
  </si>
  <si>
    <t>보락</t>
  </si>
  <si>
    <t>라온테크</t>
  </si>
  <si>
    <t>동신건설</t>
  </si>
  <si>
    <t>주성엔지니어링</t>
  </si>
  <si>
    <t>이오테크닉스</t>
  </si>
  <si>
    <t>호텔신라우</t>
  </si>
  <si>
    <t>하이비젼시스템</t>
  </si>
  <si>
    <t>선바이오</t>
  </si>
  <si>
    <t>한화에어로스페이스</t>
  </si>
  <si>
    <t>대구백화점</t>
  </si>
  <si>
    <t>영화테크</t>
  </si>
  <si>
    <t>로체시스템즈</t>
  </si>
  <si>
    <t>신일전자</t>
  </si>
  <si>
    <t>코퍼스코리아</t>
  </si>
  <si>
    <t>유한양행</t>
  </si>
  <si>
    <t>GST</t>
  </si>
  <si>
    <t>JYP Ent.</t>
  </si>
  <si>
    <t>원바이오젠</t>
  </si>
  <si>
    <t>제너셈</t>
  </si>
  <si>
    <t>쿠콘</t>
  </si>
  <si>
    <t>동일제강</t>
  </si>
  <si>
    <t>대웅제약</t>
  </si>
  <si>
    <t>한농화성</t>
  </si>
  <si>
    <t>모베이스전자</t>
  </si>
  <si>
    <t>새빗켐</t>
  </si>
  <si>
    <t>일신바이오</t>
  </si>
  <si>
    <t>원익QnC</t>
  </si>
  <si>
    <t>갤럭시아머니트리</t>
  </si>
  <si>
    <t>대웅</t>
  </si>
  <si>
    <t>PN풍년</t>
  </si>
  <si>
    <t>LX하우시스</t>
  </si>
  <si>
    <t>픽셀플러스</t>
  </si>
  <si>
    <t>풍국주정</t>
  </si>
  <si>
    <t>알서포트</t>
  </si>
  <si>
    <t>한미사이언스</t>
  </si>
  <si>
    <t>SHD</t>
  </si>
  <si>
    <t>디와이피엔에프</t>
  </si>
  <si>
    <t>오파스넷</t>
  </si>
  <si>
    <t>현대비앤지스틸</t>
  </si>
  <si>
    <t>NAVER</t>
  </si>
  <si>
    <t>한국항공우주</t>
  </si>
  <si>
    <t>수산중공업</t>
  </si>
  <si>
    <t>화천기계</t>
  </si>
  <si>
    <t>에이엘티</t>
  </si>
  <si>
    <t>시공테크</t>
  </si>
  <si>
    <t>린드먼아시아</t>
  </si>
  <si>
    <t>아톤</t>
  </si>
  <si>
    <t>엘오티베큠</t>
  </si>
  <si>
    <t>한국알콜</t>
  </si>
  <si>
    <t>제일파마홀딩스</t>
  </si>
  <si>
    <t>제룡전기</t>
  </si>
  <si>
    <t>텔레칩스</t>
  </si>
  <si>
    <t>SK증권우</t>
  </si>
  <si>
    <t>메타바이오메드</t>
  </si>
  <si>
    <t>양지사</t>
  </si>
  <si>
    <t>대봉엘에스</t>
  </si>
  <si>
    <t>이엠텍</t>
  </si>
  <si>
    <t>삼성SDI우</t>
  </si>
  <si>
    <t>테크윙</t>
  </si>
  <si>
    <t>에프에스티</t>
  </si>
  <si>
    <t>부산산업</t>
  </si>
  <si>
    <t>AP위성</t>
  </si>
  <si>
    <t>광명전기</t>
  </si>
  <si>
    <t>삼목에스폼</t>
  </si>
  <si>
    <t>한국화장품제조</t>
  </si>
  <si>
    <t>덕성우</t>
  </si>
  <si>
    <t>일성건설</t>
  </si>
  <si>
    <t>샘표</t>
  </si>
  <si>
    <t>한전기술</t>
  </si>
  <si>
    <t>CJ대한통운</t>
  </si>
  <si>
    <t>대동기어</t>
  </si>
  <si>
    <t>프리엠스</t>
  </si>
  <si>
    <t>코윈테크</t>
  </si>
  <si>
    <t>엑시콘</t>
  </si>
  <si>
    <t>우신시스템</t>
  </si>
  <si>
    <t>아이패밀리에스씨</t>
  </si>
  <si>
    <t>가비아</t>
  </si>
  <si>
    <t>미스터블루</t>
  </si>
  <si>
    <t>두산테스나</t>
  </si>
  <si>
    <t>HD현대일렉트릭</t>
  </si>
  <si>
    <t>클래시스</t>
  </si>
  <si>
    <t>세원물산</t>
  </si>
  <si>
    <t>동진쎄미켐</t>
  </si>
  <si>
    <t>호텔신라</t>
  </si>
  <si>
    <t>에스퓨얼셀</t>
  </si>
  <si>
    <t>성문전자</t>
  </si>
  <si>
    <t>젬백스링크</t>
  </si>
  <si>
    <t>바텍</t>
  </si>
  <si>
    <t>에스앤에스텍</t>
  </si>
  <si>
    <t>미래나노텍</t>
  </si>
  <si>
    <t>LS마린솔루션</t>
  </si>
  <si>
    <t>유니크</t>
  </si>
  <si>
    <t>엘앤에프</t>
  </si>
  <si>
    <t>동일기연</t>
  </si>
  <si>
    <t>제일약품</t>
  </si>
  <si>
    <t>이수페타시스</t>
  </si>
  <si>
    <t>제노코</t>
  </si>
  <si>
    <t>한진칼</t>
  </si>
  <si>
    <t>HPSP</t>
  </si>
  <si>
    <t>솔브레인홀딩스</t>
  </si>
  <si>
    <t>카카오뱅크</t>
  </si>
  <si>
    <t>삼아알미늄</t>
  </si>
  <si>
    <t>더존비즈온</t>
  </si>
  <si>
    <t>선진뷰티사이언스</t>
  </si>
  <si>
    <t>남양유업우</t>
  </si>
  <si>
    <t>파크시스템스</t>
  </si>
  <si>
    <t>한국파마</t>
  </si>
  <si>
    <t>삼성SDI</t>
  </si>
  <si>
    <t>쎄트렉아이</t>
  </si>
  <si>
    <t>엔에프씨</t>
  </si>
  <si>
    <t>후성</t>
  </si>
  <si>
    <t>캡스톤파트너스</t>
  </si>
  <si>
    <t>태광산업</t>
  </si>
  <si>
    <t>푸른기술</t>
  </si>
  <si>
    <t>피엔티</t>
  </si>
  <si>
    <t>네오셈</t>
  </si>
  <si>
    <t>필옵틱스</t>
  </si>
  <si>
    <t>덴티움</t>
  </si>
  <si>
    <t>월덱스</t>
  </si>
  <si>
    <t>엘앤씨바이오</t>
  </si>
  <si>
    <t>한미반도체</t>
  </si>
  <si>
    <t>셀트리온</t>
  </si>
  <si>
    <t>인포뱅크</t>
  </si>
  <si>
    <t>태양금속</t>
  </si>
  <si>
    <t>TCC스틸</t>
  </si>
  <si>
    <t>한신기계</t>
  </si>
  <si>
    <t>인텔리안테크</t>
  </si>
  <si>
    <t>하나마이크론</t>
  </si>
  <si>
    <t>에코프로비엠</t>
  </si>
  <si>
    <t>태양금속우</t>
  </si>
  <si>
    <t>가온전선</t>
  </si>
  <si>
    <t>LS머트리얼즈</t>
  </si>
  <si>
    <t>나노신소재</t>
  </si>
  <si>
    <t>남양유업</t>
  </si>
  <si>
    <t>윤성에프앤씨</t>
  </si>
  <si>
    <t>포스코엠텍</t>
  </si>
  <si>
    <t>한미약품</t>
  </si>
  <si>
    <t>성문전자우</t>
  </si>
  <si>
    <t>포스코DX</t>
  </si>
  <si>
    <t>메리츠금융지주</t>
  </si>
  <si>
    <t>신성델타테크</t>
  </si>
  <si>
    <t>카카오</t>
  </si>
  <si>
    <t>대주전자재료</t>
  </si>
  <si>
    <t>비올</t>
  </si>
  <si>
    <t>포스코퓨처엠</t>
  </si>
  <si>
    <t>에코프로</t>
  </si>
  <si>
    <t>인바이오젠</t>
  </si>
  <si>
    <t>이트론</t>
  </si>
  <si>
    <t>이퓨쳐</t>
  </si>
  <si>
    <t>조광ILI</t>
  </si>
  <si>
    <t>이화공영</t>
  </si>
  <si>
    <t>이화산업</t>
  </si>
  <si>
    <t>인베니아</t>
  </si>
  <si>
    <t>이화전기</t>
  </si>
  <si>
    <t>유틸렉스</t>
  </si>
  <si>
    <t>인바이오</t>
  </si>
  <si>
    <t>인디에프</t>
  </si>
  <si>
    <t>일진하이솔루스</t>
  </si>
  <si>
    <t>자람테크놀로지</t>
  </si>
  <si>
    <t>조광피혁</t>
  </si>
  <si>
    <t>잉크테크</t>
  </si>
  <si>
    <t>인벤티지랩</t>
  </si>
  <si>
    <t>일지테크</t>
  </si>
  <si>
    <t>조비</t>
  </si>
  <si>
    <t>인트론바이오</t>
  </si>
  <si>
    <t>인화정공</t>
  </si>
  <si>
    <t>일동제약</t>
  </si>
  <si>
    <t>유진로봇</t>
  </si>
  <si>
    <t>종근당바이오</t>
  </si>
  <si>
    <t>유진스팩10호</t>
  </si>
  <si>
    <t>인피니트헬스케어</t>
  </si>
  <si>
    <t>유진스팩7호</t>
  </si>
  <si>
    <t>유진스팩8호</t>
  </si>
  <si>
    <t>유진스팩9호</t>
  </si>
  <si>
    <t>일승</t>
  </si>
  <si>
    <t>인포마크</t>
  </si>
  <si>
    <t>유진테크놀로지</t>
  </si>
  <si>
    <t>조일알미늄</t>
  </si>
  <si>
    <t>조이시티</t>
  </si>
  <si>
    <t>일신석재</t>
  </si>
  <si>
    <t>인선이엔티</t>
  </si>
  <si>
    <t>인트로메딕</t>
  </si>
  <si>
    <t>인터플렉스</t>
  </si>
  <si>
    <t>인터엠</t>
  </si>
  <si>
    <t>유티아이</t>
  </si>
  <si>
    <t>인콘</t>
  </si>
  <si>
    <t>일월지엠엘</t>
  </si>
  <si>
    <t>조아제약</t>
  </si>
  <si>
    <t>일정실업</t>
  </si>
  <si>
    <t>젬백스</t>
  </si>
  <si>
    <t>인스코비</t>
  </si>
  <si>
    <t>인스웨이브시스템즈</t>
  </si>
  <si>
    <t>조선내화</t>
  </si>
  <si>
    <t>인성정보</t>
  </si>
  <si>
    <t>일진디스플</t>
  </si>
  <si>
    <t>자비스</t>
  </si>
  <si>
    <t>제이아이테크</t>
  </si>
  <si>
    <t>젠큐릭스</t>
  </si>
  <si>
    <t>이노시스</t>
  </si>
  <si>
    <t>제노포커스</t>
  </si>
  <si>
    <t>이수스페셜티케미컬</t>
  </si>
  <si>
    <t>제놀루션</t>
  </si>
  <si>
    <t>제이티</t>
  </si>
  <si>
    <t>제이준코스메틱</t>
  </si>
  <si>
    <t>제이오</t>
  </si>
  <si>
    <t>이노뎁</t>
  </si>
  <si>
    <t>이노메트리</t>
  </si>
  <si>
    <t>제닉</t>
  </si>
  <si>
    <t>제이엠아이</t>
  </si>
  <si>
    <t>제이엘케이</t>
  </si>
  <si>
    <t>제로투세븐</t>
  </si>
  <si>
    <t>이노시뮬레이션</t>
  </si>
  <si>
    <t>이노인스트루먼트</t>
  </si>
  <si>
    <t>제넨바이오</t>
  </si>
  <si>
    <t>제이엔비</t>
  </si>
  <si>
    <t>이노진</t>
  </si>
  <si>
    <t>이노테라피</t>
  </si>
  <si>
    <t>이녹스</t>
  </si>
  <si>
    <t>제이앤티씨</t>
  </si>
  <si>
    <t>이삭엔지니어링</t>
  </si>
  <si>
    <t>이브이첨단소재</t>
  </si>
  <si>
    <t>이미지스</t>
  </si>
  <si>
    <t>제이스코홀딩스</t>
  </si>
  <si>
    <t>이루온</t>
  </si>
  <si>
    <t>제이시스메디칼</t>
  </si>
  <si>
    <t>이루다</t>
  </si>
  <si>
    <t>제이씨현시스템</t>
  </si>
  <si>
    <t>이수앱지스</t>
  </si>
  <si>
    <t>제넥신</t>
  </si>
  <si>
    <t>이큐셀</t>
  </si>
  <si>
    <t>장원테크</t>
  </si>
  <si>
    <t>제테마</t>
  </si>
  <si>
    <t>제주항공</t>
  </si>
  <si>
    <t>자연과환경</t>
  </si>
  <si>
    <t>이지케어텍</t>
  </si>
  <si>
    <t>이즈미디어</t>
  </si>
  <si>
    <t>이월드</t>
  </si>
  <si>
    <t>이원컴포텍</t>
  </si>
  <si>
    <t>자이글</t>
  </si>
  <si>
    <t>자이언트스텝</t>
  </si>
  <si>
    <t>이오플로우</t>
  </si>
  <si>
    <t>육일씨엔에쓰</t>
  </si>
  <si>
    <t>제주반도체</t>
  </si>
  <si>
    <t>자화전자</t>
  </si>
  <si>
    <t>재영솔루텍</t>
  </si>
  <si>
    <t>제일바이오</t>
  </si>
  <si>
    <t>제주맥주</t>
  </si>
  <si>
    <t>저스템</t>
  </si>
  <si>
    <t>이엠코리아</t>
  </si>
  <si>
    <t>이엠앤아이</t>
  </si>
  <si>
    <t>이엔플러스</t>
  </si>
  <si>
    <t>율촌</t>
  </si>
  <si>
    <t>전진바이오팜</t>
  </si>
  <si>
    <t>율호</t>
  </si>
  <si>
    <t>이에이트</t>
  </si>
  <si>
    <t>이아이디</t>
  </si>
  <si>
    <t>정원엔시스</t>
  </si>
  <si>
    <t>이스트소프트</t>
  </si>
  <si>
    <t>이스타코</t>
  </si>
  <si>
    <t>좋은사람들</t>
  </si>
  <si>
    <t>3S</t>
  </si>
  <si>
    <t>주성코퍼레이션</t>
  </si>
  <si>
    <t>피엠티</t>
  </si>
  <si>
    <t>하나26호스팩</t>
  </si>
  <si>
    <t>핑거스토리</t>
  </si>
  <si>
    <t>핌스</t>
  </si>
  <si>
    <t>필에너지</t>
  </si>
  <si>
    <t>핀텔</t>
  </si>
  <si>
    <t>피피아이</t>
  </si>
  <si>
    <t>피플바이오</t>
  </si>
  <si>
    <t>피코그램</t>
  </si>
  <si>
    <t>피엔티엠에스</t>
  </si>
  <si>
    <t>하나28호스팩</t>
  </si>
  <si>
    <t>피엔에이치테크</t>
  </si>
  <si>
    <t>피에이치씨</t>
  </si>
  <si>
    <t>피앤씨테크</t>
  </si>
  <si>
    <t>피씨엘</t>
  </si>
  <si>
    <t>피델릭스</t>
  </si>
  <si>
    <t>플리토</t>
  </si>
  <si>
    <t>플레이위드</t>
  </si>
  <si>
    <t>플레이디</t>
  </si>
  <si>
    <t>하나27호스팩</t>
  </si>
  <si>
    <t>하나29호스팩</t>
  </si>
  <si>
    <t>플래티어</t>
  </si>
  <si>
    <t>하이로닉</t>
  </si>
  <si>
    <t>한국공항</t>
  </si>
  <si>
    <t>한국가스공사</t>
  </si>
  <si>
    <t>하이트론</t>
  </si>
  <si>
    <t>하이즈항공</t>
  </si>
  <si>
    <t>하이제8호스팩</t>
  </si>
  <si>
    <t>하이제7호스팩</t>
  </si>
  <si>
    <t>하이소닉</t>
  </si>
  <si>
    <t>하이브</t>
  </si>
  <si>
    <t>하이딥</t>
  </si>
  <si>
    <t>하나30호스팩</t>
  </si>
  <si>
    <t>하이드로리튬</t>
  </si>
  <si>
    <t>하나투어</t>
  </si>
  <si>
    <t>하나기술</t>
  </si>
  <si>
    <t>하나금융25호스팩</t>
  </si>
  <si>
    <t>하나금융24호스팩</t>
  </si>
  <si>
    <t>하나금융22호스팩</t>
  </si>
  <si>
    <t>하나금융21호스팩</t>
  </si>
  <si>
    <t>하나31호스팩</t>
  </si>
  <si>
    <t>플레이그램</t>
  </si>
  <si>
    <t>플래스크</t>
  </si>
  <si>
    <t>한국비엔씨</t>
  </si>
  <si>
    <t>파인텍</t>
  </si>
  <si>
    <t>팸텍</t>
  </si>
  <si>
    <t>팬젠</t>
  </si>
  <si>
    <t>팬엔터테인먼트</t>
  </si>
  <si>
    <t>팬스타엔터프라이즈</t>
  </si>
  <si>
    <t>패션플랫폼</t>
  </si>
  <si>
    <t>팜젠사이언스</t>
  </si>
  <si>
    <t>판타지오</t>
  </si>
  <si>
    <t>파커스</t>
  </si>
  <si>
    <t>파인테크닉스</t>
  </si>
  <si>
    <t>펄어비스</t>
  </si>
  <si>
    <t>파인엠텍</t>
  </si>
  <si>
    <t>파인디앤씨</t>
  </si>
  <si>
    <t>파이버프로</t>
  </si>
  <si>
    <t>파워로직스</t>
  </si>
  <si>
    <t>파워넷</t>
  </si>
  <si>
    <t>파미셀</t>
  </si>
  <si>
    <t>파멥신</t>
  </si>
  <si>
    <t>파루</t>
  </si>
  <si>
    <t>퍼스텍</t>
  </si>
  <si>
    <t>페이퍼코리아</t>
  </si>
  <si>
    <t>플라즈맵</t>
  </si>
  <si>
    <t>폴라리스우노</t>
  </si>
  <si>
    <t>프리시젼바이오</t>
  </si>
  <si>
    <t>프롬바이오</t>
  </si>
  <si>
    <t>프로티아</t>
  </si>
  <si>
    <t>프레스티지바이오로직스</t>
  </si>
  <si>
    <t>퓨쳐켐</t>
  </si>
  <si>
    <t>퓨릿</t>
  </si>
  <si>
    <t>퓨런티어</t>
  </si>
  <si>
    <t>풍원정밀</t>
  </si>
  <si>
    <t>폴라리스오피스</t>
  </si>
  <si>
    <t>펨트론</t>
  </si>
  <si>
    <t>폴라리스세원</t>
  </si>
  <si>
    <t>폴라리스AI</t>
  </si>
  <si>
    <t>폰드그룹</t>
  </si>
  <si>
    <t>포인트모바일</t>
  </si>
  <si>
    <t>포스뱅크</t>
  </si>
  <si>
    <t>포바이포</t>
  </si>
  <si>
    <t>평화산업</t>
  </si>
  <si>
    <t>펩트론</t>
  </si>
  <si>
    <t>한국맥널티</t>
  </si>
  <si>
    <t>한국유니온제약</t>
  </si>
  <si>
    <t>주연테크</t>
  </si>
  <si>
    <t>현대그린푸드</t>
  </si>
  <si>
    <t>형지엘리트</t>
  </si>
  <si>
    <t>형지I&amp;C</t>
  </si>
  <si>
    <t>협진</t>
  </si>
  <si>
    <t>현대힘스</t>
  </si>
  <si>
    <t>현대바이오</t>
  </si>
  <si>
    <t>현대미포조선</t>
  </si>
  <si>
    <t>현대리바트</t>
  </si>
  <si>
    <t>현대로템</t>
  </si>
  <si>
    <t>헬릭스미스</t>
  </si>
  <si>
    <t>화성밸브</t>
  </si>
  <si>
    <t>핸즈코퍼레이션</t>
  </si>
  <si>
    <t>핸디소프트</t>
  </si>
  <si>
    <t>해성티피씨</t>
  </si>
  <si>
    <t>해성옵틱스</t>
  </si>
  <si>
    <t>한화플러스제4호스팩</t>
  </si>
  <si>
    <t>한화플러스제3호스팩</t>
  </si>
  <si>
    <t>한화플러스제2호스팩</t>
  </si>
  <si>
    <t>한화투자증권우</t>
  </si>
  <si>
    <t>홈캐스트</t>
  </si>
  <si>
    <t>화인베스틸</t>
  </si>
  <si>
    <t>한화오션</t>
  </si>
  <si>
    <t>휴맥스</t>
  </si>
  <si>
    <t>흥아해운</t>
  </si>
  <si>
    <t>흥국화재우</t>
  </si>
  <si>
    <t>흥국화재</t>
  </si>
  <si>
    <t>휴젤</t>
  </si>
  <si>
    <t>휴엠앤씨</t>
  </si>
  <si>
    <t>휴센텍</t>
  </si>
  <si>
    <t>휴비스</t>
  </si>
  <si>
    <t>휴맥스홀딩스</t>
  </si>
  <si>
    <t>휴마시스</t>
  </si>
  <si>
    <t>화일약품</t>
  </si>
  <si>
    <t>휴림에이텍</t>
  </si>
  <si>
    <t>휴림로봇</t>
  </si>
  <si>
    <t>휴림네트웍스</t>
  </si>
  <si>
    <t>휴럼</t>
  </si>
  <si>
    <t>휴니드</t>
  </si>
  <si>
    <t>효성화학</t>
  </si>
  <si>
    <t>효성중공업</t>
  </si>
  <si>
    <t>효성오앤비</t>
  </si>
  <si>
    <t>한화투자증권</t>
  </si>
  <si>
    <t>한화엔진</t>
  </si>
  <si>
    <t>한국전력</t>
  </si>
  <si>
    <t>한국특강</t>
  </si>
  <si>
    <t>한세엠케이</t>
  </si>
  <si>
    <t>한성크린텍</t>
  </si>
  <si>
    <t>한성기업</t>
  </si>
  <si>
    <t>한선엔지니어링</t>
  </si>
  <si>
    <t>한빛소프트</t>
  </si>
  <si>
    <t>한빛레이저</t>
  </si>
  <si>
    <t>한글과컴퓨터</t>
  </si>
  <si>
    <t>한국화장품</t>
  </si>
  <si>
    <t>한국테크놀로지</t>
  </si>
  <si>
    <t>한솔인티큐브</t>
  </si>
  <si>
    <t>한국주강</t>
  </si>
  <si>
    <t>한국제지</t>
  </si>
  <si>
    <t>한국제13호스팩</t>
  </si>
  <si>
    <t>한국제12호스팩</t>
  </si>
  <si>
    <t>한국제11호스팩</t>
  </si>
  <si>
    <t>한국정보통신</t>
  </si>
  <si>
    <t>한국정보공학</t>
  </si>
  <si>
    <t>한국정밀기계</t>
  </si>
  <si>
    <t>한솔아이원스</t>
  </si>
  <si>
    <t>한솔홈데코</t>
  </si>
  <si>
    <t>한화솔루션우</t>
  </si>
  <si>
    <t>한창</t>
  </si>
  <si>
    <t>한화솔루션</t>
  </si>
  <si>
    <t>한화손해보험</t>
  </si>
  <si>
    <t>한화생명</t>
  </si>
  <si>
    <t>45226K</t>
  </si>
  <si>
    <t>한화갤러리아우</t>
  </si>
  <si>
    <t>한화갤러리아</t>
  </si>
  <si>
    <t>한탑</t>
  </si>
  <si>
    <t>한컴위드</t>
  </si>
  <si>
    <t>한컴라이프케어</t>
  </si>
  <si>
    <t>한주라이트메탈</t>
  </si>
  <si>
    <t>한송네오텍</t>
  </si>
  <si>
    <t>한일진공</t>
  </si>
  <si>
    <t>한일사료</t>
  </si>
  <si>
    <t>한일단조</t>
  </si>
  <si>
    <t>한울소재과학</t>
  </si>
  <si>
    <t>한올바이오파마</t>
  </si>
  <si>
    <t>한양디지텍</t>
  </si>
  <si>
    <t>한싹</t>
  </si>
  <si>
    <t>한스바이오메드</t>
  </si>
  <si>
    <t>파로스아이바이오</t>
  </si>
  <si>
    <t>파라텍</t>
  </si>
  <si>
    <t>파라다이스</t>
  </si>
  <si>
    <t>케어랩스</t>
  </si>
  <si>
    <t>케이엔알시스템</t>
  </si>
  <si>
    <t>케이엔더블유</t>
  </si>
  <si>
    <t>케이에스피</t>
  </si>
  <si>
    <t>케이알엠</t>
  </si>
  <si>
    <t>케이비제22호스팩</t>
  </si>
  <si>
    <t>케이비제21호스팩</t>
  </si>
  <si>
    <t>케이비아이동국실업</t>
  </si>
  <si>
    <t>케이바이오</t>
  </si>
  <si>
    <t>케스피온</t>
  </si>
  <si>
    <t>케이엔제이</t>
  </si>
  <si>
    <t>컴퍼니케이</t>
  </si>
  <si>
    <t>컴투스홀딩스</t>
  </si>
  <si>
    <t>컨텍</t>
  </si>
  <si>
    <t>커머스마이너</t>
  </si>
  <si>
    <t>커넥트웨이브</t>
  </si>
  <si>
    <t>캠시스</t>
  </si>
  <si>
    <t>캐스텍코리아</t>
  </si>
  <si>
    <t>캐리소프트</t>
  </si>
  <si>
    <t>케이엔에스</t>
  </si>
  <si>
    <t>케이엠더블유</t>
  </si>
  <si>
    <t>카페24</t>
  </si>
  <si>
    <t>코난테크놀로지</t>
  </si>
  <si>
    <t>코리아써키트</t>
  </si>
  <si>
    <t>코리아써우</t>
  </si>
  <si>
    <t>코리아나</t>
  </si>
  <si>
    <t>코렌텍</t>
  </si>
  <si>
    <t>코디</t>
  </si>
  <si>
    <t>코데즈컴바인</t>
  </si>
  <si>
    <t>코다코</t>
  </si>
  <si>
    <t>코닉오토메이션</t>
  </si>
  <si>
    <t>코나아이</t>
  </si>
  <si>
    <t>케이엠제약</t>
  </si>
  <si>
    <t>켐트로스</t>
  </si>
  <si>
    <t>켄코아에어로스페이스</t>
  </si>
  <si>
    <t>케일럼</t>
  </si>
  <si>
    <t>케이피티유</t>
  </si>
  <si>
    <t>케이피엠테크</t>
  </si>
  <si>
    <t>케이피에스</t>
  </si>
  <si>
    <t>케이티알파</t>
  </si>
  <si>
    <t>케이웨더</t>
  </si>
  <si>
    <t>카프로</t>
  </si>
  <si>
    <t>카카오페이</t>
  </si>
  <si>
    <t>파두</t>
  </si>
  <si>
    <t>지아이이노베이션</t>
  </si>
  <si>
    <t>지티지웰니스</t>
  </si>
  <si>
    <t>지투파워</t>
  </si>
  <si>
    <t>지오릿에너지</t>
  </si>
  <si>
    <t>지역난방공사</t>
  </si>
  <si>
    <t>지엘팜텍</t>
  </si>
  <si>
    <t>지엔코</t>
  </si>
  <si>
    <t>지어소프트</t>
  </si>
  <si>
    <t>지앤비에스 에코</t>
  </si>
  <si>
    <t>지란지교시큐리티</t>
  </si>
  <si>
    <t>진바이오텍</t>
  </si>
  <si>
    <t>지더블유바이텍</t>
  </si>
  <si>
    <t>지니틱스</t>
  </si>
  <si>
    <t>지니뮤직</t>
  </si>
  <si>
    <t>지니너스</t>
  </si>
  <si>
    <t>지놈앤컴퍼니</t>
  </si>
  <si>
    <t>지노믹트리</t>
  </si>
  <si>
    <t>중앙첨단소재</t>
  </si>
  <si>
    <t>줌인터넷</t>
  </si>
  <si>
    <t>진매트릭스</t>
  </si>
  <si>
    <t>진시스템</t>
  </si>
  <si>
    <t>카카오게임즈</t>
  </si>
  <si>
    <t>참좋은여행</t>
  </si>
  <si>
    <t>카이노스메드</t>
  </si>
  <si>
    <t>카나리아바이오</t>
  </si>
  <si>
    <t>초록뱀미디어</t>
  </si>
  <si>
    <t>체시스</t>
  </si>
  <si>
    <t>체리부로</t>
  </si>
  <si>
    <t>청호ICT</t>
  </si>
  <si>
    <t>청담글로벌</t>
  </si>
  <si>
    <t>천일고속</t>
  </si>
  <si>
    <t>참엔지니어링</t>
  </si>
  <si>
    <t>진양화학</t>
  </si>
  <si>
    <t>차백신연구소</t>
  </si>
  <si>
    <t>차바이오텍</t>
  </si>
  <si>
    <t>진흥기업우B</t>
  </si>
  <si>
    <t>진흥기업2우B</t>
  </si>
  <si>
    <t>진흥기업</t>
  </si>
  <si>
    <t>진원생명과학</t>
  </si>
  <si>
    <t>진영</t>
  </si>
  <si>
    <t>진에어</t>
  </si>
  <si>
    <t>00781K</t>
  </si>
  <si>
    <t>코리아써키트2우B</t>
  </si>
  <si>
    <t>코미팜</t>
  </si>
  <si>
    <t>코세스</t>
  </si>
  <si>
    <t>테라사이언스</t>
  </si>
  <si>
    <t>투비소프트</t>
  </si>
  <si>
    <t>토탈소프트</t>
  </si>
  <si>
    <t>토박스코리아</t>
  </si>
  <si>
    <t>토마토시스템</t>
  </si>
  <si>
    <t>토니모리</t>
  </si>
  <si>
    <t>텔콘RF제약</t>
  </si>
  <si>
    <t>테크엘</t>
  </si>
  <si>
    <t>테라젠이텍스</t>
  </si>
  <si>
    <t>테고사이언스</t>
  </si>
  <si>
    <t>트루엔</t>
  </si>
  <si>
    <t>태웅</t>
  </si>
  <si>
    <t>태성</t>
  </si>
  <si>
    <t>탑코미디어</t>
  </si>
  <si>
    <t>탑엔지니어링</t>
  </si>
  <si>
    <t>탑머티리얼</t>
  </si>
  <si>
    <t>타이거일렉</t>
  </si>
  <si>
    <t>키이스트</t>
  </si>
  <si>
    <t>키움제8호스팩</t>
  </si>
  <si>
    <t>툴젠</t>
  </si>
  <si>
    <t>트루윈</t>
  </si>
  <si>
    <t>코센</t>
  </si>
  <si>
    <t>티엘아이</t>
  </si>
  <si>
    <t>파나케이아</t>
  </si>
  <si>
    <t>팅크웨어</t>
  </si>
  <si>
    <t>유일에너테크</t>
  </si>
  <si>
    <t>티케이케미칼</t>
  </si>
  <si>
    <t>티이엠씨</t>
  </si>
  <si>
    <t>티웨이홀딩스</t>
  </si>
  <si>
    <t>티웨이항공</t>
  </si>
  <si>
    <t>티움바이오</t>
  </si>
  <si>
    <t>티엔엔터테인먼트</t>
  </si>
  <si>
    <t>트윔</t>
  </si>
  <si>
    <t>티에프이</t>
  </si>
  <si>
    <t>티에스아이</t>
  </si>
  <si>
    <t>티에스넥스젠</t>
  </si>
  <si>
    <t>티앤알바이오팹</t>
  </si>
  <si>
    <t>티사이언티픽</t>
  </si>
  <si>
    <t>티로보틱스</t>
  </si>
  <si>
    <t>티라유텍</t>
  </si>
  <si>
    <t>특수건설</t>
  </si>
  <si>
    <t>키움제7호스팩</t>
  </si>
  <si>
    <t>키움제6호스팩</t>
  </si>
  <si>
    <t>키네마스터</t>
  </si>
  <si>
    <t>코아스</t>
  </si>
  <si>
    <t>코이즈</t>
  </si>
  <si>
    <t>코오롱생명과학</t>
  </si>
  <si>
    <t>45014K</t>
  </si>
  <si>
    <t>코오롱모빌리티그룹우</t>
  </si>
  <si>
    <t>코오롱모빌리티그룹</t>
  </si>
  <si>
    <t>코어라인소프트</t>
  </si>
  <si>
    <t>코아시아씨엠</t>
  </si>
  <si>
    <t>코아시아</t>
  </si>
  <si>
    <t>코아스템켐온</t>
  </si>
  <si>
    <t>코스텍시스</t>
  </si>
  <si>
    <t>클리노믹스</t>
  </si>
  <si>
    <t>코스모화학</t>
  </si>
  <si>
    <t>코스모신소재</t>
  </si>
  <si>
    <t>코스메카코리아</t>
  </si>
  <si>
    <t>코스맥스엔비티</t>
  </si>
  <si>
    <t>코스맥스비티아이</t>
  </si>
  <si>
    <t>코스맥스</t>
  </si>
  <si>
    <t>코스나인</t>
  </si>
  <si>
    <t>코셈</t>
  </si>
  <si>
    <t>코츠테크놀로지</t>
  </si>
  <si>
    <t>코콤</t>
  </si>
  <si>
    <t>콘텐트리중앙</t>
  </si>
  <si>
    <t>콤텍시스템</t>
  </si>
  <si>
    <t>클라우드에어</t>
  </si>
  <si>
    <t>크린앤사이언스</t>
  </si>
  <si>
    <t>크래프톤</t>
  </si>
  <si>
    <t>크라우드웍스</t>
  </si>
  <si>
    <t>큐캐피탈</t>
  </si>
  <si>
    <t>큐브엔터</t>
  </si>
  <si>
    <t>큐리옥스바이오시스템즈</t>
  </si>
  <si>
    <t>큐리언트</t>
  </si>
  <si>
    <t>큐로홀딩스</t>
  </si>
  <si>
    <t>큐로컴</t>
  </si>
  <si>
    <t>큐로셀</t>
  </si>
  <si>
    <t>큐렉소</t>
  </si>
  <si>
    <t>큐라티스</t>
  </si>
  <si>
    <t>큐라클</t>
  </si>
  <si>
    <t>퀄리타스반도체</t>
  </si>
  <si>
    <t>퀀타피아</t>
  </si>
  <si>
    <t>퀀타매트릭스</t>
  </si>
  <si>
    <t>티피씨글로벌</t>
  </si>
  <si>
    <t>아이에스동서</t>
  </si>
  <si>
    <t>유일로보틱스</t>
  </si>
  <si>
    <t>라온시큐어</t>
  </si>
  <si>
    <t>레뷰코퍼레이션</t>
  </si>
  <si>
    <t>레몬</t>
  </si>
  <si>
    <t>레고켐바이오</t>
  </si>
  <si>
    <t>랩지노믹스</t>
  </si>
  <si>
    <t>램테크놀러지</t>
  </si>
  <si>
    <t>래몽래인</t>
  </si>
  <si>
    <t>라파스</t>
  </si>
  <si>
    <t>라이프시맨틱스</t>
  </si>
  <si>
    <t>라이트론</t>
  </si>
  <si>
    <t>라이콤</t>
  </si>
  <si>
    <t>라온텍</t>
  </si>
  <si>
    <t>라닉스</t>
  </si>
  <si>
    <t>레이저쎌</t>
  </si>
  <si>
    <t>딥노이드</t>
  </si>
  <si>
    <t>디티앤씨알오</t>
  </si>
  <si>
    <t>디티앤씨</t>
  </si>
  <si>
    <t>디케이티</t>
  </si>
  <si>
    <t>디지아이</t>
  </si>
  <si>
    <t>디젠스</t>
  </si>
  <si>
    <t>디이엔티</t>
  </si>
  <si>
    <t>디와이씨</t>
  </si>
  <si>
    <t>디와이디</t>
  </si>
  <si>
    <t>디오</t>
  </si>
  <si>
    <t>디엔에이링크</t>
  </si>
  <si>
    <t>레이</t>
  </si>
  <si>
    <t>레이저옵텍</t>
  </si>
  <si>
    <t>메가엠디</t>
  </si>
  <si>
    <t>리튬포어스</t>
  </si>
  <si>
    <t>맥스트</t>
  </si>
  <si>
    <t>만호제강</t>
  </si>
  <si>
    <t>마이크로투나노</t>
  </si>
  <si>
    <t>마이크로디지탈</t>
  </si>
  <si>
    <t>마음AI</t>
  </si>
  <si>
    <t>마니커에프앤지</t>
  </si>
  <si>
    <t>마니커</t>
  </si>
  <si>
    <t>마녀공장</t>
  </si>
  <si>
    <t>링크제니시스</t>
  </si>
  <si>
    <t>링네트</t>
  </si>
  <si>
    <t>리파인</t>
  </si>
  <si>
    <t>리메드</t>
  </si>
  <si>
    <t>레이크머티리얼즈</t>
  </si>
  <si>
    <t>리더스코스메틱</t>
  </si>
  <si>
    <t>리더스 기술투자</t>
  </si>
  <si>
    <t>룽투코리아</t>
  </si>
  <si>
    <t>루멘스</t>
  </si>
  <si>
    <t>루닛</t>
  </si>
  <si>
    <t>롯데손해보험</t>
  </si>
  <si>
    <t>롯데관광개발</t>
  </si>
  <si>
    <t>로보티즈</t>
  </si>
  <si>
    <t>로보스타</t>
  </si>
  <si>
    <t>로보로보</t>
  </si>
  <si>
    <t>레인보우로보틱스</t>
  </si>
  <si>
    <t>디에이피</t>
  </si>
  <si>
    <t>디에이테크놀로지</t>
  </si>
  <si>
    <t>디에스케이</t>
  </si>
  <si>
    <t>더코디</t>
  </si>
  <si>
    <t>동국제강</t>
  </si>
  <si>
    <t>동국씨엠</t>
  </si>
  <si>
    <t>동국S&amp;C</t>
  </si>
  <si>
    <t>덴티스</t>
  </si>
  <si>
    <t>덱스터</t>
  </si>
  <si>
    <t>데이타솔루션</t>
  </si>
  <si>
    <t>데브시스터즈</t>
  </si>
  <si>
    <t>덕양산업</t>
  </si>
  <si>
    <t>덕산하이메탈</t>
  </si>
  <si>
    <t>덕산테코피아</t>
  </si>
  <si>
    <t>덕산네오룩스</t>
  </si>
  <si>
    <t>더블유에스아이</t>
  </si>
  <si>
    <t>디어유</t>
  </si>
  <si>
    <t>더블유씨피</t>
  </si>
  <si>
    <t>더라미</t>
  </si>
  <si>
    <t>대호특수강우</t>
  </si>
  <si>
    <t>대호특수강</t>
  </si>
  <si>
    <t>대호에이엘</t>
  </si>
  <si>
    <t>대한해운</t>
  </si>
  <si>
    <t>대한전선</t>
  </si>
  <si>
    <t>대한방직</t>
  </si>
  <si>
    <t>대한광통신</t>
  </si>
  <si>
    <t>대창솔루션</t>
  </si>
  <si>
    <t>대창</t>
  </si>
  <si>
    <t>동방</t>
  </si>
  <si>
    <t>동방선기</t>
  </si>
  <si>
    <t>동성제약</t>
  </si>
  <si>
    <t>동양고속</t>
  </si>
  <si>
    <t>디앤씨미디어</t>
  </si>
  <si>
    <t>디알텍</t>
  </si>
  <si>
    <t>디아이씨</t>
  </si>
  <si>
    <t>디모아</t>
  </si>
  <si>
    <t>디딤이앤에프</t>
  </si>
  <si>
    <t>드림인사이트</t>
  </si>
  <si>
    <t>드림어스컴퍼니</t>
  </si>
  <si>
    <t>드림씨아이에스</t>
  </si>
  <si>
    <t>드림시큐리티</t>
  </si>
  <si>
    <t>드래곤플라이</t>
  </si>
  <si>
    <t>듀오백</t>
  </si>
  <si>
    <t>33626L</t>
  </si>
  <si>
    <t>두산퓨얼셀2우B</t>
  </si>
  <si>
    <t>33626K</t>
  </si>
  <si>
    <t>두산퓨얼셀1우</t>
  </si>
  <si>
    <t>두산퓨얼셀</t>
  </si>
  <si>
    <t>두산에너빌리티</t>
  </si>
  <si>
    <t>두산로보틱스</t>
  </si>
  <si>
    <t>동화기업</t>
  </si>
  <si>
    <t>동일철강</t>
  </si>
  <si>
    <t>동운아나텍</t>
  </si>
  <si>
    <t>동우팜투테이블</t>
  </si>
  <si>
    <t>동양파일</t>
  </si>
  <si>
    <t>동양철관</t>
  </si>
  <si>
    <t>동양생명</t>
  </si>
  <si>
    <t>머큐리</t>
  </si>
  <si>
    <t>메가터치</t>
  </si>
  <si>
    <t>대유에이텍</t>
  </si>
  <si>
    <t>부산주공</t>
  </si>
  <si>
    <t>비덴트</t>
  </si>
  <si>
    <t>비나텍</t>
  </si>
  <si>
    <t>블리츠웨이</t>
  </si>
  <si>
    <t>블루콤</t>
  </si>
  <si>
    <t>블루엠텍</t>
  </si>
  <si>
    <t>블레이드 Ent</t>
  </si>
  <si>
    <t>브이티</t>
  </si>
  <si>
    <t>브이씨</t>
  </si>
  <si>
    <t>브릿지바이오테라퓨틱스</t>
  </si>
  <si>
    <t>뷰티스킨</t>
  </si>
  <si>
    <t>뷰노</t>
  </si>
  <si>
    <t>비보존 제약</t>
  </si>
  <si>
    <t>부광약품</t>
  </si>
  <si>
    <t>본느</t>
  </si>
  <si>
    <t>보해양조</t>
  </si>
  <si>
    <t>보성파워텍</t>
  </si>
  <si>
    <t>보로노이</t>
  </si>
  <si>
    <t>벨로크</t>
  </si>
  <si>
    <t>베스파</t>
  </si>
  <si>
    <t>베셀</t>
  </si>
  <si>
    <t>베노티앤알</t>
  </si>
  <si>
    <t>범한퓨얼셀</t>
  </si>
  <si>
    <t>범양건영</t>
  </si>
  <si>
    <t>비디아이</t>
  </si>
  <si>
    <t>비비안</t>
  </si>
  <si>
    <t>메드팩토</t>
  </si>
  <si>
    <t>비투엔</t>
  </si>
  <si>
    <t>삼부토건</t>
  </si>
  <si>
    <t>삼보산업</t>
  </si>
  <si>
    <t>삼기이브이</t>
  </si>
  <si>
    <t>삼기</t>
  </si>
  <si>
    <t>사피엔반도체</t>
  </si>
  <si>
    <t>사조동아원</t>
  </si>
  <si>
    <t>빅텐츠</t>
  </si>
  <si>
    <t>빅텍</t>
  </si>
  <si>
    <t>비피도</t>
  </si>
  <si>
    <t>비플라이소프트</t>
  </si>
  <si>
    <t>비트나인</t>
  </si>
  <si>
    <t>비케이홀딩스</t>
  </si>
  <si>
    <t>비스토스</t>
  </si>
  <si>
    <t>비케이탑스</t>
  </si>
  <si>
    <t>비츠로시스</t>
  </si>
  <si>
    <t>비즈니스온</t>
  </si>
  <si>
    <t>비유테크놀러지</t>
  </si>
  <si>
    <t>비엘팜텍</t>
  </si>
  <si>
    <t>비엘</t>
  </si>
  <si>
    <t>비엔케이제2호스팩</t>
  </si>
  <si>
    <t>비엔케이제1호스팩</t>
  </si>
  <si>
    <t>비에이치아이</t>
  </si>
  <si>
    <t>비아이매트릭스</t>
  </si>
  <si>
    <t>비씨엔씨</t>
  </si>
  <si>
    <t>버킷스튜디오</t>
  </si>
  <si>
    <t>버넥트</t>
  </si>
  <si>
    <t>밸로프</t>
  </si>
  <si>
    <t>모두투어</t>
  </si>
  <si>
    <t>미래생명자원</t>
  </si>
  <si>
    <t>미래산업</t>
  </si>
  <si>
    <t>미래반도체</t>
  </si>
  <si>
    <t>미디어젠</t>
  </si>
  <si>
    <t>모헨즈</t>
  </si>
  <si>
    <t>모아텍</t>
  </si>
  <si>
    <t>모아데이타</t>
  </si>
  <si>
    <t>모비스</t>
  </si>
  <si>
    <t>모비릭스</t>
  </si>
  <si>
    <t>모비데이즈</t>
  </si>
  <si>
    <t>모바일어플라이언스</t>
  </si>
  <si>
    <t>모다이노칩</t>
  </si>
  <si>
    <t>백금T&amp;A</t>
  </si>
  <si>
    <t>모니터랩</t>
  </si>
  <si>
    <t>명신산업</t>
  </si>
  <si>
    <t>명문제약</t>
  </si>
  <si>
    <t>메타랩스</t>
  </si>
  <si>
    <t>메지온</t>
  </si>
  <si>
    <t>메이슨캐피탈</t>
  </si>
  <si>
    <t>메쎄이상</t>
  </si>
  <si>
    <t>메디프론</t>
  </si>
  <si>
    <t>메디포스트</t>
  </si>
  <si>
    <t>메디콕스</t>
  </si>
  <si>
    <t>메디앙스</t>
  </si>
  <si>
    <t>미래아이앤지</t>
  </si>
  <si>
    <t>미래에셋드림스팩1호</t>
  </si>
  <si>
    <t>미래에셋벤처투자</t>
  </si>
  <si>
    <t>미래에셋비전스팩1호</t>
  </si>
  <si>
    <t>배럴</t>
  </si>
  <si>
    <t>박셀바이오</t>
  </si>
  <si>
    <t>바이젠셀</t>
  </si>
  <si>
    <t>바이온</t>
  </si>
  <si>
    <t>바이오톡스텍</t>
  </si>
  <si>
    <t>바이오인프라</t>
  </si>
  <si>
    <t>바이오에프디엔씨</t>
  </si>
  <si>
    <t>바이오스마트</t>
  </si>
  <si>
    <t>바이오솔루션</t>
  </si>
  <si>
    <t>바이오로그디바이스</t>
  </si>
  <si>
    <t>바이오다인</t>
  </si>
  <si>
    <t>바이오니아</t>
  </si>
  <si>
    <t>바이브컴퍼니</t>
  </si>
  <si>
    <t>바이넥스</t>
  </si>
  <si>
    <t>바른손이앤에이</t>
  </si>
  <si>
    <t>바른손</t>
  </si>
  <si>
    <t>밀리의서재</t>
  </si>
  <si>
    <t>미투온</t>
  </si>
  <si>
    <t>미코바이오메드</t>
  </si>
  <si>
    <t>미코</t>
  </si>
  <si>
    <t>미래에셋생명</t>
  </si>
  <si>
    <t>미래에셋비전스팩3호</t>
  </si>
  <si>
    <t>미래에셋비전스팩2호</t>
  </si>
  <si>
    <t>대유플러스</t>
  </si>
  <si>
    <t>대유</t>
  </si>
  <si>
    <t>유엔젤</t>
  </si>
  <si>
    <t>MDS테크</t>
  </si>
  <si>
    <t>SDN</t>
  </si>
  <si>
    <t>SBW생명과학</t>
  </si>
  <si>
    <t>SBI인베스트먼트</t>
  </si>
  <si>
    <t>SAMG엔터</t>
  </si>
  <si>
    <t>S&amp;K폴리텍</t>
  </si>
  <si>
    <t>NPX</t>
  </si>
  <si>
    <t>NHN벅스</t>
  </si>
  <si>
    <t>NHN</t>
  </si>
  <si>
    <t>NEW</t>
  </si>
  <si>
    <t>MIT</t>
  </si>
  <si>
    <t>LS네트웍스</t>
  </si>
  <si>
    <t>SG</t>
  </si>
  <si>
    <t>LG에너지솔루션</t>
  </si>
  <si>
    <t>LB인베스트먼트</t>
  </si>
  <si>
    <t>LB세미콘</t>
  </si>
  <si>
    <t>LB루셈</t>
  </si>
  <si>
    <t>KX하이텍</t>
  </si>
  <si>
    <t>KR모터스</t>
  </si>
  <si>
    <t>KIB플러그에너지</t>
  </si>
  <si>
    <t>KH 필룩스</t>
  </si>
  <si>
    <t>KH 전자</t>
  </si>
  <si>
    <t>KH 건설</t>
  </si>
  <si>
    <t>SFA반도체</t>
  </si>
  <si>
    <t>SG&amp;G</t>
  </si>
  <si>
    <t>강원에너지</t>
  </si>
  <si>
    <t>STX엔진</t>
  </si>
  <si>
    <t>감성코퍼레이션</t>
  </si>
  <si>
    <t>가온칩스</t>
  </si>
  <si>
    <t>iMBC</t>
  </si>
  <si>
    <t>YG PLUS</t>
  </si>
  <si>
    <t>TS트릴리온</t>
  </si>
  <si>
    <t>TKG애강</t>
  </si>
  <si>
    <t>THE MIDONG</t>
  </si>
  <si>
    <t>THE E&amp;M</t>
  </si>
  <si>
    <t>TBH글로벌</t>
  </si>
  <si>
    <t>SUN&amp;L</t>
  </si>
  <si>
    <t>STX중공업</t>
  </si>
  <si>
    <t>STX그린로지스</t>
  </si>
  <si>
    <t>SGA</t>
  </si>
  <si>
    <t>STX</t>
  </si>
  <si>
    <t>SM Life Design</t>
  </si>
  <si>
    <t>SM C&amp;C</t>
  </si>
  <si>
    <t>SK오션플랜트</t>
  </si>
  <si>
    <t>SK아이이테크놀로지</t>
  </si>
  <si>
    <t>SK스퀘어</t>
  </si>
  <si>
    <t>SK바이오팜</t>
  </si>
  <si>
    <t>SK바이오사이언스</t>
  </si>
  <si>
    <t>SG세계물산</t>
  </si>
  <si>
    <t>SG글로벌</t>
  </si>
  <si>
    <t>SGA솔루션즈</t>
  </si>
  <si>
    <t>KG모빌리티</t>
  </si>
  <si>
    <t>KD</t>
  </si>
  <si>
    <t>KC코트렐</t>
  </si>
  <si>
    <t>CSA 코스믹</t>
  </si>
  <si>
    <t>FSN</t>
  </si>
  <si>
    <t>ES큐브</t>
  </si>
  <si>
    <t>EG</t>
  </si>
  <si>
    <t>EDGC</t>
  </si>
  <si>
    <t>DXVX</t>
  </si>
  <si>
    <t>DS단석</t>
  </si>
  <si>
    <t>DSC인베스트먼트</t>
  </si>
  <si>
    <t>DH오토웨어</t>
  </si>
  <si>
    <t>DGP</t>
  </si>
  <si>
    <t>DB금융스팩11호</t>
  </si>
  <si>
    <t>DB</t>
  </si>
  <si>
    <t>CS</t>
  </si>
  <si>
    <t>KB제27호스팩</t>
  </si>
  <si>
    <t>CNT85</t>
  </si>
  <si>
    <t>CMG제약</t>
  </si>
  <si>
    <t>CJ씨푸드1우</t>
  </si>
  <si>
    <t>CJ씨푸드</t>
  </si>
  <si>
    <t>CJ 바이오사이언스</t>
  </si>
  <si>
    <t>CJ ENM</t>
  </si>
  <si>
    <t>CJ CGV</t>
  </si>
  <si>
    <t>CG인바이츠</t>
  </si>
  <si>
    <t>CBI</t>
  </si>
  <si>
    <t>BF랩스</t>
  </si>
  <si>
    <t>APS</t>
  </si>
  <si>
    <t>GH신소재</t>
  </si>
  <si>
    <t>GKL</t>
  </si>
  <si>
    <t>GS글로벌</t>
  </si>
  <si>
    <t>HB인베스트먼트</t>
  </si>
  <si>
    <t>KB제26호스팩</t>
  </si>
  <si>
    <t>KB제25호스팩</t>
  </si>
  <si>
    <t>KBI메탈</t>
  </si>
  <si>
    <t>JW신약</t>
  </si>
  <si>
    <t>ITX-AI</t>
  </si>
  <si>
    <t>IHQ</t>
  </si>
  <si>
    <t>IBKS제24호스팩</t>
  </si>
  <si>
    <t>IBKS제23호스팩</t>
  </si>
  <si>
    <t>IBKS제22호스팩</t>
  </si>
  <si>
    <t>IBKS제21호스팩</t>
  </si>
  <si>
    <t>IBKS제20호스팩</t>
  </si>
  <si>
    <t>HLB파나진</t>
  </si>
  <si>
    <t>HLB테라퓨틱스</t>
  </si>
  <si>
    <t>HLB제약</t>
  </si>
  <si>
    <t>HLB이노베이션</t>
  </si>
  <si>
    <t>HLB생명과학</t>
  </si>
  <si>
    <t>HLB바이오스텝</t>
  </si>
  <si>
    <t>HLB글로벌</t>
  </si>
  <si>
    <t>HLB</t>
  </si>
  <si>
    <t>HL D&amp;I</t>
  </si>
  <si>
    <t>HJ중공업</t>
  </si>
  <si>
    <t>HD현대중공업</t>
  </si>
  <si>
    <t>HD한국조선해양</t>
  </si>
  <si>
    <t>강스템바이오텍</t>
  </si>
  <si>
    <t>갤럭시아에스엠</t>
  </si>
  <si>
    <t>대원화성</t>
  </si>
  <si>
    <t>노을</t>
  </si>
  <si>
    <t>다날</t>
  </si>
  <si>
    <t>뉴프렉스</t>
  </si>
  <si>
    <t>뉴지랩파마</t>
  </si>
  <si>
    <t>뉴인텍</t>
  </si>
  <si>
    <t>뉴보텍</t>
  </si>
  <si>
    <t>뉴로메카</t>
  </si>
  <si>
    <t>누보</t>
  </si>
  <si>
    <t>누리플렉스</t>
  </si>
  <si>
    <t>누리플랜</t>
  </si>
  <si>
    <t>녹원씨엔아이</t>
  </si>
  <si>
    <t>녹십자엠에스</t>
  </si>
  <si>
    <t>노블엠앤비</t>
  </si>
  <si>
    <t>다산네트웍스</t>
  </si>
  <si>
    <t>노랑풍선</t>
  </si>
  <si>
    <t>넷마블</t>
  </si>
  <si>
    <t>넵튠</t>
  </si>
  <si>
    <t>넥슨게임즈</t>
  </si>
  <si>
    <t>넥스틸</t>
  </si>
  <si>
    <t>넥스트칩</t>
  </si>
  <si>
    <t>넥스트아이</t>
  </si>
  <si>
    <t>넥스턴바이오</t>
  </si>
  <si>
    <t>네패스아크</t>
  </si>
  <si>
    <t>네패스</t>
  </si>
  <si>
    <t>네이처셀</t>
  </si>
  <si>
    <t>다보링크</t>
  </si>
  <si>
    <t>다산솔루에타</t>
  </si>
  <si>
    <t>경남제약</t>
  </si>
  <si>
    <t>대신밸런스제14호스팩</t>
  </si>
  <si>
    <t>대원전선우</t>
  </si>
  <si>
    <t>대원전선</t>
  </si>
  <si>
    <t>대우부품</t>
  </si>
  <si>
    <t>대우건설</t>
  </si>
  <si>
    <t>대영포장</t>
  </si>
  <si>
    <t>대양전기공업</t>
  </si>
  <si>
    <t>대양금속</t>
  </si>
  <si>
    <t>대아티아이</t>
  </si>
  <si>
    <t>대신밸런스제17호스팩</t>
  </si>
  <si>
    <t>대신밸런스제16호스팩</t>
  </si>
  <si>
    <t>대신밸런스제15호스팩</t>
  </si>
  <si>
    <t>대신밸런스제13호스팩</t>
  </si>
  <si>
    <t>다스코</t>
  </si>
  <si>
    <t>대성하이텍</t>
  </si>
  <si>
    <t>대성파인텍</t>
  </si>
  <si>
    <t>대성창투</t>
  </si>
  <si>
    <t>대성산업</t>
  </si>
  <si>
    <t>대산F&amp;B</t>
  </si>
  <si>
    <t>대보마그네틱</t>
  </si>
  <si>
    <t>대명에너지</t>
  </si>
  <si>
    <t>대명소노시즌</t>
  </si>
  <si>
    <t>대동전자</t>
  </si>
  <si>
    <t>다이나믹디자인</t>
  </si>
  <si>
    <t>다원시스</t>
  </si>
  <si>
    <t>네이블</t>
  </si>
  <si>
    <t>네온테크</t>
  </si>
  <si>
    <t>네오펙트</t>
  </si>
  <si>
    <t>국동</t>
  </si>
  <si>
    <t>금양</t>
  </si>
  <si>
    <t>글로본</t>
  </si>
  <si>
    <t>글로벌텍스프리</t>
  </si>
  <si>
    <t>그린플러스</t>
  </si>
  <si>
    <t>그린생명과학</t>
  </si>
  <si>
    <t>그린리소스</t>
  </si>
  <si>
    <t>국제약품</t>
  </si>
  <si>
    <t>국전약품</t>
  </si>
  <si>
    <t>국일제지</t>
  </si>
  <si>
    <t>국영지앤엠</t>
  </si>
  <si>
    <t>국보</t>
  </si>
  <si>
    <t>교보15호스팩</t>
  </si>
  <si>
    <t>네오크레마</t>
  </si>
  <si>
    <t>교보14호스팩</t>
  </si>
  <si>
    <t>교보13호스팩</t>
  </si>
  <si>
    <t>교보12호스팩</t>
  </si>
  <si>
    <t>교보11호스팩</t>
  </si>
  <si>
    <t>광진실업</t>
  </si>
  <si>
    <t>광무</t>
  </si>
  <si>
    <t>광림</t>
  </si>
  <si>
    <t>골드앤에스</t>
  </si>
  <si>
    <t>고바이오랩</t>
  </si>
  <si>
    <t>고려시멘트</t>
  </si>
  <si>
    <t>경창산업</t>
  </si>
  <si>
    <t>금호에이치티</t>
  </si>
  <si>
    <t>금호전기</t>
  </si>
  <si>
    <t>금호타이어</t>
  </si>
  <si>
    <t>기가레인</t>
  </si>
  <si>
    <t>네오위즈홀딩스</t>
  </si>
  <si>
    <t>네오위즈</t>
  </si>
  <si>
    <t>네오리진</t>
  </si>
  <si>
    <t>내츄럴엔도텍</t>
  </si>
  <si>
    <t>남선알미우</t>
  </si>
  <si>
    <t>남선알미늄</t>
  </si>
  <si>
    <t>남광토건</t>
  </si>
  <si>
    <t>나인테크</t>
  </si>
  <si>
    <t>나이벡</t>
  </si>
  <si>
    <t>나무기술</t>
  </si>
  <si>
    <t>나무가</t>
  </si>
  <si>
    <t>나라셀라</t>
  </si>
  <si>
    <t>나노팀</t>
  </si>
  <si>
    <t>나노캠텍</t>
  </si>
  <si>
    <t>나노엔텍</t>
  </si>
  <si>
    <t>나노씨엠에스</t>
  </si>
  <si>
    <t>나노브릭</t>
  </si>
  <si>
    <t>나노</t>
  </si>
  <si>
    <t>꿈비</t>
  </si>
  <si>
    <t>깨끗한나라우</t>
  </si>
  <si>
    <t>깨끗한나라</t>
  </si>
  <si>
    <t>까스텔바작</t>
  </si>
  <si>
    <t>기산텔레콤</t>
  </si>
  <si>
    <t>삼성바이오로직스</t>
  </si>
  <si>
    <t>삼성스팩6호</t>
  </si>
  <si>
    <t>삼성스팩7호</t>
  </si>
  <si>
    <t>에코앤드림</t>
  </si>
  <si>
    <t>엔바이오니아</t>
  </si>
  <si>
    <t>엑스페릭스</t>
  </si>
  <si>
    <t>엑스큐어</t>
  </si>
  <si>
    <t>엑스게이트</t>
  </si>
  <si>
    <t>엑셈</t>
  </si>
  <si>
    <t>엑서지21</t>
  </si>
  <si>
    <t>엑사이엔씨</t>
  </si>
  <si>
    <t>에프엔씨엔터</t>
  </si>
  <si>
    <t>에프알텍</t>
  </si>
  <si>
    <t>에코프로머티</t>
  </si>
  <si>
    <t>에코캡</t>
  </si>
  <si>
    <t>에코볼트</t>
  </si>
  <si>
    <t>엔시트론</t>
  </si>
  <si>
    <t>에코바이오</t>
  </si>
  <si>
    <t>에치에프알</t>
  </si>
  <si>
    <t>에이피티씨</t>
  </si>
  <si>
    <t>에이피알</t>
  </si>
  <si>
    <t>에이프릴바이오</t>
  </si>
  <si>
    <t>에이프로젠바이오로직스</t>
  </si>
  <si>
    <t>에이프로젠 H&amp;G</t>
  </si>
  <si>
    <t>에이프로젠</t>
  </si>
  <si>
    <t>에이프로</t>
  </si>
  <si>
    <t>에이팩트</t>
  </si>
  <si>
    <t>에이티세미콘</t>
  </si>
  <si>
    <t>엔비티</t>
  </si>
  <si>
    <t>엔에이치스팩20호</t>
  </si>
  <si>
    <t>엠아이큐브솔루션</t>
  </si>
  <si>
    <t>엔켐</t>
  </si>
  <si>
    <t>엠로</t>
  </si>
  <si>
    <t>엠게임</t>
  </si>
  <si>
    <t>엘티씨</t>
  </si>
  <si>
    <t>엘컴텍</t>
  </si>
  <si>
    <t>엘앤케이바이오</t>
  </si>
  <si>
    <t>엘디티</t>
  </si>
  <si>
    <t>엔피디</t>
  </si>
  <si>
    <t>엔피</t>
  </si>
  <si>
    <t>엔투텍</t>
  </si>
  <si>
    <t>엔텔스</t>
  </si>
  <si>
    <t>엔터파트너즈</t>
  </si>
  <si>
    <t>엔케이맥스</t>
  </si>
  <si>
    <t>엔에이치스팩23호</t>
  </si>
  <si>
    <t>엔케이</t>
  </si>
  <si>
    <t>엔지켐생명과학</t>
  </si>
  <si>
    <t>엔지스테크널러지</t>
  </si>
  <si>
    <t>엔젯</t>
  </si>
  <si>
    <t>엔젠바이오</t>
  </si>
  <si>
    <t>엔에이치스팩30호</t>
  </si>
  <si>
    <t>엔에이치스팩29호</t>
  </si>
  <si>
    <t>엔에이치스팩27호</t>
  </si>
  <si>
    <t>엔에이치스팩26호</t>
  </si>
  <si>
    <t>엔에이치스팩25호</t>
  </si>
  <si>
    <t>엔에이치스팩24호</t>
  </si>
  <si>
    <t>에이테크솔루션</t>
  </si>
  <si>
    <t>에이텀</t>
  </si>
  <si>
    <t>에이치와이티씨</t>
  </si>
  <si>
    <t>에스에너지</t>
  </si>
  <si>
    <t>에스케이증권제8호스팩</t>
  </si>
  <si>
    <t>에스케이증권제11호스팩</t>
  </si>
  <si>
    <t>에스케이증권제10호스팩</t>
  </si>
  <si>
    <t>에스유홀딩스</t>
  </si>
  <si>
    <t>에스와이스틸텍</t>
  </si>
  <si>
    <t>에스와이</t>
  </si>
  <si>
    <t>에스엠벡셀</t>
  </si>
  <si>
    <t>에스엘에스바이오</t>
  </si>
  <si>
    <t>에스엘에너지</t>
  </si>
  <si>
    <t>에스엔유</t>
  </si>
  <si>
    <t>에스에스알</t>
  </si>
  <si>
    <t>에스앤더블류</t>
  </si>
  <si>
    <t>에이치엠씨제6호스팩</t>
  </si>
  <si>
    <t>에스아이리소스</t>
  </si>
  <si>
    <t>에스씨엠생명과학</t>
  </si>
  <si>
    <t>에스비비테크</t>
  </si>
  <si>
    <t>에스바이오메딕스</t>
  </si>
  <si>
    <t>에스메디</t>
  </si>
  <si>
    <t>에스디시스템</t>
  </si>
  <si>
    <t>에스디생명공학</t>
  </si>
  <si>
    <t>에스넷</t>
  </si>
  <si>
    <t>에브리봇</t>
  </si>
  <si>
    <t>에넥스</t>
  </si>
  <si>
    <t>얼라인드</t>
  </si>
  <si>
    <t>에스케이증권제9호스팩</t>
  </si>
  <si>
    <t>에스코넥</t>
  </si>
  <si>
    <t>에스트래픽</t>
  </si>
  <si>
    <t>에스티큐브</t>
  </si>
  <si>
    <t>에이치엘사이언스</t>
  </si>
  <si>
    <t>에이치앤비디자인</t>
  </si>
  <si>
    <t>에이치시티</t>
  </si>
  <si>
    <t>에이직랜드</t>
  </si>
  <si>
    <t>에이엔피</t>
  </si>
  <si>
    <t>에이에프더블류</t>
  </si>
  <si>
    <t>에이에스텍</t>
  </si>
  <si>
    <t>에이스토리</t>
  </si>
  <si>
    <t>에이스테크</t>
  </si>
  <si>
    <t>에이비프로바이오</t>
  </si>
  <si>
    <t>에이비온</t>
  </si>
  <si>
    <t>에이비엘바이오</t>
  </si>
  <si>
    <t>에이블씨엔씨</t>
  </si>
  <si>
    <t>에이루트</t>
  </si>
  <si>
    <t>에이디테크놀로지</t>
  </si>
  <si>
    <t>에이디칩스</t>
  </si>
  <si>
    <t>에이디엠코리아</t>
  </si>
  <si>
    <t>에어부산</t>
  </si>
  <si>
    <t>에쓰씨엔지니어링</t>
  </si>
  <si>
    <t>에쎈테크</t>
  </si>
  <si>
    <t>에스피시스템스</t>
  </si>
  <si>
    <t>에스피소프트</t>
  </si>
  <si>
    <t>에스폴리텍</t>
  </si>
  <si>
    <t>엠벤처투자</t>
  </si>
  <si>
    <t>엠에프엠코리아</t>
  </si>
  <si>
    <t>삼성스팩8호</t>
  </si>
  <si>
    <t>웨이버스</t>
  </si>
  <si>
    <t>위메이드맥스</t>
  </si>
  <si>
    <t>위더스제약</t>
  </si>
  <si>
    <t>위니아에이드</t>
  </si>
  <si>
    <t>위니아</t>
  </si>
  <si>
    <t>웹케시</t>
  </si>
  <si>
    <t>웹스</t>
  </si>
  <si>
    <t>웰킵스하이텍</t>
  </si>
  <si>
    <t>웰크론한텍</t>
  </si>
  <si>
    <t>웰크론</t>
  </si>
  <si>
    <t>웰바이오텍</t>
  </si>
  <si>
    <t>웨이브일렉트로</t>
  </si>
  <si>
    <t>웨스트라이즈</t>
  </si>
  <si>
    <t>위즈코프</t>
  </si>
  <si>
    <t>원풍물산</t>
  </si>
  <si>
    <t>원티드랩</t>
  </si>
  <si>
    <t>원텍</t>
  </si>
  <si>
    <t>원익홀딩스</t>
  </si>
  <si>
    <t>원익피앤이</t>
  </si>
  <si>
    <t>원익큐브</t>
  </si>
  <si>
    <t>원익</t>
  </si>
  <si>
    <t>워트</t>
  </si>
  <si>
    <t>웅진</t>
  </si>
  <si>
    <t>우진아이엔에스</t>
  </si>
  <si>
    <t>우진비앤지</t>
  </si>
  <si>
    <t>위메이드플레이</t>
  </si>
  <si>
    <t>위지윅스튜디오</t>
  </si>
  <si>
    <t>엠젠솔루션</t>
  </si>
  <si>
    <t>유비벨록스</t>
  </si>
  <si>
    <t>유안타제9호스팩</t>
  </si>
  <si>
    <t>유안타제15호스팩</t>
  </si>
  <si>
    <t>유안타제14호스팩</t>
  </si>
  <si>
    <t>유안타제13호스팩</t>
  </si>
  <si>
    <t>유안타제12호스팩</t>
  </si>
  <si>
    <t>유안타제11호스팩</t>
  </si>
  <si>
    <t>유안타제10호스팩</t>
  </si>
  <si>
    <t>유아이엘</t>
  </si>
  <si>
    <t>유아이디</t>
  </si>
  <si>
    <t>유성티엔에스</t>
  </si>
  <si>
    <t>유비온</t>
  </si>
  <si>
    <t>유바이오로직스</t>
  </si>
  <si>
    <t>위지트</t>
  </si>
  <si>
    <t>유니테크노</t>
  </si>
  <si>
    <t>유니테스트</t>
  </si>
  <si>
    <t>유니온커뮤니티</t>
  </si>
  <si>
    <t>유니슨</t>
  </si>
  <si>
    <t>유니드비티플러스</t>
  </si>
  <si>
    <t>윙스풋</t>
  </si>
  <si>
    <t>윌비스</t>
  </si>
  <si>
    <t>윌링스</t>
  </si>
  <si>
    <t>윈하이텍</t>
  </si>
  <si>
    <t>윈팩</t>
  </si>
  <si>
    <t>윈텍</t>
  </si>
  <si>
    <t>우정바이오</t>
  </si>
  <si>
    <t>우원개발</t>
  </si>
  <si>
    <t>우양</t>
  </si>
  <si>
    <t>오리엔트정공</t>
  </si>
  <si>
    <t>오픈엣지테크놀로지</t>
  </si>
  <si>
    <t>오픈놀</t>
  </si>
  <si>
    <t>오토앤</t>
  </si>
  <si>
    <t>오킨스전자</t>
  </si>
  <si>
    <t>오에스피</t>
  </si>
  <si>
    <t>오스테오닉</t>
  </si>
  <si>
    <t>오스코텍</t>
  </si>
  <si>
    <t>오성첨단소재</t>
  </si>
  <si>
    <t>오상자이엘</t>
  </si>
  <si>
    <t>오비고</t>
  </si>
  <si>
    <t>오브젠</t>
  </si>
  <si>
    <t>오리엔트바이오</t>
  </si>
  <si>
    <t>우수AMS</t>
  </si>
  <si>
    <t>오르비텍</t>
  </si>
  <si>
    <t>오로스테크놀로지</t>
  </si>
  <si>
    <t>예스티</t>
  </si>
  <si>
    <t>예선테크</t>
  </si>
  <si>
    <t>예림당</t>
  </si>
  <si>
    <t>영흥</t>
  </si>
  <si>
    <t>영화금속</t>
  </si>
  <si>
    <t>영진약품</t>
  </si>
  <si>
    <t>영우디에스피</t>
  </si>
  <si>
    <t>엠플러스</t>
  </si>
  <si>
    <t>엠투엔</t>
  </si>
  <si>
    <t>오하임앤컴퍼니</t>
  </si>
  <si>
    <t>올리패스</t>
  </si>
  <si>
    <t>올릭스</t>
  </si>
  <si>
    <t>옴니시스템</t>
  </si>
  <si>
    <t>우성</t>
  </si>
  <si>
    <t>우리이앤엘</t>
  </si>
  <si>
    <t>우리엔터프라이즈</t>
  </si>
  <si>
    <t>우리바이오</t>
  </si>
  <si>
    <t>우리로</t>
  </si>
  <si>
    <t>우리넷</t>
  </si>
  <si>
    <t>우리기술투자</t>
  </si>
  <si>
    <t>우리기술</t>
  </si>
  <si>
    <t>우듬지팜</t>
  </si>
  <si>
    <t>용평리조트</t>
  </si>
  <si>
    <t>와이팜</t>
  </si>
  <si>
    <t>와이투솔루션</t>
  </si>
  <si>
    <t>와이제이엠게임즈</t>
  </si>
  <si>
    <t>와이오엠</t>
  </si>
  <si>
    <t>와이엠티</t>
  </si>
  <si>
    <t>와이엠</t>
  </si>
  <si>
    <t>와이아이케이</t>
  </si>
  <si>
    <t>와이바이오로직스</t>
  </si>
  <si>
    <t>와이랩</t>
  </si>
  <si>
    <t>와이더플래닛</t>
  </si>
  <si>
    <t>옵티팜</t>
  </si>
  <si>
    <t>옵티코어</t>
  </si>
  <si>
    <t>옵트론텍</t>
  </si>
  <si>
    <t>어스앤에어로스페이스</t>
  </si>
  <si>
    <t>야스</t>
  </si>
  <si>
    <t>앱클론</t>
  </si>
  <si>
    <t>셀바이오휴먼텍</t>
  </si>
  <si>
    <t>솔트룩스</t>
  </si>
  <si>
    <t>솔본</t>
  </si>
  <si>
    <t>솔루엠</t>
  </si>
  <si>
    <t>솔고바이오</t>
  </si>
  <si>
    <t>손오공</t>
  </si>
  <si>
    <t>소프트캠프</t>
  </si>
  <si>
    <t>소프트센우</t>
  </si>
  <si>
    <t>소프트센</t>
  </si>
  <si>
    <t>소니드</t>
  </si>
  <si>
    <t>셀피글로벌</t>
  </si>
  <si>
    <t>셀트리온제약</t>
  </si>
  <si>
    <t>셀바스헬스케어</t>
  </si>
  <si>
    <t>쇼박스</t>
  </si>
  <si>
    <t>셀바스AI</t>
  </si>
  <si>
    <t>셀리버리</t>
  </si>
  <si>
    <t>셀리드</t>
  </si>
  <si>
    <t>셀루메드</t>
  </si>
  <si>
    <t>셀레믹스</t>
  </si>
  <si>
    <t>센코</t>
  </si>
  <si>
    <t>센서뷰</t>
  </si>
  <si>
    <t>세토피아</t>
  </si>
  <si>
    <t>세코닉스</t>
  </si>
  <si>
    <t>세진티에스</t>
  </si>
  <si>
    <t>세중</t>
  </si>
  <si>
    <t>솔트웨어</t>
  </si>
  <si>
    <t>수성웹툰</t>
  </si>
  <si>
    <t>앱코</t>
  </si>
  <si>
    <t>스튜디오산타클로스</t>
  </si>
  <si>
    <t>신도기연</t>
  </si>
  <si>
    <t>시큐센</t>
  </si>
  <si>
    <t>시큐레터</t>
  </si>
  <si>
    <t>시지트로닉스</t>
  </si>
  <si>
    <t>시스웍</t>
  </si>
  <si>
    <t>시노펙스</t>
  </si>
  <si>
    <t>시너지이노베이션</t>
  </si>
  <si>
    <t>시그네틱스</t>
  </si>
  <si>
    <t>스피어파워</t>
  </si>
  <si>
    <t>스페코</t>
  </si>
  <si>
    <t>스튜디오삼익</t>
  </si>
  <si>
    <t>스튜디오미르</t>
  </si>
  <si>
    <t>슈어소프트테크</t>
  </si>
  <si>
    <t>스튜디오드래곤</t>
  </si>
  <si>
    <t>스톰테크</t>
  </si>
  <si>
    <t>스타플렉스</t>
  </si>
  <si>
    <t>스킨앤스킨</t>
  </si>
  <si>
    <t>스코넥</t>
  </si>
  <si>
    <t>스카이문스테크놀로지</t>
  </si>
  <si>
    <t>스맥</t>
  </si>
  <si>
    <t>스마트솔루션즈</t>
  </si>
  <si>
    <t>스마트레이더시스템</t>
  </si>
  <si>
    <t>슈프리마에이치큐</t>
  </si>
  <si>
    <t>슈프리마</t>
  </si>
  <si>
    <t>세종텔레콤</t>
  </si>
  <si>
    <t>세종메디칼</t>
  </si>
  <si>
    <t>세원이앤씨</t>
  </si>
  <si>
    <t>삼천리자전거</t>
  </si>
  <si>
    <t>샌즈랩</t>
  </si>
  <si>
    <t>새로닉스</t>
  </si>
  <si>
    <t>상지카일룸</t>
  </si>
  <si>
    <t>상신전자</t>
  </si>
  <si>
    <t>상상인증권</t>
  </si>
  <si>
    <t>상상인제4호스팩</t>
  </si>
  <si>
    <t>상상인제3호스팩</t>
  </si>
  <si>
    <t>상상인인더스트리</t>
  </si>
  <si>
    <t>상보</t>
  </si>
  <si>
    <t>삼화전자</t>
  </si>
  <si>
    <t>삼화네트웍스</t>
  </si>
  <si>
    <t>삼천당제약</t>
  </si>
  <si>
    <t>세우글로벌</t>
  </si>
  <si>
    <t>삼진엘앤디</t>
  </si>
  <si>
    <t>삼일제약</t>
  </si>
  <si>
    <t>삼일씨엔에스</t>
  </si>
  <si>
    <t>삼일</t>
  </si>
  <si>
    <t>삼영이엔씨</t>
  </si>
  <si>
    <t>삼영에스앤씨</t>
  </si>
  <si>
    <t>삼영</t>
  </si>
  <si>
    <t>삼성중공업</t>
  </si>
  <si>
    <t>삼성제약</t>
  </si>
  <si>
    <t>삼성엔지니어링</t>
  </si>
  <si>
    <t>삼성스팩9호</t>
  </si>
  <si>
    <t>샘씨엔에스</t>
  </si>
  <si>
    <t>샤페론</t>
  </si>
  <si>
    <t>서남</t>
  </si>
  <si>
    <t>서산</t>
  </si>
  <si>
    <t>세아메카닉스</t>
  </si>
  <si>
    <t>세림B&amp;G</t>
  </si>
  <si>
    <t>세동</t>
  </si>
  <si>
    <t>세니젠</t>
  </si>
  <si>
    <t>세기상사</t>
  </si>
  <si>
    <t>세경하이테크</t>
  </si>
  <si>
    <t>성호전자</t>
  </si>
  <si>
    <t>성창기업지주</t>
  </si>
  <si>
    <t>성일하이텍</t>
  </si>
  <si>
    <t>성안</t>
  </si>
  <si>
    <t>선익시스템</t>
  </si>
  <si>
    <t>선도전기</t>
  </si>
  <si>
    <t>석경에이티</t>
  </si>
  <si>
    <t>서진오토모티브</t>
  </si>
  <si>
    <t>서진시스템</t>
  </si>
  <si>
    <t>서전기전</t>
  </si>
  <si>
    <t>서원</t>
  </si>
  <si>
    <t>서울제약</t>
  </si>
  <si>
    <t>서울전자통신</t>
  </si>
  <si>
    <t>서울식품우</t>
  </si>
  <si>
    <t>서울식품</t>
  </si>
  <si>
    <t>서울바이오시스</t>
  </si>
  <si>
    <t>서울리거</t>
  </si>
  <si>
    <t>신라섬유</t>
  </si>
  <si>
    <t>신라에스지</t>
  </si>
  <si>
    <t>신라젠</t>
  </si>
  <si>
    <t>아이엠</t>
  </si>
  <si>
    <t>아이티센</t>
  </si>
  <si>
    <t>아이톡시</t>
  </si>
  <si>
    <t>아이텍</t>
  </si>
  <si>
    <t>아이크래프트</t>
  </si>
  <si>
    <t>아이큐어</t>
  </si>
  <si>
    <t>아이컴포넌트</t>
  </si>
  <si>
    <t>아이진</t>
  </si>
  <si>
    <t>아이즈비전</t>
  </si>
  <si>
    <t>아이윈플러스</t>
  </si>
  <si>
    <t>아이오케이</t>
  </si>
  <si>
    <t>아이엠티</t>
  </si>
  <si>
    <t>아이엘사이언스</t>
  </si>
  <si>
    <t>아스타</t>
  </si>
  <si>
    <t>아이에이</t>
  </si>
  <si>
    <t>아이에스이커머스</t>
  </si>
  <si>
    <t>아이앤씨</t>
  </si>
  <si>
    <t>아이씨에이치</t>
  </si>
  <si>
    <t>아이스크림에듀</t>
  </si>
  <si>
    <t>아이비김영</t>
  </si>
  <si>
    <t>아우딘퓨쳐스</t>
  </si>
  <si>
    <t>아시아종묘</t>
  </si>
  <si>
    <t>아시아나항공</t>
  </si>
  <si>
    <t>아시아경제</t>
  </si>
  <si>
    <t>아스플로</t>
  </si>
  <si>
    <t>아이티아이즈</t>
  </si>
  <si>
    <t>아이티엠반도체</t>
  </si>
  <si>
    <t>아주스틸</t>
  </si>
  <si>
    <t>아진산업</t>
  </si>
  <si>
    <t>앤씨앤</t>
  </si>
  <si>
    <t>앤디포스</t>
  </si>
  <si>
    <t>액토즈소프트</t>
  </si>
  <si>
    <t>액션스퀘어</t>
  </si>
  <si>
    <t>애드바이오텍</t>
  </si>
  <si>
    <t>애니플러스</t>
  </si>
  <si>
    <t>애니젠</t>
  </si>
  <si>
    <t>압타바이오</t>
  </si>
  <si>
    <t>압타머사이언스</t>
  </si>
  <si>
    <t>알피바이오</t>
  </si>
  <si>
    <t>알파홀딩스</t>
  </si>
  <si>
    <t>알티캐스트</t>
  </si>
  <si>
    <t>알톤스포츠</t>
  </si>
  <si>
    <t>알테오젠</t>
  </si>
  <si>
    <t>알체라</t>
  </si>
  <si>
    <t>알에프텍</t>
  </si>
  <si>
    <t>알에프세미</t>
  </si>
  <si>
    <t>알에스오토메이션</t>
  </si>
  <si>
    <t>알비더블유</t>
  </si>
  <si>
    <t>알멕</t>
  </si>
  <si>
    <t>알로이스</t>
  </si>
  <si>
    <t>안트로젠</t>
  </si>
  <si>
    <t>아스트</t>
  </si>
  <si>
    <t>아셈스</t>
  </si>
  <si>
    <t>신성에스티</t>
  </si>
  <si>
    <t>신한제11호스팩</t>
  </si>
  <si>
    <t>쎄노텍</t>
  </si>
  <si>
    <t>썸에이지</t>
  </si>
  <si>
    <t>써니전자</t>
  </si>
  <si>
    <t>쌍용정보통신</t>
  </si>
  <si>
    <t>쌍방울</t>
  </si>
  <si>
    <t>싸이토젠</t>
  </si>
  <si>
    <t>실리콘투</t>
  </si>
  <si>
    <t>신화콘텍</t>
  </si>
  <si>
    <t>신화인터텍</t>
  </si>
  <si>
    <t>신한제9호스팩</t>
  </si>
  <si>
    <t>신한제8호스팩</t>
  </si>
  <si>
    <t>신한제10호스팩</t>
  </si>
  <si>
    <t>아센디오</t>
  </si>
  <si>
    <t>신풍제약우</t>
  </si>
  <si>
    <t>신풍제약</t>
  </si>
  <si>
    <t>신테카바이오</t>
  </si>
  <si>
    <t>신원종합개발</t>
  </si>
  <si>
    <t>신영스팩9호</t>
  </si>
  <si>
    <t>신영스팩8호</t>
  </si>
  <si>
    <t>신영스팩7호</t>
  </si>
  <si>
    <t>신영스팩10호</t>
  </si>
  <si>
    <t>신시웨이</t>
  </si>
  <si>
    <t>신스틸</t>
  </si>
  <si>
    <t>신성이엔지</t>
  </si>
  <si>
    <t>쏘닉스</t>
  </si>
  <si>
    <t>쏘카</t>
  </si>
  <si>
    <t>씨싸이트</t>
  </si>
  <si>
    <t>씨씨에스</t>
  </si>
  <si>
    <t>아바텍</t>
  </si>
  <si>
    <t>아미코젠</t>
  </si>
  <si>
    <t>아미노로직스</t>
  </si>
  <si>
    <t>아모텍</t>
  </si>
  <si>
    <t>아모센스</t>
  </si>
  <si>
    <t>아모그린텍</t>
  </si>
  <si>
    <t>아리온</t>
  </si>
  <si>
    <t>아남전자</t>
  </si>
  <si>
    <t>아난티</t>
  </si>
  <si>
    <t>아나패스</t>
  </si>
  <si>
    <t>아가방컴퍼니</t>
  </si>
  <si>
    <t>씨티프라퍼티</t>
  </si>
  <si>
    <t>씨티알모빌리티</t>
  </si>
  <si>
    <t>씨티씨바이오</t>
  </si>
  <si>
    <t>씨이랩</t>
  </si>
  <si>
    <t>씨유박스</t>
  </si>
  <si>
    <t>씨유메디칼</t>
  </si>
  <si>
    <t>씨엔플러스</t>
  </si>
  <si>
    <t>씨엔알리서치</t>
  </si>
  <si>
    <t>씨에스베어링</t>
  </si>
  <si>
    <t>씨앤씨인터내셔널</t>
  </si>
  <si>
    <t>씨아이테크</t>
  </si>
  <si>
    <t>씨아이에스</t>
  </si>
  <si>
    <t>힘스</t>
  </si>
  <si>
    <t>EPS</t>
    <phoneticPr fontId="1" type="noConversion"/>
  </si>
  <si>
    <t>BPS</t>
    <phoneticPr fontId="1" type="noConversion"/>
  </si>
  <si>
    <t>PER(KrxData)</t>
    <phoneticPr fontId="1" type="noConversion"/>
  </si>
  <si>
    <t>PBR(KrxData)</t>
    <phoneticPr fontId="1" type="noConversion"/>
  </si>
  <si>
    <t xml:space="preserve"> 배당수익율(KrxData )</t>
    <phoneticPr fontId="1" type="noConversion"/>
  </si>
  <si>
    <t>전체종목</t>
    <phoneticPr fontId="1" type="noConversion"/>
  </si>
  <si>
    <t>종목코드</t>
    <phoneticPr fontId="1" type="noConversion"/>
  </si>
  <si>
    <t>종목명</t>
    <phoneticPr fontId="1" type="noConversion"/>
  </si>
  <si>
    <t>시장</t>
    <phoneticPr fontId="1" type="noConversion"/>
  </si>
  <si>
    <t>부채비율</t>
    <phoneticPr fontId="1" type="noConversion"/>
  </si>
  <si>
    <t>유보율</t>
    <phoneticPr fontId="1" type="noConversion"/>
  </si>
  <si>
    <t>매출액 증가율</t>
    <phoneticPr fontId="1" type="noConversion"/>
  </si>
  <si>
    <t>EPS 증가율</t>
    <phoneticPr fontId="1" type="noConversion"/>
  </si>
  <si>
    <t>ROA</t>
    <phoneticPr fontId="1" type="noConversion"/>
  </si>
  <si>
    <t>EPS</t>
    <phoneticPr fontId="1" type="noConversion"/>
  </si>
  <si>
    <t>BPS</t>
    <phoneticPr fontId="1" type="noConversion"/>
  </si>
  <si>
    <t>PER</t>
    <phoneticPr fontId="1" type="noConversion"/>
  </si>
  <si>
    <t>PBR</t>
    <phoneticPr fontId="1" type="noConversion"/>
  </si>
  <si>
    <t xml:space="preserve">EV/ EVITA </t>
    <phoneticPr fontId="1" type="noConversion"/>
  </si>
  <si>
    <t>적지</t>
  </si>
  <si>
    <t>삼현</t>
  </si>
  <si>
    <t>탈로스</t>
  </si>
  <si>
    <t>바이오프로테크</t>
  </si>
  <si>
    <t>완전잠식</t>
  </si>
  <si>
    <t>가이아코퍼레이션</t>
  </si>
  <si>
    <t>지슨</t>
  </si>
  <si>
    <t>아하</t>
  </si>
  <si>
    <t>N/A(IFRS)</t>
  </si>
  <si>
    <t>한국피아이엠</t>
  </si>
  <si>
    <t>이비테크</t>
  </si>
  <si>
    <t>애머릿지</t>
  </si>
  <si>
    <t>라피치</t>
  </si>
  <si>
    <t>마이크로엔엑스</t>
  </si>
  <si>
    <t>미래엔에듀파트너</t>
  </si>
  <si>
    <t>나눔테크</t>
  </si>
  <si>
    <t>노브랜드</t>
  </si>
  <si>
    <t>카이바이오텍</t>
  </si>
  <si>
    <t>안지오랩</t>
  </si>
  <si>
    <t>대주이엔티</t>
  </si>
  <si>
    <t>바스칸바이오제약</t>
  </si>
  <si>
    <t>SK시그넷</t>
  </si>
  <si>
    <t>엘에이티</t>
  </si>
  <si>
    <t>태양기계</t>
  </si>
  <si>
    <t>삐아</t>
  </si>
  <si>
    <t>듀켐바이오</t>
  </si>
  <si>
    <t>바이오텐</t>
  </si>
  <si>
    <t>삼미금속</t>
  </si>
  <si>
    <t>코오롱티슈진</t>
  </si>
  <si>
    <t>코나솔</t>
  </si>
  <si>
    <t>썬테크</t>
  </si>
  <si>
    <t>비엘헬스케어</t>
  </si>
  <si>
    <t>블루탑</t>
  </si>
  <si>
    <t>아이케이세미콘</t>
  </si>
  <si>
    <t>큐엠씨</t>
  </si>
  <si>
    <t>JTC</t>
  </si>
  <si>
    <t>에스알바이오텍</t>
  </si>
  <si>
    <t>로지스몬</t>
  </si>
  <si>
    <t>KC산업</t>
  </si>
  <si>
    <t>타임기술</t>
  </si>
  <si>
    <t>크로넥스</t>
  </si>
  <si>
    <t>이노벡스</t>
  </si>
  <si>
    <t>길교이앤씨</t>
  </si>
  <si>
    <t>미쥬</t>
  </si>
  <si>
    <t>소마젠</t>
  </si>
  <si>
    <t>이브이파킹서비스</t>
  </si>
  <si>
    <t>유엑스엔</t>
  </si>
  <si>
    <t>이성씨엔아이</t>
  </si>
  <si>
    <t>진코스텍</t>
  </si>
  <si>
    <t>에피바이오텍</t>
  </si>
  <si>
    <t>엔에스컴퍼니</t>
  </si>
  <si>
    <t>코셋</t>
  </si>
  <si>
    <t>데이터스트림즈</t>
  </si>
  <si>
    <t>티엘엔지니어링</t>
  </si>
  <si>
    <t>무진메디</t>
  </si>
  <si>
    <t>오건에코텍</t>
  </si>
  <si>
    <t>큐라켐</t>
  </si>
  <si>
    <t>렌딩머신</t>
  </si>
  <si>
    <t>카티스</t>
  </si>
  <si>
    <t>씨알푸드</t>
  </si>
  <si>
    <t>한국미라클피플사</t>
  </si>
  <si>
    <t>엔젤로보틱스</t>
  </si>
  <si>
    <t>메디젠휴먼케어</t>
  </si>
  <si>
    <t>엔솔바이오사이언스</t>
  </si>
  <si>
    <t>뿌리깊은나무들</t>
  </si>
  <si>
    <t>씨앗</t>
  </si>
  <si>
    <t>아이엠비디엑스</t>
  </si>
  <si>
    <t>민테크</t>
  </si>
  <si>
    <t>나라소프트</t>
  </si>
  <si>
    <t>부채비율</t>
    <phoneticPr fontId="1" type="noConversion"/>
  </si>
  <si>
    <t>naver get CodeFiance Fishied!</t>
    <phoneticPr fontId="1" type="noConversion"/>
  </si>
  <si>
    <t>나우코스</t>
  </si>
  <si>
    <t>셀젠텍</t>
  </si>
  <si>
    <t>루켄테크놀러지스</t>
  </si>
  <si>
    <t>메디쎄이</t>
  </si>
  <si>
    <t>에스제이켐</t>
  </si>
  <si>
    <t>타이드</t>
  </si>
  <si>
    <t>제이투케이바이오</t>
  </si>
  <si>
    <t>파마리서치바이오</t>
  </si>
  <si>
    <t>지에프씨생명과학</t>
  </si>
  <si>
    <t>아이오바이오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</si>
</sst>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00000"/>
  </numFmts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4"/>
      <color rgb="FFCACACA"/>
      <name val="Consolas"/>
      <family val="3"/>
    </font>
    <font>
      <b/>
      <sz val="11"/>
      <color theme="1"/>
      <name val="HY견고딕"/>
      <family val="1"/>
      <charset val="129"/>
    </font>
    <font>
      <sz val="11"/>
      <color indexed="8"/>
      <name val="맑은 고딕"/>
      <family val="2"/>
      <scheme val="minor"/>
    </font>
    <font>
      <b/>
      <sz val="10"/>
      <color indexed="9"/>
      <name val="Arial"/>
      <family val="2"/>
    </font>
    <font>
      <b/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indexed="18"/>
      </patternFill>
    </fill>
  </fills>
  <borders count="18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1" fillId="0" borderId="0">
      <alignment vertical="center"/>
    </xf>
  </cellStyleXfs>
  <cellXfs count="57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4" fillId="7" borderId="10" xfId="0" applyFont="1" applyFill="1" applyBorder="1">
      <alignment vertical="center"/>
    </xf>
    <xf numFmtId="0" fontId="4" fillId="7" borderId="11" xfId="0" applyFont="1" applyFill="1" applyBorder="1">
      <alignment vertical="center"/>
    </xf>
    <xf numFmtId="0" fontId="4" fillId="7" borderId="12" xfId="0" applyFont="1" applyFill="1" applyBorder="1">
      <alignment vertical="center"/>
    </xf>
    <xf numFmtId="3" fontId="0" fillId="0" borderId="0" xfId="0" applyNumberFormat="1">
      <alignment vertical="center"/>
    </xf>
    <xf numFmtId="0" fontId="3" fillId="6" borderId="0" xfId="1">
      <alignment vertical="center"/>
    </xf>
    <xf numFmtId="0" fontId="3" fillId="6" borderId="0" xfId="1" applyAlignment="1">
      <alignment horizontal="center" vertical="center"/>
    </xf>
    <xf numFmtId="0" fontId="0" fillId="8" borderId="13" xfId="0" applyFill="1" applyBorder="1">
      <alignment vertical="center"/>
    </xf>
    <xf numFmtId="3" fontId="0" fillId="8" borderId="13" xfId="0" applyNumberFormat="1" applyFill="1" applyBorder="1">
      <alignment vertical="center"/>
    </xf>
    <xf numFmtId="0" fontId="0" fillId="0" borderId="5" xfId="0" applyBorder="1">
      <alignment vertical="center"/>
    </xf>
    <xf numFmtId="0" fontId="0" fillId="5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6" xfId="0" applyBorder="1">
      <alignment vertical="center"/>
    </xf>
    <xf numFmtId="0" fontId="0" fillId="8" borderId="0" xfId="0" applyFill="1">
      <alignment vertical="center"/>
    </xf>
    <xf numFmtId="3" fontId="0" fillId="8" borderId="0" xfId="0" applyNumberFormat="1" applyFill="1">
      <alignment vertical="center"/>
    </xf>
    <xf numFmtId="0" fontId="0" fillId="0" borderId="3" xfId="0" applyBorder="1">
      <alignment vertical="center"/>
    </xf>
    <xf numFmtId="0" fontId="0" fillId="5" borderId="2" xfId="0" applyFill="1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7" fillId="9" borderId="0" xfId="2" applyAlignment="1">
      <alignment horizontal="center" vertical="center"/>
    </xf>
    <xf numFmtId="0" fontId="9" fillId="0" borderId="0" xfId="0" applyFont="1">
      <alignment vertical="center"/>
    </xf>
    <xf numFmtId="0" fontId="8" fillId="10" borderId="0" xfId="3">
      <alignment vertical="center"/>
    </xf>
    <xf numFmtId="176" fontId="0" fillId="0" borderId="0" xfId="0" applyNumberFormat="1">
      <alignment vertical="center"/>
    </xf>
    <xf numFmtId="176" fontId="3" fillId="6" borderId="0" xfId="1" applyNumberFormat="1">
      <alignment vertical="center"/>
    </xf>
    <xf numFmtId="17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4" fillId="7" borderId="16" xfId="0" applyFont="1" applyFill="1" applyBorder="1">
      <alignment vertical="center"/>
    </xf>
    <xf numFmtId="0" fontId="4" fillId="7" borderId="15" xfId="0" applyFont="1" applyFill="1" applyBorder="1">
      <alignment vertical="center"/>
    </xf>
    <xf numFmtId="176" fontId="4" fillId="7" borderId="14" xfId="0" applyNumberFormat="1" applyFont="1" applyFill="1" applyBorder="1">
      <alignment vertical="center"/>
    </xf>
    <xf numFmtId="0" fontId="10" fillId="0" borderId="0" xfId="0" applyFont="1">
      <alignment vertical="center"/>
    </xf>
    <xf numFmtId="0" fontId="12" fillId="11" borderId="17" xfId="4" applyFont="1" applyFill="1" applyBorder="1" applyAlignment="1">
      <alignment horizontal="center" vertical="center"/>
    </xf>
    <xf numFmtId="176" fontId="12" fillId="11" borderId="17" xfId="4" applyNumberFormat="1" applyFont="1" applyFill="1" applyBorder="1" applyAlignment="1">
      <alignment horizontal="center" vertical="center"/>
    </xf>
    <xf numFmtId="176" fontId="3" fillId="6" borderId="0" xfId="1" applyNumberFormat="1" applyAlignment="1">
      <alignment horizontal="center" vertical="center"/>
    </xf>
    <xf numFmtId="176" fontId="4" fillId="7" borderId="10" xfId="0" applyNumberFormat="1" applyFont="1" applyFill="1" applyBorder="1">
      <alignment vertical="center"/>
    </xf>
    <xf numFmtId="0" fontId="13" fillId="7" borderId="11" xfId="0" applyFont="1" applyFill="1" applyBorder="1">
      <alignment vertical="center"/>
    </xf>
    <xf numFmtId="0" fontId="13" fillId="7" borderId="12" xfId="0" applyFont="1" applyFill="1" applyBorder="1">
      <alignment vertical="center"/>
    </xf>
    <xf numFmtId="0" fontId="0" fillId="0" borderId="5" xfId="0" applyFill="1" applyBorder="1" applyProtection="1">
      <alignment vertical="center"/>
    </xf>
    <xf numFmtId="0" fontId="0" fillId="5" borderId="1" xfId="0" applyFill="1" applyBorder="1" applyProtection="1">
      <alignment vertical="center"/>
    </xf>
    <xf numFmtId="0" fontId="0" fillId="0" borderId="1" xfId="0" applyFill="1" applyBorder="1" applyProtection="1">
      <alignment vertical="center"/>
    </xf>
    <xf numFmtId="47" fontId="0" fillId="0" borderId="1" xfId="0" applyNumberFormat="1" applyFill="1" applyBorder="1" applyProtection="1">
      <alignment vertical="center"/>
    </xf>
    <xf numFmtId="0" fontId="0" fillId="0" borderId="6" xfId="0" applyFill="1" applyBorder="1" applyProtection="1">
      <alignment vertical="center"/>
    </xf>
    <xf numFmtId="0" fontId="0" fillId="0" borderId="6" xfId="0" applyFill="1" applyBorder="1" applyAlignment="1" applyProtection="1">
      <alignment vertical="center" wrapText="1"/>
    </xf>
    <xf numFmtId="0" fontId="0" fillId="0" borderId="6" xfId="0" applyFill="1" applyBorder="1" applyAlignment="1" applyProtection="1">
      <alignment vertical="top" wrapText="1"/>
    </xf>
    <xf numFmtId="0" fontId="0" fillId="5" borderId="1" xfId="0" applyFill="1" applyBorder="1" applyAlignment="1" applyProtection="1">
      <alignment vertical="center" wrapText="1"/>
    </xf>
    <xf numFmtId="0" fontId="0" fillId="0" borderId="7" xfId="0" applyFill="1" applyBorder="1" applyProtection="1">
      <alignment vertical="center"/>
    </xf>
    <xf numFmtId="0" fontId="0" fillId="5" borderId="8" xfId="0" applyFill="1" applyBorder="1" applyProtection="1">
      <alignment vertical="center"/>
    </xf>
    <xf numFmtId="0" fontId="0" fillId="0" borderId="8" xfId="0" applyFill="1" applyBorder="1" applyProtection="1">
      <alignment vertical="center"/>
    </xf>
    <xf numFmtId="0" fontId="0" fillId="0" borderId="9" xfId="0" applyFill="1" applyBorder="1" applyProtection="1">
      <alignment vertical="center"/>
    </xf>
    <xf numFmtId="0" fontId="0" fillId="0" borderId="0" xfId="0" applyNumberForma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5">
    <cellStyle name="Bad" xfId="3" builtinId="27"/>
    <cellStyle name="Good" xfId="2" builtinId="26"/>
    <cellStyle name="Neutral" xfId="1" builtinId="28"/>
    <cellStyle name="Normal" xfId="0" builtinId="0"/>
    <cellStyle name="Normal 2" xfId="4"/>
  </cellStyles>
  <dxfs count="76">
    <dxf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ill>
        <patternFill patternType="none">
          <fgColor indexed="64"/>
          <bgColor indexed="65"/>
        </patternFill>
      </fill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000000"/>
    </dxf>
    <dxf>
      <numFmt numFmtId="176" formatCode="00000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1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76" formatCode="00000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  <dxf>
      <numFmt numFmtId="176" formatCode="000000"/>
    </dxf>
    <dxf>
      <numFmt numFmtId="176" formatCode="000000"/>
    </dxf>
    <dxf>
      <numFmt numFmtId="176" formatCode="000000"/>
    </dxf>
    <dxf>
      <numFmt numFmtId="176" formatCode="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0</xdr:row>
      <xdr:rowOff>152400</xdr:rowOff>
    </xdr:from>
    <xdr:to>
      <xdr:col>4</xdr:col>
      <xdr:colOff>66675</xdr:colOff>
      <xdr:row>2</xdr:row>
      <xdr:rowOff>66675</xdr:rowOff>
    </xdr:to>
    <xdr:sp macro="[0]!extractData_ezchemtech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009650" y="1524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1</xdr:row>
      <xdr:rowOff>114300</xdr:rowOff>
    </xdr:from>
    <xdr:to>
      <xdr:col>3</xdr:col>
      <xdr:colOff>838200</xdr:colOff>
      <xdr:row>3</xdr:row>
      <xdr:rowOff>76200</xdr:rowOff>
    </xdr:to>
    <xdr:sp macro="[0]!extractData_stockNaver_mine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4095750" y="323850"/>
          <a:ext cx="12287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104775</xdr:colOff>
      <xdr:row>1</xdr:row>
      <xdr:rowOff>123825</xdr:rowOff>
    </xdr:from>
    <xdr:to>
      <xdr:col>4</xdr:col>
      <xdr:colOff>1409700</xdr:colOff>
      <xdr:row>3</xdr:row>
      <xdr:rowOff>85725</xdr:rowOff>
    </xdr:to>
    <xdr:sp macro="[0]!naver_stocks_pbrperdiv_kospi_mine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5600700" y="333375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10</xdr:col>
      <xdr:colOff>800100</xdr:colOff>
      <xdr:row>1</xdr:row>
      <xdr:rowOff>95250</xdr:rowOff>
    </xdr:from>
    <xdr:to>
      <xdr:col>11</xdr:col>
      <xdr:colOff>1156335</xdr:colOff>
      <xdr:row>3</xdr:row>
      <xdr:rowOff>57150</xdr:rowOff>
    </xdr:to>
    <xdr:sp macro="[0]!naver_stocks_pbrperdiv_kosdaq_mine" textlink="">
      <xdr:nvSpPr>
        <xdr:cNvPr id="5" name="사각형: 둥근 모서리 3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4672310" y="30480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6</xdr:col>
      <xdr:colOff>358140</xdr:colOff>
      <xdr:row>6</xdr:row>
      <xdr:rowOff>19050</xdr:rowOff>
    </xdr:from>
    <xdr:to>
      <xdr:col>6</xdr:col>
      <xdr:colOff>1663065</xdr:colOff>
      <xdr:row>7</xdr:row>
      <xdr:rowOff>190500</xdr:rowOff>
    </xdr:to>
    <xdr:sp macro="[0]!naver_get_codeFinance" textlink="">
      <xdr:nvSpPr>
        <xdr:cNvPr id="7" name="사각형: 둥근 모서리 3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7722870" y="127635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Code Finace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6</xdr:col>
      <xdr:colOff>346710</xdr:colOff>
      <xdr:row>8</xdr:row>
      <xdr:rowOff>83820</xdr:rowOff>
    </xdr:from>
    <xdr:to>
      <xdr:col>6</xdr:col>
      <xdr:colOff>1651635</xdr:colOff>
      <xdr:row>10</xdr:row>
      <xdr:rowOff>45720</xdr:rowOff>
    </xdr:to>
    <xdr:sp macro="[0]!naver_get_stockNews" textlink="">
      <xdr:nvSpPr>
        <xdr:cNvPr id="8" name="사각형: 둥근 모서리 3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7711440" y="176022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stock News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1</xdr:row>
      <xdr:rowOff>114300</xdr:rowOff>
    </xdr:from>
    <xdr:to>
      <xdr:col>3</xdr:col>
      <xdr:colOff>838200</xdr:colOff>
      <xdr:row>3</xdr:row>
      <xdr:rowOff>76200</xdr:rowOff>
    </xdr:to>
    <xdr:sp macro="[0]!Mac_ShortCut.extractData_stock_pykrx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4093845" y="323850"/>
          <a:ext cx="121348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104775</xdr:colOff>
      <xdr:row>1</xdr:row>
      <xdr:rowOff>123825</xdr:rowOff>
    </xdr:from>
    <xdr:to>
      <xdr:col>4</xdr:col>
      <xdr:colOff>1409700</xdr:colOff>
      <xdr:row>3</xdr:row>
      <xdr:rowOff>85725</xdr:rowOff>
    </xdr:to>
    <xdr:sp macro="[0]!pykrx_stocks_pbrperdiv" textlink="">
      <xdr:nvSpPr>
        <xdr:cNvPr id="3" name="사각형: 둥근 모서리 3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5583555" y="333375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</xdr:colOff>
      <xdr:row>1</xdr:row>
      <xdr:rowOff>95250</xdr:rowOff>
    </xdr:from>
    <xdr:to>
      <xdr:col>4</xdr:col>
      <xdr:colOff>680085</xdr:colOff>
      <xdr:row>3</xdr:row>
      <xdr:rowOff>57150</xdr:rowOff>
    </xdr:to>
    <xdr:sp macro="[0]!extractData_stock_fnguide" textlink="">
      <xdr:nvSpPr>
        <xdr:cNvPr id="3" name="사각형: 둥근 모서리 3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3489960" y="30480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232410</xdr:colOff>
      <xdr:row>1</xdr:row>
      <xdr:rowOff>53340</xdr:rowOff>
    </xdr:from>
    <xdr:to>
      <xdr:col>1</xdr:col>
      <xdr:colOff>763905</xdr:colOff>
      <xdr:row>3</xdr:row>
      <xdr:rowOff>15240</xdr:rowOff>
    </xdr:to>
    <xdr:sp macro="[0]!extractData_stock_krxData" textlink="">
      <xdr:nvSpPr>
        <xdr:cNvPr id="2" name="사각형: 둥근 모서리 3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32410" y="26289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표1" displayName="표1" ref="C10:Q37" totalsRowShown="0" headerRowDxfId="0" dataDxfId="19" headerRowBorderDxfId="17" tableBorderDxfId="18" totalsRowBorderDxfId="16">
  <autoFilter ref="C10:Q37"/>
  <tableColumns count="15">
    <tableColumn id="1" name="요청ID" dataDxfId="15"/>
    <tableColumn id="2" name="결재요청자" dataDxfId="14"/>
    <tableColumn id="3" name="긴급여부" dataDxfId="13"/>
    <tableColumn id="4" name="결재요청구분" dataDxfId="12"/>
    <tableColumn id="5" name="결재요청제목" dataDxfId="11"/>
    <tableColumn id="6" name="결재요청세부내용" dataDxfId="10"/>
    <tableColumn id="7" name="결재라인" dataDxfId="9"/>
    <tableColumn id="8" name="결재 1차" dataDxfId="8"/>
    <tableColumn id="9" name="결재 2차" dataDxfId="7"/>
    <tableColumn id="10" name="결재 3차" dataDxfId="6"/>
    <tableColumn id="11" name="제출상태" dataDxfId="5"/>
    <tableColumn id="12" name="결재요청일" dataDxfId="4"/>
    <tableColumn id="13" name="진행상황" dataDxfId="3"/>
    <tableColumn id="14" name="결재결과" dataDxfId="2"/>
    <tableColumn id="15" name="결재의견" dataDxfId="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표3" displayName="표3" ref="A4:M958" totalsRowShown="0">
  <autoFilter ref="A4:M958"/>
  <tableColumns count="13">
    <tableColumn id="1" name="년도"/>
    <tableColumn id="2" name="1월"/>
    <tableColumn id="3" name="2월"/>
    <tableColumn id="4" name="3월"/>
    <tableColumn id="5" name="4월"/>
    <tableColumn id="6" name="5월"/>
    <tableColumn id="7" name="6월"/>
    <tableColumn id="8" name="7월"/>
    <tableColumn id="9" name="8월"/>
    <tableColumn id="10" name="9월"/>
    <tableColumn id="11" name="10월"/>
    <tableColumn id="12" name="11월"/>
    <tableColumn id="13" name="12월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표2" displayName="표2" ref="O4:AA14" totalsRowShown="0" headerRowDxfId="75" headerRowBorderDxfId="74" tableBorderDxfId="73">
  <autoFilter ref="O4:AA14"/>
  <tableColumns count="13">
    <tableColumn id="1" name="년도"/>
    <tableColumn id="2" name="1월" dataDxfId="72"/>
    <tableColumn id="3" name="2월" dataDxfId="71"/>
    <tableColumn id="4" name="3월" dataDxfId="70"/>
    <tableColumn id="5" name="4월" dataDxfId="69"/>
    <tableColumn id="6" name="5월" dataDxfId="68"/>
    <tableColumn id="7" name="6월" dataDxfId="67"/>
    <tableColumn id="8" name="7월" dataDxfId="66"/>
    <tableColumn id="9" name="8월" dataDxfId="65"/>
    <tableColumn id="10" name="9월" dataDxfId="64"/>
    <tableColumn id="11" name="10월" dataDxfId="63"/>
    <tableColumn id="12" name="11월" dataDxfId="62"/>
    <tableColumn id="13" name="12월" dataDxfId="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표4" displayName="표4" ref="O23:AA29" totalsRowShown="0" headerRowDxfId="60" dataDxfId="58" headerRowBorderDxfId="59" tableBorderDxfId="57" totalsRowBorderDxfId="56">
  <autoFilter ref="O23:AA29"/>
  <tableColumns count="13">
    <tableColumn id="1" name="년도" dataDxfId="55"/>
    <tableColumn id="2" name="1월" dataDxfId="54"/>
    <tableColumn id="3" name="2월" dataDxfId="53"/>
    <tableColumn id="4" name="3월" dataDxfId="52"/>
    <tableColumn id="5" name="4월" dataDxfId="51"/>
    <tableColumn id="6" name="5월" dataDxfId="50"/>
    <tableColumn id="7" name="6월" dataDxfId="49"/>
    <tableColumn id="8" name="7월" dataDxfId="48"/>
    <tableColumn id="9" name="8월" dataDxfId="47"/>
    <tableColumn id="10" name="9월" dataDxfId="46"/>
    <tableColumn id="11" name="10월" dataDxfId="45"/>
    <tableColumn id="12" name="11월" dataDxfId="44"/>
    <tableColumn id="13" name="12월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표5" displayName="표5" ref="A5:E959" totalsRowShown="0">
  <autoFilter ref="A5:E959"/>
  <sortState ref="A6:E959">
    <sortCondition descending="1" ref="E5:E959"/>
  </sortState>
  <tableColumns count="5">
    <tableColumn id="1" name="종목코드" dataDxfId="42"/>
    <tableColumn id="2" name="종목명"/>
    <tableColumn id="3" name="PBR"/>
    <tableColumn id="4" name="PER"/>
    <tableColumn id="5" name="DIV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e8" displayName="Table8" ref="H5:L1719" totalsRowShown="0">
  <autoFilter ref="H5:L1719"/>
  <sortState ref="H6:L1719">
    <sortCondition descending="1" ref="L5:L1719"/>
  </sortState>
  <tableColumns count="5">
    <tableColumn id="1" name="종목코드" dataDxfId="41"/>
    <tableColumn id="2" name="종목명"/>
    <tableColumn id="3" name="PBR"/>
    <tableColumn id="4" name="PER"/>
    <tableColumn id="5" name="DIV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표5_7" displayName="표5_7" ref="A5:E959" totalsRowShown="0">
  <autoFilter ref="A5:E959"/>
  <sortState ref="A6:E255">
    <sortCondition ref="C5:C959"/>
  </sortState>
  <tableColumns count="5">
    <tableColumn id="1" name="종목코드" dataDxfId="40"/>
    <tableColumn id="2" name="종목명"/>
    <tableColumn id="3" name="PER"/>
    <tableColumn id="4" name="PBR"/>
    <tableColumn id="5" name="DIV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5:O79" totalsRowShown="0">
  <sortState ref="A6:O79">
    <sortCondition ref="E5:E79"/>
  </sortState>
  <tableColumns count="15">
    <tableColumn id="1" name="종목코드" dataDxfId="39"/>
    <tableColumn id="2" name="종목명"/>
    <tableColumn id="3" name="NO"/>
    <tableColumn id="4" name="시장"/>
    <tableColumn id="5" name="부채비율"/>
    <tableColumn id="6" name="유보율"/>
    <tableColumn id="7" name="매출액 증가율"/>
    <tableColumn id="8" name="EPS 증가율"/>
    <tableColumn id="9" name="ROA"/>
    <tableColumn id="10" name="ROE"/>
    <tableColumn id="11" name="EPS"/>
    <tableColumn id="12" name="BPS"/>
    <tableColumn id="13" name="PER"/>
    <tableColumn id="14" name="PBR"/>
    <tableColumn id="15" name="EV/ EVITA 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1" name="Table11" displayName="Table11" ref="A101:N1222" totalsRowShown="0" headerRowDxfId="38" headerRowBorderDxfId="37">
  <autoFilter ref="A101:N1222"/>
  <sortState ref="A102:N1220">
    <sortCondition descending="1" ref="B101:B1220"/>
  </sortState>
  <tableColumns count="14">
    <tableColumn id="1" name="종목코드" dataDxfId="36"/>
    <tableColumn id="2" name="종목명"/>
    <tableColumn id="3" name="시장"/>
    <tableColumn id="4" name="부채비율"/>
    <tableColumn id="5" name="유보율"/>
    <tableColumn id="6" name="매출액 증가율"/>
    <tableColumn id="7" name="EPS 증가율"/>
    <tableColumn id="8" name="ROA"/>
    <tableColumn id="9" name="ROE"/>
    <tableColumn id="10" name="EPS"/>
    <tableColumn id="11" name="BPS"/>
    <tableColumn id="12" name="PER"/>
    <tableColumn id="13" name="PBR"/>
    <tableColumn id="14" name="EV/ EVITA 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A5:M2627" totalsRowShown="0" headerRowDxfId="35" headerRowBorderDxfId="34" tableBorderDxfId="33" headerRowCellStyle="Normal 2">
  <autoFilter ref="A5:M2627"/>
  <tableColumns count="13">
    <tableColumn id="1" name="종목코드" dataDxfId="32"/>
    <tableColumn id="2" name="종목명"/>
    <tableColumn id="3" name="종가"/>
    <tableColumn id="4" name="대비"/>
    <tableColumn id="5" name="등락률"/>
    <tableColumn id="6" name="EPS"/>
    <tableColumn id="7" name="PER"/>
    <tableColumn id="8" name="선행 EPS"/>
    <tableColumn id="9" name="선행 PER"/>
    <tableColumn id="10" name="BPS"/>
    <tableColumn id="11" name="PBR"/>
    <tableColumn id="12" name="주당배당금"/>
    <tableColumn id="13" name="배당수익률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7" name="표7" displayName="표7" ref="A4:L42" totalsRowShown="0">
  <autoFilter ref="A4:L42"/>
  <sortState ref="A5:L42">
    <sortCondition descending="1" ref="J4:J42"/>
  </sortState>
  <tableColumns count="12">
    <tableColumn id="1" name="종목코드" dataDxfId="31"/>
    <tableColumn id="2" name="종목명" dataDxfId="30">
      <calculatedColumnFormula>IFERROR(VLOOKUP(표7[[#This Row],[종목코드]],krxData_재무!$A$6:$E$2805,2,0),"-")</calculatedColumnFormula>
    </tableColumn>
    <tableColumn id="3" name="PER" dataDxfId="29">
      <calculatedColumnFormula>IFERROR(VLOOKUP(표7[[#This Row],[종목코드]],pyKrx_Stock!$A$6:$E$262,3,0),"-")</calculatedColumnFormula>
    </tableColumn>
    <tableColumn id="4" name="PBR" dataDxfId="28">
      <calculatedColumnFormula>IFERROR(VLOOKUP(표7[[#This Row],[종목코드]],pyKrx_Stock!$A$6:$E$262,4,0),"-")</calculatedColumnFormula>
    </tableColumn>
    <tableColumn id="5" name="DIV" dataDxfId="27">
      <calculatedColumnFormula>IFERROR(VLOOKUP(표7[[#This Row],[종목코드]],pyKrx_Stock!$A$6:$E$262,5,0),"-")</calculatedColumnFormula>
    </tableColumn>
    <tableColumn id="6" name="EPS" dataDxfId="26">
      <calculatedColumnFormula>IFERROR(VLOOKUP(표7[[#This Row],[종목코드]],krxData_재무!$A$6:$M$2805,6,0),"-")</calculatedColumnFormula>
    </tableColumn>
    <tableColumn id="7" name="BPS" dataDxfId="25">
      <calculatedColumnFormula>IFERROR(VLOOKUP(표7[[#This Row],[종목코드]],krxData_재무!$A$6:$M$2805,10,0),"-")</calculatedColumnFormula>
    </tableColumn>
    <tableColumn id="8" name="PER(KrxData)" dataDxfId="24">
      <calculatedColumnFormula>IFERROR(VLOOKUP(표7[[#This Row],[종목코드]],krxData_재무!$A$6:$M$2805,7,0),"-")</calculatedColumnFormula>
    </tableColumn>
    <tableColumn id="9" name="PBR(KrxData)" dataDxfId="23">
      <calculatedColumnFormula>IFERROR(VLOOKUP(표7[[#This Row],[종목코드]],krxData_재무!$A$6:$M$2805,11,0),"-")</calculatedColumnFormula>
    </tableColumn>
    <tableColumn id="10" name=" 배당수익율(KrxData )" dataDxfId="22">
      <calculatedColumnFormula>IFERROR(VLOOKUP(표7[[#This Row],[종목코드]],krxData_재무!$A$6:$M$2805,13,0),"-")</calculatedColumnFormula>
    </tableColumn>
    <tableColumn id="11" name="부채비율" dataDxfId="21">
      <calculatedColumnFormula>IFERROR(VLOOKUP(표7[[#This Row],[종목명]],fnguide!$B$101:$N$1300,3,0),"-")</calculatedColumnFormula>
    </tableColumn>
    <tableColumn id="12" name="EPS 증가율" dataDxfId="20">
      <calculatedColumnFormula>IFERROR(VLOOKUP(표7[[#This Row],[종목명]],fnguide!$B$101:$N$1300,6,0),"-")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Approval_item"/>
  <dimension ref="C10:Q964"/>
  <sheetViews>
    <sheetView topLeftCell="A7" workbookViewId="0">
      <selection activeCell="C9" sqref="C9"/>
    </sheetView>
  </sheetViews>
  <sheetFormatPr defaultRowHeight="16.5"/>
  <cols>
    <col min="3" max="3" width="10.5" bestFit="1" customWidth="1"/>
    <col min="4" max="4" width="9.34765625" customWidth="1"/>
    <col min="5" max="5" width="9.25" customWidth="1"/>
    <col min="6" max="7" width="12.5" customWidth="1"/>
    <col min="8" max="8" width="81.09765625" customWidth="1"/>
    <col min="9" max="13" width="9.25" customWidth="1"/>
    <col min="14" max="14" width="10.84765625" customWidth="1"/>
    <col min="15" max="16" width="9.25" customWidth="1"/>
    <col min="17" max="17" width="105.75" customWidth="1"/>
  </cols>
  <sheetData>
    <row r="10" spans="3:17">
      <c r="C10" s="5" t="s">
        <v>0</v>
      </c>
      <c r="D10" s="2" t="s">
        <v>1</v>
      </c>
      <c r="E10" s="3" t="s">
        <v>2</v>
      </c>
      <c r="F10" s="3" t="s">
        <v>3</v>
      </c>
      <c r="G10" s="3" t="s">
        <v>4</v>
      </c>
      <c r="H10" s="3" t="s">
        <v>5</v>
      </c>
      <c r="I10" s="1" t="s">
        <v>6</v>
      </c>
      <c r="J10" s="3" t="s">
        <v>7</v>
      </c>
      <c r="K10" s="3" t="s">
        <v>8</v>
      </c>
      <c r="L10" s="3" t="s">
        <v>9</v>
      </c>
      <c r="M10" s="2" t="s">
        <v>10</v>
      </c>
      <c r="N10" s="4" t="s">
        <v>11</v>
      </c>
      <c r="O10" s="4" t="s">
        <v>12</v>
      </c>
      <c r="P10" s="1" t="s">
        <v>13</v>
      </c>
      <c r="Q10" s="6" t="s">
        <v>14</v>
      </c>
    </row>
    <row r="11" spans="3:17">
      <c r="C11" s="42">
        <v>1</v>
      </c>
      <c r="D11" s="43" t="s">
        <v>15</v>
      </c>
      <c r="E11" s="43" t="s">
        <v>16</v>
      </c>
      <c r="F11" s="43" t="s">
        <v>17</v>
      </c>
      <c r="G11" s="43" t="s">
        <v>17</v>
      </c>
      <c r="H11" s="43" t="s">
        <v>18</v>
      </c>
      <c r="I11" s="44" t="s">
        <v>19</v>
      </c>
      <c r="J11" s="43"/>
      <c r="K11" s="43"/>
      <c r="L11" s="43"/>
      <c r="M11" s="43" t="s">
        <v>20</v>
      </c>
      <c r="N11" s="45">
        <v>44812.465541006946</v>
      </c>
      <c r="O11" s="44" t="s">
        <v>21</v>
      </c>
      <c r="P11" s="44" t="s">
        <v>22</v>
      </c>
      <c r="Q11" s="46"/>
    </row>
    <row r="12" spans="3:17">
      <c r="C12" s="42">
        <v>2</v>
      </c>
      <c r="D12" s="43" t="s">
        <v>19</v>
      </c>
      <c r="E12" s="43" t="s">
        <v>16</v>
      </c>
      <c r="F12" s="43" t="s">
        <v>23</v>
      </c>
      <c r="G12" s="43" t="s">
        <v>24</v>
      </c>
      <c r="H12" s="43" t="s">
        <v>25</v>
      </c>
      <c r="I12" s="44" t="s">
        <v>26</v>
      </c>
      <c r="J12" s="43"/>
      <c r="K12" s="43"/>
      <c r="L12" s="43"/>
      <c r="M12" s="43" t="s">
        <v>20</v>
      </c>
      <c r="N12" s="45">
        <v>44812.466991122688</v>
      </c>
      <c r="O12" s="44" t="s">
        <v>21</v>
      </c>
      <c r="P12" s="44" t="s">
        <v>22</v>
      </c>
      <c r="Q12" s="46"/>
    </row>
    <row r="13" spans="3:17" ht="33">
      <c r="C13" s="42">
        <v>3</v>
      </c>
      <c r="D13" s="43" t="s">
        <v>27</v>
      </c>
      <c r="E13" s="43" t="s">
        <v>16</v>
      </c>
      <c r="F13" s="43" t="s">
        <v>28</v>
      </c>
      <c r="G13" s="43" t="s">
        <v>29</v>
      </c>
      <c r="H13" s="43" t="s">
        <v>30</v>
      </c>
      <c r="I13" s="44" t="s">
        <v>31</v>
      </c>
      <c r="J13" s="43"/>
      <c r="K13" s="43"/>
      <c r="L13" s="43"/>
      <c r="M13" s="43" t="s">
        <v>20</v>
      </c>
      <c r="N13" s="45">
        <v>44819.476358020831</v>
      </c>
      <c r="O13" s="44" t="s">
        <v>21</v>
      </c>
      <c r="P13" s="44" t="s">
        <v>22</v>
      </c>
      <c r="Q13" s="47" t="s">
        <v>32</v>
      </c>
    </row>
    <row r="14" spans="3:17" ht="24.75" customHeight="1">
      <c r="C14" s="42">
        <v>4</v>
      </c>
      <c r="D14" s="43" t="s">
        <v>19</v>
      </c>
      <c r="E14" s="43" t="s">
        <v>16</v>
      </c>
      <c r="F14" s="43" t="s">
        <v>28</v>
      </c>
      <c r="G14" s="43" t="s">
        <v>33</v>
      </c>
      <c r="H14" s="43" t="s">
        <v>34</v>
      </c>
      <c r="I14" s="44" t="s">
        <v>26</v>
      </c>
      <c r="J14" s="43"/>
      <c r="K14" s="43"/>
      <c r="L14" s="43"/>
      <c r="M14" s="43" t="s">
        <v>20</v>
      </c>
      <c r="N14" s="45">
        <v>44823.477082638892</v>
      </c>
      <c r="O14" s="44" t="s">
        <v>21</v>
      </c>
      <c r="P14" s="44" t="s">
        <v>22</v>
      </c>
      <c r="Q14" s="48" t="s">
        <v>35</v>
      </c>
    </row>
    <row r="15" spans="3:17">
      <c r="C15" s="42">
        <v>5</v>
      </c>
      <c r="D15" s="43" t="s">
        <v>19</v>
      </c>
      <c r="E15" s="43" t="s">
        <v>16</v>
      </c>
      <c r="F15" s="43" t="s">
        <v>28</v>
      </c>
      <c r="G15" s="43" t="s">
        <v>36</v>
      </c>
      <c r="H15" s="43" t="s">
        <v>37</v>
      </c>
      <c r="I15" s="44" t="s">
        <v>26</v>
      </c>
      <c r="J15" s="43"/>
      <c r="K15" s="43"/>
      <c r="L15" s="43"/>
      <c r="M15" s="43" t="s">
        <v>20</v>
      </c>
      <c r="N15" s="45">
        <v>44826.423970104166</v>
      </c>
      <c r="O15" s="44" t="s">
        <v>21</v>
      </c>
      <c r="P15" s="44" t="s">
        <v>22</v>
      </c>
      <c r="Q15" s="46" t="s">
        <v>38</v>
      </c>
    </row>
    <row r="16" spans="3:17">
      <c r="C16" s="42">
        <v>6</v>
      </c>
      <c r="D16" s="43" t="s">
        <v>39</v>
      </c>
      <c r="E16" s="43" t="s">
        <v>16</v>
      </c>
      <c r="F16" s="43" t="s">
        <v>28</v>
      </c>
      <c r="G16" s="43" t="s">
        <v>29</v>
      </c>
      <c r="H16" s="43" t="s">
        <v>40</v>
      </c>
      <c r="I16" s="44" t="s">
        <v>31</v>
      </c>
      <c r="J16" s="43"/>
      <c r="K16" s="43"/>
      <c r="L16" s="43"/>
      <c r="M16" s="43" t="s">
        <v>41</v>
      </c>
      <c r="N16" s="45">
        <v>44841.694317013891</v>
      </c>
      <c r="O16" s="44" t="s">
        <v>42</v>
      </c>
      <c r="P16" s="44" t="s">
        <v>43</v>
      </c>
      <c r="Q16" s="46" t="s">
        <v>44</v>
      </c>
    </row>
    <row r="17" spans="3:17">
      <c r="C17" s="42">
        <v>7</v>
      </c>
      <c r="D17" s="43" t="s">
        <v>27</v>
      </c>
      <c r="E17" s="43" t="s">
        <v>16</v>
      </c>
      <c r="F17" s="43" t="s">
        <v>28</v>
      </c>
      <c r="G17" s="43" t="s">
        <v>29</v>
      </c>
      <c r="H17" s="43" t="s">
        <v>45</v>
      </c>
      <c r="I17" s="44" t="s">
        <v>31</v>
      </c>
      <c r="J17" s="43"/>
      <c r="K17" s="43"/>
      <c r="L17" s="43"/>
      <c r="M17" s="43" t="s">
        <v>41</v>
      </c>
      <c r="N17" s="45">
        <v>44845.662641817129</v>
      </c>
      <c r="O17" s="44" t="s">
        <v>42</v>
      </c>
      <c r="P17" s="44" t="s">
        <v>43</v>
      </c>
      <c r="Q17" s="46" t="s">
        <v>44</v>
      </c>
    </row>
    <row r="18" spans="3:17" ht="33">
      <c r="C18" s="42">
        <v>8</v>
      </c>
      <c r="D18" s="43" t="s">
        <v>27</v>
      </c>
      <c r="E18" s="43" t="s">
        <v>16</v>
      </c>
      <c r="F18" s="43" t="s">
        <v>28</v>
      </c>
      <c r="G18" s="43" t="s">
        <v>29</v>
      </c>
      <c r="H18" s="49" t="s">
        <v>46</v>
      </c>
      <c r="I18" s="44" t="s">
        <v>31</v>
      </c>
      <c r="J18" s="43"/>
      <c r="K18" s="43"/>
      <c r="L18" s="43"/>
      <c r="M18" s="43" t="s">
        <v>20</v>
      </c>
      <c r="N18" s="45">
        <v>44848.662412847225</v>
      </c>
      <c r="O18" s="44" t="s">
        <v>21</v>
      </c>
      <c r="P18" s="44" t="s">
        <v>22</v>
      </c>
      <c r="Q18" s="46"/>
    </row>
    <row r="19" spans="3:17">
      <c r="C19" s="42">
        <v>9</v>
      </c>
      <c r="D19" s="43" t="s">
        <v>39</v>
      </c>
      <c r="E19" s="43" t="s">
        <v>16</v>
      </c>
      <c r="F19" s="43" t="s">
        <v>28</v>
      </c>
      <c r="G19" s="43" t="s">
        <v>29</v>
      </c>
      <c r="H19" s="43" t="s">
        <v>47</v>
      </c>
      <c r="I19" s="44" t="s">
        <v>48</v>
      </c>
      <c r="J19" s="43"/>
      <c r="K19" s="43"/>
      <c r="L19" s="43"/>
      <c r="M19" s="43" t="s">
        <v>41</v>
      </c>
      <c r="N19" s="45">
        <v>44848.664164548609</v>
      </c>
      <c r="O19" s="44" t="s">
        <v>42</v>
      </c>
      <c r="P19" s="44" t="s">
        <v>43</v>
      </c>
      <c r="Q19" s="46" t="s">
        <v>49</v>
      </c>
    </row>
    <row r="20" spans="3:17">
      <c r="C20" s="42">
        <v>10</v>
      </c>
      <c r="D20" s="43" t="s">
        <v>39</v>
      </c>
      <c r="E20" s="43" t="s">
        <v>16</v>
      </c>
      <c r="F20" s="43" t="s">
        <v>28</v>
      </c>
      <c r="G20" s="43" t="s">
        <v>29</v>
      </c>
      <c r="H20" s="43" t="s">
        <v>50</v>
      </c>
      <c r="I20" s="44" t="s">
        <v>31</v>
      </c>
      <c r="J20" s="43"/>
      <c r="K20" s="43"/>
      <c r="L20" s="43"/>
      <c r="M20" s="43" t="s">
        <v>20</v>
      </c>
      <c r="N20" s="45">
        <v>44851.473677199072</v>
      </c>
      <c r="O20" s="44" t="s">
        <v>21</v>
      </c>
      <c r="P20" s="44" t="s">
        <v>22</v>
      </c>
      <c r="Q20" s="46"/>
    </row>
    <row r="21" spans="3:17">
      <c r="C21" s="42">
        <v>14</v>
      </c>
      <c r="D21" s="43" t="s">
        <v>19</v>
      </c>
      <c r="E21" s="43" t="s">
        <v>16</v>
      </c>
      <c r="F21" s="43" t="s">
        <v>28</v>
      </c>
      <c r="G21" s="43" t="s">
        <v>29</v>
      </c>
      <c r="H21" s="43" t="s">
        <v>51</v>
      </c>
      <c r="I21" s="44" t="s">
        <v>26</v>
      </c>
      <c r="J21" s="43"/>
      <c r="K21" s="43"/>
      <c r="L21" s="43"/>
      <c r="M21" s="43" t="s">
        <v>20</v>
      </c>
      <c r="N21" s="45">
        <v>44858.57252577546</v>
      </c>
      <c r="O21" s="44" t="s">
        <v>21</v>
      </c>
      <c r="P21" s="44" t="s">
        <v>22</v>
      </c>
      <c r="Q21" s="46" t="s">
        <v>52</v>
      </c>
    </row>
    <row r="22" spans="3:17">
      <c r="C22" s="42">
        <v>15</v>
      </c>
      <c r="D22" s="43" t="s">
        <v>19</v>
      </c>
      <c r="E22" s="43" t="s">
        <v>16</v>
      </c>
      <c r="F22" s="43" t="s">
        <v>28</v>
      </c>
      <c r="G22" s="43" t="s">
        <v>29</v>
      </c>
      <c r="H22" s="43" t="s">
        <v>53</v>
      </c>
      <c r="I22" s="44" t="s">
        <v>26</v>
      </c>
      <c r="J22" s="43"/>
      <c r="K22" s="43"/>
      <c r="L22" s="43"/>
      <c r="M22" s="43" t="s">
        <v>20</v>
      </c>
      <c r="N22" s="45">
        <v>44858.574889849537</v>
      </c>
      <c r="O22" s="44" t="s">
        <v>21</v>
      </c>
      <c r="P22" s="44" t="s">
        <v>22</v>
      </c>
      <c r="Q22" s="46"/>
    </row>
    <row r="23" spans="3:17">
      <c r="C23" s="42">
        <v>17</v>
      </c>
      <c r="D23" s="43" t="s">
        <v>19</v>
      </c>
      <c r="E23" s="43" t="s">
        <v>16</v>
      </c>
      <c r="F23" s="43" t="s">
        <v>28</v>
      </c>
      <c r="G23" s="43" t="s">
        <v>29</v>
      </c>
      <c r="H23" s="43" t="s">
        <v>54</v>
      </c>
      <c r="I23" s="44" t="s">
        <v>26</v>
      </c>
      <c r="J23" s="43"/>
      <c r="K23" s="43"/>
      <c r="L23" s="43"/>
      <c r="M23" s="43" t="s">
        <v>20</v>
      </c>
      <c r="N23" s="45">
        <v>44860.386775312501</v>
      </c>
      <c r="O23" s="44" t="s">
        <v>21</v>
      </c>
      <c r="P23" s="44" t="s">
        <v>22</v>
      </c>
      <c r="Q23" s="46"/>
    </row>
    <row r="24" spans="3:17">
      <c r="C24" s="42">
        <v>18</v>
      </c>
      <c r="D24" s="43" t="s">
        <v>19</v>
      </c>
      <c r="E24" s="43" t="s">
        <v>16</v>
      </c>
      <c r="F24" s="43" t="s">
        <v>28</v>
      </c>
      <c r="G24" s="43" t="s">
        <v>29</v>
      </c>
      <c r="H24" s="43" t="s">
        <v>55</v>
      </c>
      <c r="I24" s="44" t="s">
        <v>26</v>
      </c>
      <c r="J24" s="43"/>
      <c r="K24" s="43"/>
      <c r="L24" s="43"/>
      <c r="M24" s="43" t="s">
        <v>20</v>
      </c>
      <c r="N24" s="45">
        <v>44865.589230902777</v>
      </c>
      <c r="O24" s="44" t="s">
        <v>21</v>
      </c>
      <c r="P24" s="44" t="s">
        <v>22</v>
      </c>
      <c r="Q24" s="46"/>
    </row>
    <row r="25" spans="3:17">
      <c r="C25" s="42">
        <v>19</v>
      </c>
      <c r="D25" s="43" t="s">
        <v>39</v>
      </c>
      <c r="E25" s="43" t="s">
        <v>16</v>
      </c>
      <c r="F25" s="43" t="s">
        <v>28</v>
      </c>
      <c r="G25" s="43" t="s">
        <v>29</v>
      </c>
      <c r="H25" s="43" t="s">
        <v>56</v>
      </c>
      <c r="I25" s="44" t="s">
        <v>31</v>
      </c>
      <c r="J25" s="43"/>
      <c r="K25" s="43"/>
      <c r="L25" s="43"/>
      <c r="M25" s="43" t="s">
        <v>20</v>
      </c>
      <c r="N25" s="45">
        <v>44880.446590821761</v>
      </c>
      <c r="O25" s="44" t="s">
        <v>21</v>
      </c>
      <c r="P25" s="44" t="s">
        <v>22</v>
      </c>
      <c r="Q25" s="46"/>
    </row>
    <row r="26" spans="3:17">
      <c r="C26" s="42">
        <v>20</v>
      </c>
      <c r="D26" s="43" t="s">
        <v>39</v>
      </c>
      <c r="E26" s="43" t="s">
        <v>16</v>
      </c>
      <c r="F26" s="43" t="s">
        <v>28</v>
      </c>
      <c r="G26" s="43" t="s">
        <v>29</v>
      </c>
      <c r="H26" s="43" t="s">
        <v>57</v>
      </c>
      <c r="I26" s="44" t="s">
        <v>31</v>
      </c>
      <c r="J26" s="43"/>
      <c r="K26" s="43"/>
      <c r="L26" s="43"/>
      <c r="M26" s="43" t="s">
        <v>20</v>
      </c>
      <c r="N26" s="45">
        <v>44964.481629895832</v>
      </c>
      <c r="O26" s="44" t="s">
        <v>21</v>
      </c>
      <c r="P26" s="44" t="s">
        <v>22</v>
      </c>
      <c r="Q26" s="46"/>
    </row>
    <row r="27" spans="3:17">
      <c r="C27" s="42">
        <v>21</v>
      </c>
      <c r="D27" s="43" t="s">
        <v>27</v>
      </c>
      <c r="E27" s="43" t="s">
        <v>16</v>
      </c>
      <c r="F27" s="43" t="s">
        <v>28</v>
      </c>
      <c r="G27" s="43" t="s">
        <v>29</v>
      </c>
      <c r="H27" s="43" t="s">
        <v>58</v>
      </c>
      <c r="I27" s="44" t="s">
        <v>31</v>
      </c>
      <c r="J27" s="43"/>
      <c r="K27" s="43"/>
      <c r="L27" s="43"/>
      <c r="M27" s="43" t="s">
        <v>20</v>
      </c>
      <c r="N27" s="45">
        <v>44970.603333252315</v>
      </c>
      <c r="O27" s="44" t="s">
        <v>21</v>
      </c>
      <c r="P27" s="44" t="s">
        <v>22</v>
      </c>
      <c r="Q27" s="46"/>
    </row>
    <row r="28" spans="3:17">
      <c r="C28" s="42"/>
      <c r="D28" s="43"/>
      <c r="E28" s="43"/>
      <c r="F28" s="43"/>
      <c r="G28" s="43"/>
      <c r="H28" s="43"/>
      <c r="I28" s="44"/>
      <c r="J28" s="43"/>
      <c r="K28" s="43"/>
      <c r="L28" s="43"/>
      <c r="M28" s="43"/>
      <c r="N28" s="44"/>
      <c r="O28" s="44"/>
      <c r="P28" s="44"/>
      <c r="Q28" s="46"/>
    </row>
    <row r="29" spans="3:17">
      <c r="C29" s="42"/>
      <c r="D29" s="43"/>
      <c r="E29" s="43"/>
      <c r="F29" s="43"/>
      <c r="G29" s="43"/>
      <c r="H29" s="43"/>
      <c r="I29" s="44"/>
      <c r="J29" s="43"/>
      <c r="K29" s="43"/>
      <c r="L29" s="43"/>
      <c r="M29" s="43"/>
      <c r="N29" s="44"/>
      <c r="O29" s="44"/>
      <c r="P29" s="44"/>
      <c r="Q29" s="46"/>
    </row>
    <row r="30" spans="3:17">
      <c r="C30" s="42"/>
      <c r="D30" s="43"/>
      <c r="E30" s="43"/>
      <c r="F30" s="43"/>
      <c r="G30" s="43"/>
      <c r="H30" s="43"/>
      <c r="I30" s="44"/>
      <c r="J30" s="43"/>
      <c r="K30" s="43"/>
      <c r="L30" s="43"/>
      <c r="M30" s="43"/>
      <c r="N30" s="44"/>
      <c r="O30" s="44"/>
      <c r="P30" s="44"/>
      <c r="Q30" s="46"/>
    </row>
    <row r="31" spans="3:17">
      <c r="C31" s="42"/>
      <c r="D31" s="43"/>
      <c r="E31" s="43"/>
      <c r="F31" s="43"/>
      <c r="G31" s="43"/>
      <c r="H31" s="43"/>
      <c r="I31" s="44"/>
      <c r="J31" s="43"/>
      <c r="K31" s="43"/>
      <c r="L31" s="43"/>
      <c r="M31" s="43"/>
      <c r="N31" s="44"/>
      <c r="O31" s="44"/>
      <c r="P31" s="44"/>
      <c r="Q31" s="46"/>
    </row>
    <row r="32" spans="3:17">
      <c r="C32" s="42"/>
      <c r="D32" s="43"/>
      <c r="E32" s="43"/>
      <c r="F32" s="43"/>
      <c r="G32" s="43"/>
      <c r="H32" s="43"/>
      <c r="I32" s="44"/>
      <c r="J32" s="43"/>
      <c r="K32" s="43"/>
      <c r="L32" s="43"/>
      <c r="M32" s="43"/>
      <c r="N32" s="44"/>
      <c r="O32" s="44"/>
      <c r="P32" s="44"/>
      <c r="Q32" s="46"/>
    </row>
    <row r="33" spans="3:17">
      <c r="C33" s="42"/>
      <c r="D33" s="43"/>
      <c r="E33" s="43"/>
      <c r="F33" s="43"/>
      <c r="G33" s="43"/>
      <c r="H33" s="43"/>
      <c r="I33" s="44"/>
      <c r="J33" s="43"/>
      <c r="K33" s="43"/>
      <c r="L33" s="43"/>
      <c r="M33" s="43"/>
      <c r="N33" s="44"/>
      <c r="O33" s="44"/>
      <c r="P33" s="44"/>
      <c r="Q33" s="46"/>
    </row>
    <row r="34" spans="3:17">
      <c r="C34" s="42"/>
      <c r="D34" s="43"/>
      <c r="E34" s="43"/>
      <c r="F34" s="43"/>
      <c r="G34" s="43"/>
      <c r="H34" s="43"/>
      <c r="I34" s="44"/>
      <c r="J34" s="43"/>
      <c r="K34" s="43"/>
      <c r="L34" s="43"/>
      <c r="M34" s="43"/>
      <c r="N34" s="44"/>
      <c r="O34" s="44"/>
      <c r="P34" s="44"/>
      <c r="Q34" s="46"/>
    </row>
    <row r="35" spans="3:17">
      <c r="C35" s="42"/>
      <c r="D35" s="43"/>
      <c r="E35" s="43"/>
      <c r="F35" s="43"/>
      <c r="G35" s="43"/>
      <c r="H35" s="43"/>
      <c r="I35" s="44"/>
      <c r="J35" s="43"/>
      <c r="K35" s="43"/>
      <c r="L35" s="43"/>
      <c r="M35" s="43"/>
      <c r="N35" s="44"/>
      <c r="O35" s="44"/>
      <c r="P35" s="44"/>
      <c r="Q35" s="46"/>
    </row>
    <row r="36" spans="3:17">
      <c r="C36" s="42"/>
      <c r="D36" s="43"/>
      <c r="E36" s="43"/>
      <c r="F36" s="43"/>
      <c r="G36" s="43"/>
      <c r="H36" s="43"/>
      <c r="I36" s="44"/>
      <c r="J36" s="43"/>
      <c r="K36" s="43"/>
      <c r="L36" s="43"/>
      <c r="M36" s="43"/>
      <c r="N36" s="44"/>
      <c r="O36" s="44"/>
      <c r="P36" s="44"/>
      <c r="Q36" s="46"/>
    </row>
    <row r="37" spans="3:17">
      <c r="C37" s="50"/>
      <c r="D37" s="51"/>
      <c r="E37" s="51"/>
      <c r="F37" s="51"/>
      <c r="G37" s="51"/>
      <c r="H37" s="51"/>
      <c r="I37" s="52"/>
      <c r="J37" s="51"/>
      <c r="K37" s="51"/>
      <c r="L37" s="51"/>
      <c r="M37" s="51"/>
      <c r="N37" s="52"/>
      <c r="O37" s="52"/>
      <c r="P37" s="52"/>
      <c r="Q37" s="53"/>
    </row>
    <row r="38" spans="3:17">
      <c r="C38" s="21"/>
      <c r="D38" s="22"/>
      <c r="E38" s="22"/>
      <c r="F38" s="22"/>
      <c r="G38" s="22"/>
      <c r="H38" s="22"/>
      <c r="I38" s="23"/>
      <c r="J38" s="22"/>
      <c r="K38" s="22"/>
      <c r="L38" s="22"/>
      <c r="M38" s="22"/>
      <c r="N38" s="23"/>
      <c r="O38" s="23"/>
      <c r="P38" s="23"/>
      <c r="Q38" s="24"/>
    </row>
    <row r="39" spans="3:17">
      <c r="C39" s="15"/>
      <c r="D39" s="16"/>
      <c r="E39" s="16"/>
      <c r="F39" s="16"/>
      <c r="G39" s="16"/>
      <c r="H39" s="16"/>
      <c r="I39" s="17"/>
      <c r="J39" s="16"/>
      <c r="K39" s="16"/>
      <c r="L39" s="16"/>
      <c r="M39" s="16"/>
      <c r="N39" s="17"/>
      <c r="O39" s="17"/>
      <c r="P39" s="17"/>
      <c r="Q39" s="18"/>
    </row>
    <row r="40" spans="3:17">
      <c r="C40" s="15"/>
      <c r="D40" s="16"/>
      <c r="E40" s="16"/>
      <c r="F40" s="16"/>
      <c r="G40" s="16"/>
      <c r="H40" s="16"/>
      <c r="I40" s="17"/>
      <c r="J40" s="16"/>
      <c r="K40" s="16"/>
      <c r="L40" s="16"/>
      <c r="M40" s="16"/>
      <c r="N40" s="17"/>
      <c r="O40" s="17"/>
      <c r="P40" s="17"/>
      <c r="Q40" s="18"/>
    </row>
    <row r="41" spans="3:17">
      <c r="C41" s="15"/>
      <c r="D41" s="16"/>
      <c r="E41" s="16"/>
      <c r="F41" s="16"/>
      <c r="G41" s="16"/>
      <c r="H41" s="16"/>
      <c r="I41" s="17"/>
      <c r="J41" s="16"/>
      <c r="K41" s="16"/>
      <c r="L41" s="16"/>
      <c r="M41" s="16"/>
      <c r="N41" s="17"/>
      <c r="O41" s="17"/>
      <c r="P41" s="17"/>
      <c r="Q41" s="18"/>
    </row>
    <row r="42" spans="3:17">
      <c r="C42" s="15"/>
      <c r="D42" s="16"/>
      <c r="E42" s="16"/>
      <c r="F42" s="16"/>
      <c r="G42" s="16"/>
      <c r="H42" s="16"/>
      <c r="I42" s="17"/>
      <c r="J42" s="16"/>
      <c r="K42" s="16"/>
      <c r="L42" s="16"/>
      <c r="M42" s="16"/>
      <c r="N42" s="17"/>
      <c r="O42" s="17"/>
      <c r="P42" s="17"/>
      <c r="Q42" s="18"/>
    </row>
    <row r="43" spans="3:17">
      <c r="C43" s="15"/>
      <c r="D43" s="16"/>
      <c r="E43" s="16"/>
      <c r="F43" s="16"/>
      <c r="G43" s="16"/>
      <c r="H43" s="16"/>
      <c r="I43" s="17"/>
      <c r="J43" s="16"/>
      <c r="K43" s="16"/>
      <c r="L43" s="16"/>
      <c r="M43" s="16"/>
      <c r="N43" s="17"/>
      <c r="O43" s="17"/>
      <c r="P43" s="17"/>
      <c r="Q43" s="18"/>
    </row>
    <row r="44" spans="3:17">
      <c r="C44" s="15"/>
      <c r="D44" s="16"/>
      <c r="E44" s="16"/>
      <c r="F44" s="16"/>
      <c r="G44" s="16"/>
      <c r="H44" s="16"/>
      <c r="I44" s="17"/>
      <c r="J44" s="16"/>
      <c r="K44" s="16"/>
      <c r="L44" s="16"/>
      <c r="M44" s="16"/>
      <c r="N44" s="17"/>
      <c r="O44" s="17"/>
      <c r="P44" s="17"/>
      <c r="Q44" s="18"/>
    </row>
    <row r="45" spans="3:17">
      <c r="C45" s="15"/>
      <c r="D45" s="16"/>
      <c r="E45" s="16"/>
      <c r="F45" s="16"/>
      <c r="G45" s="16"/>
      <c r="H45" s="16"/>
      <c r="I45" s="17"/>
      <c r="J45" s="16"/>
      <c r="K45" s="16"/>
      <c r="L45" s="16"/>
      <c r="M45" s="16"/>
      <c r="N45" s="17"/>
      <c r="O45" s="17"/>
      <c r="P45" s="17"/>
      <c r="Q45" s="18"/>
    </row>
    <row r="46" spans="3:17">
      <c r="C46" s="15"/>
      <c r="D46" s="16"/>
      <c r="E46" s="16"/>
      <c r="F46" s="16"/>
      <c r="G46" s="16"/>
      <c r="H46" s="16"/>
      <c r="I46" s="17"/>
      <c r="J46" s="16"/>
      <c r="K46" s="16"/>
      <c r="L46" s="16"/>
      <c r="M46" s="16"/>
      <c r="N46" s="17"/>
      <c r="O46" s="17"/>
      <c r="P46" s="17"/>
      <c r="Q46" s="18"/>
    </row>
    <row r="47" spans="3:17">
      <c r="C47" s="15"/>
      <c r="D47" s="16"/>
      <c r="E47" s="16"/>
      <c r="F47" s="16"/>
      <c r="G47" s="16"/>
      <c r="H47" s="16"/>
      <c r="I47" s="17"/>
      <c r="J47" s="16"/>
      <c r="K47" s="16"/>
      <c r="L47" s="16"/>
      <c r="M47" s="16"/>
      <c r="N47" s="17"/>
      <c r="O47" s="17"/>
      <c r="P47" s="17"/>
      <c r="Q47" s="18"/>
    </row>
    <row r="48" spans="3:17">
      <c r="C48" s="15"/>
      <c r="D48" s="16"/>
      <c r="E48" s="16"/>
      <c r="F48" s="16"/>
      <c r="G48" s="16"/>
      <c r="H48" s="16"/>
      <c r="I48" s="17"/>
      <c r="J48" s="16"/>
      <c r="K48" s="16"/>
      <c r="L48" s="16"/>
      <c r="M48" s="16"/>
      <c r="N48" s="17"/>
      <c r="O48" s="17"/>
      <c r="P48" s="17"/>
      <c r="Q48" s="18"/>
    </row>
    <row r="49" spans="3:17">
      <c r="C49" s="15"/>
      <c r="D49" s="16"/>
      <c r="E49" s="16"/>
      <c r="F49" s="16"/>
      <c r="G49" s="16"/>
      <c r="H49" s="16"/>
      <c r="I49" s="17"/>
      <c r="J49" s="16"/>
      <c r="K49" s="16"/>
      <c r="L49" s="16"/>
      <c r="M49" s="16"/>
      <c r="N49" s="17"/>
      <c r="O49" s="17"/>
      <c r="P49" s="17"/>
      <c r="Q49" s="18"/>
    </row>
    <row r="50" spans="3:17">
      <c r="C50" s="15"/>
      <c r="D50" s="16"/>
      <c r="E50" s="16"/>
      <c r="F50" s="16"/>
      <c r="G50" s="16"/>
      <c r="H50" s="16"/>
      <c r="I50" s="17"/>
      <c r="J50" s="16"/>
      <c r="K50" s="16"/>
      <c r="L50" s="16"/>
      <c r="M50" s="16"/>
      <c r="N50" s="17"/>
      <c r="O50" s="17"/>
      <c r="P50" s="17"/>
      <c r="Q50" s="18"/>
    </row>
    <row r="51" spans="3:17">
      <c r="C51" s="15"/>
      <c r="D51" s="16"/>
      <c r="E51" s="16"/>
      <c r="F51" s="16"/>
      <c r="G51" s="16"/>
      <c r="H51" s="16"/>
      <c r="I51" s="17"/>
      <c r="J51" s="16"/>
      <c r="K51" s="16"/>
      <c r="L51" s="16"/>
      <c r="M51" s="16"/>
      <c r="N51" s="17"/>
      <c r="O51" s="17"/>
      <c r="P51" s="17"/>
      <c r="Q51" s="18"/>
    </row>
    <row r="52" spans="3:17">
      <c r="C52" s="15"/>
      <c r="D52" s="16"/>
      <c r="E52" s="16"/>
      <c r="F52" s="16"/>
      <c r="G52" s="16"/>
      <c r="H52" s="16"/>
      <c r="I52" s="17"/>
      <c r="J52" s="16"/>
      <c r="K52" s="16"/>
      <c r="L52" s="16"/>
      <c r="M52" s="16"/>
      <c r="N52" s="17"/>
      <c r="O52" s="17"/>
      <c r="P52" s="17"/>
      <c r="Q52" s="18"/>
    </row>
    <row r="53" spans="3:17">
      <c r="C53" s="15"/>
      <c r="D53" s="16"/>
      <c r="E53" s="16"/>
      <c r="F53" s="16"/>
      <c r="G53" s="16"/>
      <c r="H53" s="16"/>
      <c r="I53" s="17"/>
      <c r="J53" s="16"/>
      <c r="K53" s="16"/>
      <c r="L53" s="16"/>
      <c r="M53" s="16"/>
      <c r="N53" s="17"/>
      <c r="O53" s="17"/>
      <c r="P53" s="17"/>
      <c r="Q53" s="18"/>
    </row>
    <row r="54" spans="3:17">
      <c r="C54" s="15"/>
      <c r="D54" s="16"/>
      <c r="E54" s="16"/>
      <c r="F54" s="16"/>
      <c r="G54" s="16"/>
      <c r="H54" s="16"/>
      <c r="I54" s="17"/>
      <c r="J54" s="16"/>
      <c r="K54" s="16"/>
      <c r="L54" s="16"/>
      <c r="M54" s="16"/>
      <c r="N54" s="17"/>
      <c r="O54" s="17"/>
      <c r="P54" s="17"/>
      <c r="Q54" s="18"/>
    </row>
    <row r="55" spans="3:17">
      <c r="C55" s="15"/>
      <c r="D55" s="16"/>
      <c r="E55" s="16"/>
      <c r="F55" s="16"/>
      <c r="G55" s="16"/>
      <c r="H55" s="16"/>
      <c r="I55" s="17"/>
      <c r="J55" s="16"/>
      <c r="K55" s="16"/>
      <c r="L55" s="16"/>
      <c r="M55" s="16"/>
      <c r="N55" s="17"/>
      <c r="O55" s="17"/>
      <c r="P55" s="17"/>
      <c r="Q55" s="18"/>
    </row>
    <row r="56" spans="3:17">
      <c r="C56" s="15"/>
      <c r="D56" s="16"/>
      <c r="E56" s="16"/>
      <c r="F56" s="16"/>
      <c r="G56" s="16"/>
      <c r="H56" s="16"/>
      <c r="I56" s="17"/>
      <c r="J56" s="16"/>
      <c r="K56" s="16"/>
      <c r="L56" s="16"/>
      <c r="M56" s="16"/>
      <c r="N56" s="17"/>
      <c r="O56" s="17"/>
      <c r="P56" s="17"/>
      <c r="Q56" s="18"/>
    </row>
    <row r="57" spans="3:17">
      <c r="C57" s="15"/>
      <c r="D57" s="16"/>
      <c r="E57" s="16"/>
      <c r="F57" s="16"/>
      <c r="G57" s="16"/>
      <c r="H57" s="16"/>
      <c r="I57" s="17"/>
      <c r="J57" s="16"/>
      <c r="K57" s="16"/>
      <c r="L57" s="16"/>
      <c r="M57" s="16"/>
      <c r="N57" s="17"/>
      <c r="O57" s="17"/>
      <c r="P57" s="17"/>
      <c r="Q57" s="18"/>
    </row>
    <row r="58" spans="3:17">
      <c r="C58" s="15"/>
      <c r="D58" s="16"/>
      <c r="E58" s="16"/>
      <c r="F58" s="16"/>
      <c r="G58" s="16"/>
      <c r="H58" s="16"/>
      <c r="I58" s="17"/>
      <c r="J58" s="16"/>
      <c r="K58" s="16"/>
      <c r="L58" s="16"/>
      <c r="M58" s="16"/>
      <c r="N58" s="17"/>
      <c r="O58" s="17"/>
      <c r="P58" s="17"/>
      <c r="Q58" s="18"/>
    </row>
    <row r="59" spans="3:17">
      <c r="C59" s="15"/>
      <c r="D59" s="16"/>
      <c r="E59" s="16"/>
      <c r="F59" s="16"/>
      <c r="G59" s="16"/>
      <c r="H59" s="16"/>
      <c r="I59" s="17"/>
      <c r="J59" s="16"/>
      <c r="K59" s="16"/>
      <c r="L59" s="16"/>
      <c r="M59" s="16"/>
      <c r="N59" s="17"/>
      <c r="O59" s="17"/>
      <c r="P59" s="17"/>
      <c r="Q59" s="18"/>
    </row>
    <row r="60" spans="3:17">
      <c r="C60" s="15"/>
      <c r="D60" s="16"/>
      <c r="E60" s="16"/>
      <c r="F60" s="16"/>
      <c r="G60" s="16"/>
      <c r="H60" s="16"/>
      <c r="I60" s="17"/>
      <c r="J60" s="16"/>
      <c r="K60" s="16"/>
      <c r="L60" s="16"/>
      <c r="M60" s="16"/>
      <c r="N60" s="17"/>
      <c r="O60" s="17"/>
      <c r="P60" s="17"/>
      <c r="Q60" s="18"/>
    </row>
    <row r="61" spans="3:17">
      <c r="C61" s="15"/>
      <c r="D61" s="16"/>
      <c r="E61" s="16"/>
      <c r="F61" s="16"/>
      <c r="G61" s="16"/>
      <c r="H61" s="16"/>
      <c r="I61" s="17"/>
      <c r="J61" s="16"/>
      <c r="K61" s="16"/>
      <c r="L61" s="16"/>
      <c r="M61" s="16"/>
      <c r="N61" s="17"/>
      <c r="O61" s="17"/>
      <c r="P61" s="17"/>
      <c r="Q61" s="18"/>
    </row>
    <row r="62" spans="3:17">
      <c r="C62" s="15"/>
      <c r="D62" s="16"/>
      <c r="E62" s="16"/>
      <c r="F62" s="16"/>
      <c r="G62" s="16"/>
      <c r="H62" s="16"/>
      <c r="I62" s="17"/>
      <c r="J62" s="16"/>
      <c r="K62" s="16"/>
      <c r="L62" s="16"/>
      <c r="M62" s="16"/>
      <c r="N62" s="17"/>
      <c r="O62" s="17"/>
      <c r="P62" s="17"/>
      <c r="Q62" s="18"/>
    </row>
    <row r="63" spans="3:17">
      <c r="C63" s="15"/>
      <c r="D63" s="16"/>
      <c r="E63" s="16"/>
      <c r="F63" s="16"/>
      <c r="G63" s="16"/>
      <c r="H63" s="16"/>
      <c r="I63" s="17"/>
      <c r="J63" s="16"/>
      <c r="K63" s="16"/>
      <c r="L63" s="16"/>
      <c r="M63" s="16"/>
      <c r="N63" s="17"/>
      <c r="O63" s="17"/>
      <c r="P63" s="17"/>
      <c r="Q63" s="18"/>
    </row>
    <row r="64" spans="3:17">
      <c r="C64" s="15"/>
      <c r="D64" s="16"/>
      <c r="E64" s="16"/>
      <c r="F64" s="16"/>
      <c r="G64" s="16"/>
      <c r="H64" s="16"/>
      <c r="I64" s="17"/>
      <c r="J64" s="16"/>
      <c r="K64" s="16"/>
      <c r="L64" s="16"/>
      <c r="M64" s="16"/>
      <c r="N64" s="17"/>
      <c r="O64" s="17"/>
      <c r="P64" s="17"/>
      <c r="Q64" s="18"/>
    </row>
    <row r="65" spans="3:17">
      <c r="C65" s="15"/>
      <c r="D65" s="16"/>
      <c r="E65" s="16"/>
      <c r="F65" s="16"/>
      <c r="G65" s="16"/>
      <c r="H65" s="16"/>
      <c r="I65" s="17"/>
      <c r="J65" s="16"/>
      <c r="K65" s="16"/>
      <c r="L65" s="16"/>
      <c r="M65" s="16"/>
      <c r="N65" s="17"/>
      <c r="O65" s="17"/>
      <c r="P65" s="17"/>
      <c r="Q65" s="18"/>
    </row>
    <row r="66" spans="3:17">
      <c r="C66" s="15"/>
      <c r="D66" s="16"/>
      <c r="E66" s="16"/>
      <c r="F66" s="16"/>
      <c r="G66" s="16"/>
      <c r="H66" s="16"/>
      <c r="I66" s="17"/>
      <c r="J66" s="16"/>
      <c r="K66" s="16"/>
      <c r="L66" s="16"/>
      <c r="M66" s="16"/>
      <c r="N66" s="17"/>
      <c r="O66" s="17"/>
      <c r="P66" s="17"/>
      <c r="Q66" s="18"/>
    </row>
    <row r="67" spans="3:17">
      <c r="C67" s="15"/>
      <c r="D67" s="16"/>
      <c r="E67" s="16"/>
      <c r="F67" s="16"/>
      <c r="G67" s="16"/>
      <c r="H67" s="16"/>
      <c r="I67" s="17"/>
      <c r="J67" s="16"/>
      <c r="K67" s="16"/>
      <c r="L67" s="16"/>
      <c r="M67" s="16"/>
      <c r="N67" s="17"/>
      <c r="O67" s="17"/>
      <c r="P67" s="17"/>
      <c r="Q67" s="18"/>
    </row>
    <row r="68" spans="3:17">
      <c r="C68" s="15"/>
      <c r="D68" s="16"/>
      <c r="E68" s="16"/>
      <c r="F68" s="16"/>
      <c r="G68" s="16"/>
      <c r="H68" s="16"/>
      <c r="I68" s="17"/>
      <c r="J68" s="16"/>
      <c r="K68" s="16"/>
      <c r="L68" s="16"/>
      <c r="M68" s="16"/>
      <c r="N68" s="17"/>
      <c r="O68" s="17"/>
      <c r="P68" s="17"/>
      <c r="Q68" s="18"/>
    </row>
    <row r="69" spans="3:17">
      <c r="C69" s="15"/>
      <c r="D69" s="16"/>
      <c r="E69" s="16"/>
      <c r="F69" s="16"/>
      <c r="G69" s="16"/>
      <c r="H69" s="16"/>
      <c r="I69" s="17"/>
      <c r="J69" s="16"/>
      <c r="K69" s="16"/>
      <c r="L69" s="16"/>
      <c r="M69" s="16"/>
      <c r="N69" s="17"/>
      <c r="O69" s="17"/>
      <c r="P69" s="17"/>
      <c r="Q69" s="18"/>
    </row>
    <row r="70" spans="3:17">
      <c r="C70" s="15"/>
      <c r="D70" s="16"/>
      <c r="E70" s="16"/>
      <c r="F70" s="16"/>
      <c r="G70" s="16"/>
      <c r="H70" s="16"/>
      <c r="I70" s="17"/>
      <c r="J70" s="16"/>
      <c r="K70" s="16"/>
      <c r="L70" s="16"/>
      <c r="M70" s="16"/>
      <c r="N70" s="17"/>
      <c r="O70" s="17"/>
      <c r="P70" s="17"/>
      <c r="Q70" s="18"/>
    </row>
    <row r="71" spans="3:17">
      <c r="C71" s="15"/>
      <c r="D71" s="16"/>
      <c r="E71" s="16"/>
      <c r="F71" s="16"/>
      <c r="G71" s="16"/>
      <c r="H71" s="16"/>
      <c r="I71" s="17"/>
      <c r="J71" s="16"/>
      <c r="K71" s="16"/>
      <c r="L71" s="16"/>
      <c r="M71" s="16"/>
      <c r="N71" s="17"/>
      <c r="O71" s="17"/>
      <c r="P71" s="17"/>
      <c r="Q71" s="18"/>
    </row>
    <row r="72" spans="3:17">
      <c r="C72" s="15"/>
      <c r="D72" s="16"/>
      <c r="E72" s="16"/>
      <c r="F72" s="16"/>
      <c r="G72" s="16"/>
      <c r="H72" s="16"/>
      <c r="I72" s="17"/>
      <c r="J72" s="16"/>
      <c r="K72" s="16"/>
      <c r="L72" s="16"/>
      <c r="M72" s="16"/>
      <c r="N72" s="17"/>
      <c r="O72" s="17"/>
      <c r="P72" s="17"/>
      <c r="Q72" s="18"/>
    </row>
    <row r="73" spans="3:17">
      <c r="C73" s="15"/>
      <c r="D73" s="16"/>
      <c r="E73" s="16"/>
      <c r="F73" s="16"/>
      <c r="G73" s="16"/>
      <c r="H73" s="16"/>
      <c r="I73" s="17"/>
      <c r="J73" s="16"/>
      <c r="K73" s="16"/>
      <c r="L73" s="16"/>
      <c r="M73" s="16"/>
      <c r="N73" s="17"/>
      <c r="O73" s="17"/>
      <c r="P73" s="17"/>
      <c r="Q73" s="18"/>
    </row>
    <row r="74" spans="3:17">
      <c r="C74" s="15"/>
      <c r="D74" s="16"/>
      <c r="E74" s="16"/>
      <c r="F74" s="16"/>
      <c r="G74" s="16"/>
      <c r="H74" s="16"/>
      <c r="I74" s="17"/>
      <c r="J74" s="16"/>
      <c r="K74" s="16"/>
      <c r="L74" s="16"/>
      <c r="M74" s="16"/>
      <c r="N74" s="17"/>
      <c r="O74" s="17"/>
      <c r="P74" s="17"/>
      <c r="Q74" s="18"/>
    </row>
    <row r="75" spans="3:17">
      <c r="C75" s="15"/>
      <c r="D75" s="16"/>
      <c r="E75" s="16"/>
      <c r="F75" s="16"/>
      <c r="G75" s="16"/>
      <c r="H75" s="16"/>
      <c r="I75" s="17"/>
      <c r="J75" s="16"/>
      <c r="K75" s="16"/>
      <c r="L75" s="16"/>
      <c r="M75" s="16"/>
      <c r="N75" s="17"/>
      <c r="O75" s="17"/>
      <c r="P75" s="17"/>
      <c r="Q75" s="18"/>
    </row>
    <row r="76" spans="3:17">
      <c r="C76" s="15"/>
      <c r="D76" s="16"/>
      <c r="E76" s="16"/>
      <c r="F76" s="16"/>
      <c r="G76" s="16"/>
      <c r="H76" s="16"/>
      <c r="I76" s="17"/>
      <c r="J76" s="16"/>
      <c r="K76" s="16"/>
      <c r="L76" s="16"/>
      <c r="M76" s="16"/>
      <c r="N76" s="17"/>
      <c r="O76" s="17"/>
      <c r="P76" s="17"/>
      <c r="Q76" s="18"/>
    </row>
    <row r="77" spans="3:17">
      <c r="C77" s="15"/>
      <c r="D77" s="16"/>
      <c r="E77" s="16"/>
      <c r="F77" s="16"/>
      <c r="G77" s="16"/>
      <c r="H77" s="16"/>
      <c r="I77" s="17"/>
      <c r="J77" s="16"/>
      <c r="K77" s="16"/>
      <c r="L77" s="16"/>
      <c r="M77" s="16"/>
      <c r="N77" s="17"/>
      <c r="O77" s="17"/>
      <c r="P77" s="17"/>
      <c r="Q77" s="18"/>
    </row>
    <row r="78" spans="3:17">
      <c r="C78" s="15"/>
      <c r="D78" s="16"/>
      <c r="E78" s="16"/>
      <c r="F78" s="16"/>
      <c r="G78" s="16"/>
      <c r="H78" s="16"/>
      <c r="I78" s="17"/>
      <c r="J78" s="16"/>
      <c r="K78" s="16"/>
      <c r="L78" s="16"/>
      <c r="M78" s="16"/>
      <c r="N78" s="17"/>
      <c r="O78" s="17"/>
      <c r="P78" s="17"/>
      <c r="Q78" s="18"/>
    </row>
    <row r="79" spans="3:17">
      <c r="C79" s="15"/>
      <c r="D79" s="16"/>
      <c r="E79" s="16"/>
      <c r="F79" s="16"/>
      <c r="G79" s="16"/>
      <c r="H79" s="16"/>
      <c r="I79" s="17"/>
      <c r="J79" s="16"/>
      <c r="K79" s="16"/>
      <c r="L79" s="16"/>
      <c r="M79" s="16"/>
      <c r="N79" s="17"/>
      <c r="O79" s="17"/>
      <c r="P79" s="17"/>
      <c r="Q79" s="18"/>
    </row>
    <row r="80" spans="3:17">
      <c r="C80" s="15"/>
      <c r="D80" s="16"/>
      <c r="E80" s="16"/>
      <c r="F80" s="16"/>
      <c r="G80" s="16"/>
      <c r="H80" s="16"/>
      <c r="I80" s="17"/>
      <c r="J80" s="16"/>
      <c r="K80" s="16"/>
      <c r="L80" s="16"/>
      <c r="M80" s="16"/>
      <c r="N80" s="17"/>
      <c r="O80" s="17"/>
      <c r="P80" s="17"/>
      <c r="Q80" s="18"/>
    </row>
    <row r="81" spans="3:17">
      <c r="C81" s="15"/>
      <c r="D81" s="16"/>
      <c r="E81" s="16"/>
      <c r="F81" s="16"/>
      <c r="G81" s="16"/>
      <c r="H81" s="16"/>
      <c r="I81" s="17"/>
      <c r="J81" s="16"/>
      <c r="K81" s="16"/>
      <c r="L81" s="16"/>
      <c r="M81" s="16"/>
      <c r="N81" s="17"/>
      <c r="O81" s="17"/>
      <c r="P81" s="17"/>
      <c r="Q81" s="18"/>
    </row>
    <row r="82" spans="3:17">
      <c r="C82" s="15"/>
      <c r="D82" s="16"/>
      <c r="E82" s="16"/>
      <c r="F82" s="16"/>
      <c r="G82" s="16"/>
      <c r="H82" s="16"/>
      <c r="I82" s="17"/>
      <c r="J82" s="16"/>
      <c r="K82" s="16"/>
      <c r="L82" s="16"/>
      <c r="M82" s="16"/>
      <c r="N82" s="17"/>
      <c r="O82" s="17"/>
      <c r="P82" s="17"/>
      <c r="Q82" s="18"/>
    </row>
    <row r="83" spans="3:17">
      <c r="C83" s="15"/>
      <c r="D83" s="16"/>
      <c r="E83" s="16"/>
      <c r="F83" s="16"/>
      <c r="G83" s="16"/>
      <c r="H83" s="16"/>
      <c r="I83" s="17"/>
      <c r="J83" s="16"/>
      <c r="K83" s="16"/>
      <c r="L83" s="16"/>
      <c r="M83" s="16"/>
      <c r="N83" s="17"/>
      <c r="O83" s="17"/>
      <c r="P83" s="17"/>
      <c r="Q83" s="18"/>
    </row>
    <row r="84" spans="3:17">
      <c r="C84" s="15"/>
      <c r="D84" s="16"/>
      <c r="E84" s="16"/>
      <c r="F84" s="16"/>
      <c r="G84" s="16"/>
      <c r="H84" s="16"/>
      <c r="I84" s="17"/>
      <c r="J84" s="16"/>
      <c r="K84" s="16"/>
      <c r="L84" s="16"/>
      <c r="M84" s="16"/>
      <c r="N84" s="17"/>
      <c r="O84" s="17"/>
      <c r="P84" s="17"/>
      <c r="Q84" s="18"/>
    </row>
    <row r="85" spans="3:17">
      <c r="C85" s="15"/>
      <c r="D85" s="16"/>
      <c r="E85" s="16"/>
      <c r="F85" s="16"/>
      <c r="G85" s="16"/>
      <c r="H85" s="16"/>
      <c r="I85" s="17"/>
      <c r="J85" s="16"/>
      <c r="K85" s="16"/>
      <c r="L85" s="16"/>
      <c r="M85" s="16"/>
      <c r="N85" s="17"/>
      <c r="O85" s="17"/>
      <c r="P85" s="17"/>
      <c r="Q85" s="18"/>
    </row>
    <row r="86" spans="3:17">
      <c r="C86" s="15"/>
      <c r="D86" s="16"/>
      <c r="E86" s="16"/>
      <c r="F86" s="16"/>
      <c r="G86" s="16"/>
      <c r="H86" s="16"/>
      <c r="I86" s="17"/>
      <c r="J86" s="16"/>
      <c r="K86" s="16"/>
      <c r="L86" s="16"/>
      <c r="M86" s="16"/>
      <c r="N86" s="17"/>
      <c r="O86" s="17"/>
      <c r="P86" s="17"/>
      <c r="Q86" s="18"/>
    </row>
    <row r="87" spans="3:17">
      <c r="C87" s="15"/>
      <c r="D87" s="16"/>
      <c r="E87" s="16"/>
      <c r="F87" s="16"/>
      <c r="G87" s="16"/>
      <c r="H87" s="16"/>
      <c r="I87" s="17"/>
      <c r="J87" s="16"/>
      <c r="K87" s="16"/>
      <c r="L87" s="16"/>
      <c r="M87" s="16"/>
      <c r="N87" s="17"/>
      <c r="O87" s="17"/>
      <c r="P87" s="17"/>
      <c r="Q87" s="18"/>
    </row>
    <row r="88" spans="3:17">
      <c r="C88" s="15"/>
      <c r="D88" s="16"/>
      <c r="E88" s="16"/>
      <c r="F88" s="16"/>
      <c r="G88" s="16"/>
      <c r="H88" s="16"/>
      <c r="I88" s="17"/>
      <c r="J88" s="16"/>
      <c r="K88" s="16"/>
      <c r="L88" s="16"/>
      <c r="M88" s="16"/>
      <c r="N88" s="17"/>
      <c r="O88" s="17"/>
      <c r="P88" s="17"/>
      <c r="Q88" s="18"/>
    </row>
    <row r="89" spans="3:17">
      <c r="C89" s="15"/>
      <c r="D89" s="16"/>
      <c r="E89" s="16"/>
      <c r="F89" s="16"/>
      <c r="G89" s="16"/>
      <c r="H89" s="16"/>
      <c r="I89" s="17"/>
      <c r="J89" s="16"/>
      <c r="K89" s="16"/>
      <c r="L89" s="16"/>
      <c r="M89" s="16"/>
      <c r="N89" s="17"/>
      <c r="O89" s="17"/>
      <c r="P89" s="17"/>
      <c r="Q89" s="18"/>
    </row>
    <row r="90" spans="3:17">
      <c r="C90" s="15"/>
      <c r="D90" s="16"/>
      <c r="E90" s="16"/>
      <c r="F90" s="16"/>
      <c r="G90" s="16"/>
      <c r="H90" s="16"/>
      <c r="I90" s="17"/>
      <c r="J90" s="16"/>
      <c r="K90" s="16"/>
      <c r="L90" s="16"/>
      <c r="M90" s="16"/>
      <c r="N90" s="17"/>
      <c r="O90" s="17"/>
      <c r="P90" s="17"/>
      <c r="Q90" s="18"/>
    </row>
    <row r="91" spans="3:17">
      <c r="C91" s="15"/>
      <c r="D91" s="16"/>
      <c r="E91" s="16"/>
      <c r="F91" s="16"/>
      <c r="G91" s="16"/>
      <c r="H91" s="16"/>
      <c r="I91" s="17"/>
      <c r="J91" s="16"/>
      <c r="K91" s="16"/>
      <c r="L91" s="16"/>
      <c r="M91" s="16"/>
      <c r="N91" s="17"/>
      <c r="O91" s="17"/>
      <c r="P91" s="17"/>
      <c r="Q91" s="18"/>
    </row>
    <row r="92" spans="3:17">
      <c r="C92" s="15"/>
      <c r="D92" s="16"/>
      <c r="E92" s="16"/>
      <c r="F92" s="16"/>
      <c r="G92" s="16"/>
      <c r="H92" s="16"/>
      <c r="I92" s="17"/>
      <c r="J92" s="16"/>
      <c r="K92" s="16"/>
      <c r="L92" s="16"/>
      <c r="M92" s="16"/>
      <c r="N92" s="17"/>
      <c r="O92" s="17"/>
      <c r="P92" s="17"/>
      <c r="Q92" s="18"/>
    </row>
    <row r="93" spans="3:17">
      <c r="C93" s="15"/>
      <c r="D93" s="16"/>
      <c r="E93" s="16"/>
      <c r="F93" s="16"/>
      <c r="G93" s="16"/>
      <c r="H93" s="16"/>
      <c r="I93" s="17"/>
      <c r="J93" s="16"/>
      <c r="K93" s="16"/>
      <c r="L93" s="16"/>
      <c r="M93" s="16"/>
      <c r="N93" s="17"/>
      <c r="O93" s="17"/>
      <c r="P93" s="17"/>
      <c r="Q93" s="18"/>
    </row>
    <row r="94" spans="3:17">
      <c r="C94" s="15"/>
      <c r="D94" s="16"/>
      <c r="E94" s="16"/>
      <c r="F94" s="16"/>
      <c r="G94" s="16"/>
      <c r="H94" s="16"/>
      <c r="I94" s="17"/>
      <c r="J94" s="16"/>
      <c r="K94" s="16"/>
      <c r="L94" s="16"/>
      <c r="M94" s="16"/>
      <c r="N94" s="17"/>
      <c r="O94" s="17"/>
      <c r="P94" s="17"/>
      <c r="Q94" s="18"/>
    </row>
    <row r="95" spans="3:17">
      <c r="C95" s="15"/>
      <c r="D95" s="16"/>
      <c r="E95" s="16"/>
      <c r="F95" s="16"/>
      <c r="G95" s="16"/>
      <c r="H95" s="16"/>
      <c r="I95" s="17"/>
      <c r="J95" s="16"/>
      <c r="K95" s="16"/>
      <c r="L95" s="16"/>
      <c r="M95" s="16"/>
      <c r="N95" s="17"/>
      <c r="O95" s="17"/>
      <c r="P95" s="17"/>
      <c r="Q95" s="18"/>
    </row>
    <row r="96" spans="3:17">
      <c r="C96" s="15"/>
      <c r="D96" s="16"/>
      <c r="E96" s="16"/>
      <c r="F96" s="16"/>
      <c r="G96" s="16"/>
      <c r="H96" s="16"/>
      <c r="I96" s="17"/>
      <c r="J96" s="16"/>
      <c r="K96" s="16"/>
      <c r="L96" s="16"/>
      <c r="M96" s="16"/>
      <c r="N96" s="17"/>
      <c r="O96" s="17"/>
      <c r="P96" s="17"/>
      <c r="Q96" s="18"/>
    </row>
    <row r="97" spans="3:17">
      <c r="C97" s="15"/>
      <c r="D97" s="16"/>
      <c r="E97" s="16"/>
      <c r="F97" s="16"/>
      <c r="G97" s="16"/>
      <c r="H97" s="16"/>
      <c r="I97" s="17"/>
      <c r="J97" s="16"/>
      <c r="K97" s="16"/>
      <c r="L97" s="16"/>
      <c r="M97" s="16"/>
      <c r="N97" s="17"/>
      <c r="O97" s="17"/>
      <c r="P97" s="17"/>
      <c r="Q97" s="18"/>
    </row>
    <row r="98" spans="3:17">
      <c r="C98" s="15"/>
      <c r="D98" s="16"/>
      <c r="E98" s="16"/>
      <c r="F98" s="16"/>
      <c r="G98" s="16"/>
      <c r="H98" s="16"/>
      <c r="I98" s="17"/>
      <c r="J98" s="16"/>
      <c r="K98" s="16"/>
      <c r="L98" s="16"/>
      <c r="M98" s="16"/>
      <c r="N98" s="17"/>
      <c r="O98" s="17"/>
      <c r="P98" s="17"/>
      <c r="Q98" s="18"/>
    </row>
    <row r="99" spans="3:17">
      <c r="C99" s="15"/>
      <c r="D99" s="16"/>
      <c r="E99" s="16"/>
      <c r="F99" s="16"/>
      <c r="G99" s="16"/>
      <c r="H99" s="16"/>
      <c r="I99" s="17"/>
      <c r="J99" s="16"/>
      <c r="K99" s="16"/>
      <c r="L99" s="16"/>
      <c r="M99" s="16"/>
      <c r="N99" s="17"/>
      <c r="O99" s="17"/>
      <c r="P99" s="17"/>
      <c r="Q99" s="18"/>
    </row>
    <row r="100" spans="3:17">
      <c r="C100" s="15"/>
      <c r="D100" s="16"/>
      <c r="E100" s="16"/>
      <c r="F100" s="16"/>
      <c r="G100" s="16"/>
      <c r="H100" s="16"/>
      <c r="I100" s="17"/>
      <c r="J100" s="16"/>
      <c r="K100" s="16"/>
      <c r="L100" s="16"/>
      <c r="M100" s="16"/>
      <c r="N100" s="17"/>
      <c r="O100" s="17"/>
      <c r="P100" s="17"/>
      <c r="Q100" s="18"/>
    </row>
    <row r="101" spans="3:17">
      <c r="C101" s="15"/>
      <c r="D101" s="16"/>
      <c r="E101" s="16"/>
      <c r="F101" s="16"/>
      <c r="G101" s="16"/>
      <c r="H101" s="16"/>
      <c r="I101" s="17"/>
      <c r="J101" s="16"/>
      <c r="K101" s="16"/>
      <c r="L101" s="16"/>
      <c r="M101" s="16"/>
      <c r="N101" s="17"/>
      <c r="O101" s="17"/>
      <c r="P101" s="17"/>
      <c r="Q101" s="18"/>
    </row>
    <row r="102" spans="3:17">
      <c r="C102" s="15"/>
      <c r="D102" s="16"/>
      <c r="E102" s="16"/>
      <c r="F102" s="16"/>
      <c r="G102" s="16"/>
      <c r="H102" s="16"/>
      <c r="I102" s="17"/>
      <c r="J102" s="16"/>
      <c r="K102" s="16"/>
      <c r="L102" s="16"/>
      <c r="M102" s="16"/>
      <c r="N102" s="17"/>
      <c r="O102" s="17"/>
      <c r="P102" s="17"/>
      <c r="Q102" s="18"/>
    </row>
    <row r="103" spans="3:17">
      <c r="C103" s="15"/>
      <c r="D103" s="16"/>
      <c r="E103" s="16"/>
      <c r="F103" s="16"/>
      <c r="G103" s="16"/>
      <c r="H103" s="16"/>
      <c r="I103" s="17"/>
      <c r="J103" s="16"/>
      <c r="K103" s="16"/>
      <c r="L103" s="16"/>
      <c r="M103" s="16"/>
      <c r="N103" s="17"/>
      <c r="O103" s="17"/>
      <c r="P103" s="17"/>
      <c r="Q103" s="18"/>
    </row>
    <row r="104" spans="3:17">
      <c r="C104" s="15"/>
      <c r="D104" s="16"/>
      <c r="E104" s="16"/>
      <c r="F104" s="16"/>
      <c r="G104" s="16"/>
      <c r="H104" s="16"/>
      <c r="I104" s="17"/>
      <c r="J104" s="16"/>
      <c r="K104" s="16"/>
      <c r="L104" s="16"/>
      <c r="M104" s="16"/>
      <c r="N104" s="17"/>
      <c r="O104" s="17"/>
      <c r="P104" s="17"/>
      <c r="Q104" s="18"/>
    </row>
    <row r="105" spans="3:17">
      <c r="C105" s="15"/>
      <c r="D105" s="16"/>
      <c r="E105" s="16"/>
      <c r="F105" s="16"/>
      <c r="G105" s="16"/>
      <c r="H105" s="16"/>
      <c r="I105" s="17"/>
      <c r="J105" s="16"/>
      <c r="K105" s="16"/>
      <c r="L105" s="16"/>
      <c r="M105" s="16"/>
      <c r="N105" s="17"/>
      <c r="O105" s="17"/>
      <c r="P105" s="17"/>
      <c r="Q105" s="18"/>
    </row>
    <row r="106" spans="3:17">
      <c r="C106" s="15"/>
      <c r="D106" s="16"/>
      <c r="E106" s="16"/>
      <c r="F106" s="16"/>
      <c r="G106" s="16"/>
      <c r="H106" s="16"/>
      <c r="I106" s="17"/>
      <c r="J106" s="16"/>
      <c r="K106" s="16"/>
      <c r="L106" s="16"/>
      <c r="M106" s="16"/>
      <c r="N106" s="17"/>
      <c r="O106" s="17"/>
      <c r="P106" s="17"/>
      <c r="Q106" s="18"/>
    </row>
    <row r="107" spans="3:17">
      <c r="C107" s="15"/>
      <c r="D107" s="16"/>
      <c r="E107" s="16"/>
      <c r="F107" s="16"/>
      <c r="G107" s="16"/>
      <c r="H107" s="16"/>
      <c r="I107" s="17"/>
      <c r="J107" s="16"/>
      <c r="K107" s="16"/>
      <c r="L107" s="16"/>
      <c r="M107" s="16"/>
      <c r="N107" s="17"/>
      <c r="O107" s="17"/>
      <c r="P107" s="17"/>
      <c r="Q107" s="18"/>
    </row>
    <row r="108" spans="3:17">
      <c r="C108" s="15"/>
      <c r="D108" s="16"/>
      <c r="E108" s="16"/>
      <c r="F108" s="16"/>
      <c r="G108" s="16"/>
      <c r="H108" s="16"/>
      <c r="I108" s="17"/>
      <c r="J108" s="16"/>
      <c r="K108" s="16"/>
      <c r="L108" s="16"/>
      <c r="M108" s="16"/>
      <c r="N108" s="17"/>
      <c r="O108" s="17"/>
      <c r="P108" s="17"/>
      <c r="Q108" s="18"/>
    </row>
    <row r="109" spans="3:17">
      <c r="C109" s="15"/>
      <c r="D109" s="16"/>
      <c r="E109" s="16"/>
      <c r="F109" s="16"/>
      <c r="G109" s="16"/>
      <c r="H109" s="16"/>
      <c r="I109" s="17"/>
      <c r="J109" s="16"/>
      <c r="K109" s="16"/>
      <c r="L109" s="16"/>
      <c r="M109" s="16"/>
      <c r="N109" s="17"/>
      <c r="O109" s="17"/>
      <c r="P109" s="17"/>
      <c r="Q109" s="18"/>
    </row>
    <row r="110" spans="3:17">
      <c r="C110" s="15"/>
      <c r="D110" s="16"/>
      <c r="E110" s="16"/>
      <c r="F110" s="16"/>
      <c r="G110" s="16"/>
      <c r="H110" s="16"/>
      <c r="I110" s="17"/>
      <c r="J110" s="16"/>
      <c r="K110" s="16"/>
      <c r="L110" s="16"/>
      <c r="M110" s="16"/>
      <c r="N110" s="17"/>
      <c r="O110" s="17"/>
      <c r="P110" s="17"/>
      <c r="Q110" s="18"/>
    </row>
    <row r="111" spans="3:17">
      <c r="C111" s="15"/>
      <c r="D111" s="16"/>
      <c r="E111" s="16"/>
      <c r="F111" s="16"/>
      <c r="G111" s="16"/>
      <c r="H111" s="16"/>
      <c r="I111" s="17"/>
      <c r="J111" s="16"/>
      <c r="K111" s="16"/>
      <c r="L111" s="16"/>
      <c r="M111" s="16"/>
      <c r="N111" s="17"/>
      <c r="O111" s="17"/>
      <c r="P111" s="17"/>
      <c r="Q111" s="18"/>
    </row>
    <row r="112" spans="3:17">
      <c r="C112" s="15"/>
      <c r="D112" s="16"/>
      <c r="E112" s="16"/>
      <c r="F112" s="16"/>
      <c r="G112" s="16"/>
      <c r="H112" s="16"/>
      <c r="I112" s="17"/>
      <c r="J112" s="16"/>
      <c r="K112" s="16"/>
      <c r="L112" s="16"/>
      <c r="M112" s="16"/>
      <c r="N112" s="17"/>
      <c r="O112" s="17"/>
      <c r="P112" s="17"/>
      <c r="Q112" s="18"/>
    </row>
    <row r="113" spans="3:17">
      <c r="C113" s="15"/>
      <c r="D113" s="16"/>
      <c r="E113" s="16"/>
      <c r="F113" s="16"/>
      <c r="G113" s="16"/>
      <c r="H113" s="16"/>
      <c r="I113" s="17"/>
      <c r="J113" s="16"/>
      <c r="K113" s="16"/>
      <c r="L113" s="16"/>
      <c r="M113" s="16"/>
      <c r="N113" s="17"/>
      <c r="O113" s="17"/>
      <c r="P113" s="17"/>
      <c r="Q113" s="18"/>
    </row>
    <row r="114" spans="3:17">
      <c r="C114" s="15"/>
      <c r="D114" s="16"/>
      <c r="E114" s="16"/>
      <c r="F114" s="16"/>
      <c r="G114" s="16"/>
      <c r="H114" s="16"/>
      <c r="I114" s="17"/>
      <c r="J114" s="16"/>
      <c r="K114" s="16"/>
      <c r="L114" s="16"/>
      <c r="M114" s="16"/>
      <c r="N114" s="17"/>
      <c r="O114" s="17"/>
      <c r="P114" s="17"/>
      <c r="Q114" s="18"/>
    </row>
    <row r="115" spans="3:17">
      <c r="C115" s="15"/>
      <c r="D115" s="16"/>
      <c r="E115" s="16"/>
      <c r="F115" s="16"/>
      <c r="G115" s="16"/>
      <c r="H115" s="16"/>
      <c r="I115" s="17"/>
      <c r="J115" s="16"/>
      <c r="K115" s="16"/>
      <c r="L115" s="16"/>
      <c r="M115" s="16"/>
      <c r="N115" s="17"/>
      <c r="O115" s="17"/>
      <c r="P115" s="17"/>
      <c r="Q115" s="18"/>
    </row>
    <row r="116" spans="3:17">
      <c r="C116" s="15"/>
      <c r="D116" s="16"/>
      <c r="E116" s="16"/>
      <c r="F116" s="16"/>
      <c r="G116" s="16"/>
      <c r="H116" s="16"/>
      <c r="I116" s="17"/>
      <c r="J116" s="16"/>
      <c r="K116" s="16"/>
      <c r="L116" s="16"/>
      <c r="M116" s="16"/>
      <c r="N116" s="17"/>
      <c r="O116" s="17"/>
      <c r="P116" s="17"/>
      <c r="Q116" s="18"/>
    </row>
    <row r="117" spans="3:17">
      <c r="C117" s="15"/>
      <c r="D117" s="16"/>
      <c r="E117" s="16"/>
      <c r="F117" s="16"/>
      <c r="G117" s="16"/>
      <c r="H117" s="16"/>
      <c r="I117" s="17"/>
      <c r="J117" s="16"/>
      <c r="K117" s="16"/>
      <c r="L117" s="16"/>
      <c r="M117" s="16"/>
      <c r="N117" s="17"/>
      <c r="O117" s="17"/>
      <c r="P117" s="17"/>
      <c r="Q117" s="18"/>
    </row>
    <row r="118" spans="3:17">
      <c r="C118" s="15"/>
      <c r="D118" s="16"/>
      <c r="E118" s="16"/>
      <c r="F118" s="16"/>
      <c r="G118" s="16"/>
      <c r="H118" s="16"/>
      <c r="I118" s="17"/>
      <c r="J118" s="16"/>
      <c r="K118" s="16"/>
      <c r="L118" s="16"/>
      <c r="M118" s="16"/>
      <c r="N118" s="17"/>
      <c r="O118" s="17"/>
      <c r="P118" s="17"/>
      <c r="Q118" s="18"/>
    </row>
    <row r="119" spans="3:17">
      <c r="C119" s="15"/>
      <c r="D119" s="16"/>
      <c r="E119" s="16"/>
      <c r="F119" s="16"/>
      <c r="G119" s="16"/>
      <c r="H119" s="16"/>
      <c r="I119" s="17"/>
      <c r="J119" s="16"/>
      <c r="K119" s="16"/>
      <c r="L119" s="16"/>
      <c r="M119" s="16"/>
      <c r="N119" s="17"/>
      <c r="O119" s="17"/>
      <c r="P119" s="17"/>
      <c r="Q119" s="18"/>
    </row>
    <row r="120" spans="3:17">
      <c r="C120" s="15"/>
      <c r="D120" s="16"/>
      <c r="E120" s="16"/>
      <c r="F120" s="16"/>
      <c r="G120" s="16"/>
      <c r="H120" s="16"/>
      <c r="I120" s="17"/>
      <c r="J120" s="16"/>
      <c r="K120" s="16"/>
      <c r="L120" s="16"/>
      <c r="M120" s="16"/>
      <c r="N120" s="17"/>
      <c r="O120" s="17"/>
      <c r="P120" s="17"/>
      <c r="Q120" s="18"/>
    </row>
    <row r="121" spans="3:17">
      <c r="C121" s="15"/>
      <c r="D121" s="16"/>
      <c r="E121" s="16"/>
      <c r="F121" s="16"/>
      <c r="G121" s="16"/>
      <c r="H121" s="16"/>
      <c r="I121" s="17"/>
      <c r="J121" s="16"/>
      <c r="K121" s="16"/>
      <c r="L121" s="16"/>
      <c r="M121" s="16"/>
      <c r="N121" s="17"/>
      <c r="O121" s="17"/>
      <c r="P121" s="17"/>
      <c r="Q121" s="18"/>
    </row>
    <row r="122" spans="3:17">
      <c r="C122" s="15"/>
      <c r="D122" s="16"/>
      <c r="E122" s="16"/>
      <c r="F122" s="16"/>
      <c r="G122" s="16"/>
      <c r="H122" s="16"/>
      <c r="I122" s="17"/>
      <c r="J122" s="16"/>
      <c r="K122" s="16"/>
      <c r="L122" s="16"/>
      <c r="M122" s="16"/>
      <c r="N122" s="17"/>
      <c r="O122" s="17"/>
      <c r="P122" s="17"/>
      <c r="Q122" s="18"/>
    </row>
    <row r="123" spans="3:17">
      <c r="C123" s="15"/>
      <c r="D123" s="16"/>
      <c r="E123" s="16"/>
      <c r="F123" s="16"/>
      <c r="G123" s="16"/>
      <c r="H123" s="16"/>
      <c r="I123" s="17"/>
      <c r="J123" s="16"/>
      <c r="K123" s="16"/>
      <c r="L123" s="16"/>
      <c r="M123" s="16"/>
      <c r="N123" s="17"/>
      <c r="O123" s="17"/>
      <c r="P123" s="17"/>
      <c r="Q123" s="18"/>
    </row>
    <row r="124" spans="3:17">
      <c r="C124" s="15"/>
      <c r="D124" s="16"/>
      <c r="E124" s="16"/>
      <c r="F124" s="16"/>
      <c r="G124" s="16"/>
      <c r="H124" s="16"/>
      <c r="I124" s="17"/>
      <c r="J124" s="16"/>
      <c r="K124" s="16"/>
      <c r="L124" s="16"/>
      <c r="M124" s="16"/>
      <c r="N124" s="17"/>
      <c r="O124" s="17"/>
      <c r="P124" s="17"/>
      <c r="Q124" s="18"/>
    </row>
    <row r="125" spans="3:17">
      <c r="C125" s="15"/>
      <c r="D125" s="16"/>
      <c r="E125" s="16"/>
      <c r="F125" s="16"/>
      <c r="G125" s="16"/>
      <c r="H125" s="16"/>
      <c r="I125" s="17"/>
      <c r="J125" s="16"/>
      <c r="K125" s="16"/>
      <c r="L125" s="16"/>
      <c r="M125" s="16"/>
      <c r="N125" s="17"/>
      <c r="O125" s="17"/>
      <c r="P125" s="17"/>
      <c r="Q125" s="18"/>
    </row>
    <row r="126" spans="3:17">
      <c r="C126" s="15"/>
      <c r="D126" s="16"/>
      <c r="E126" s="16"/>
      <c r="F126" s="16"/>
      <c r="G126" s="16"/>
      <c r="H126" s="16"/>
      <c r="I126" s="17"/>
      <c r="J126" s="16"/>
      <c r="K126" s="16"/>
      <c r="L126" s="16"/>
      <c r="M126" s="16"/>
      <c r="N126" s="17"/>
      <c r="O126" s="17"/>
      <c r="P126" s="17"/>
      <c r="Q126" s="18"/>
    </row>
    <row r="127" spans="3:17">
      <c r="C127" s="15"/>
      <c r="D127" s="16"/>
      <c r="E127" s="16"/>
      <c r="F127" s="16"/>
      <c r="G127" s="16"/>
      <c r="H127" s="16"/>
      <c r="I127" s="17"/>
      <c r="J127" s="16"/>
      <c r="K127" s="16"/>
      <c r="L127" s="16"/>
      <c r="M127" s="16"/>
      <c r="N127" s="17"/>
      <c r="O127" s="17"/>
      <c r="P127" s="17"/>
      <c r="Q127" s="18"/>
    </row>
    <row r="128" spans="3:17">
      <c r="C128" s="15"/>
      <c r="D128" s="16"/>
      <c r="E128" s="16"/>
      <c r="F128" s="16"/>
      <c r="G128" s="16"/>
      <c r="H128" s="16"/>
      <c r="I128" s="17"/>
      <c r="J128" s="16"/>
      <c r="K128" s="16"/>
      <c r="L128" s="16"/>
      <c r="M128" s="16"/>
      <c r="N128" s="17"/>
      <c r="O128" s="17"/>
      <c r="P128" s="17"/>
      <c r="Q128" s="18"/>
    </row>
    <row r="129" spans="3:17">
      <c r="C129" s="15"/>
      <c r="D129" s="16"/>
      <c r="E129" s="16"/>
      <c r="F129" s="16"/>
      <c r="G129" s="16"/>
      <c r="H129" s="16"/>
      <c r="I129" s="17"/>
      <c r="J129" s="16"/>
      <c r="K129" s="16"/>
      <c r="L129" s="16"/>
      <c r="M129" s="16"/>
      <c r="N129" s="17"/>
      <c r="O129" s="17"/>
      <c r="P129" s="17"/>
      <c r="Q129" s="18"/>
    </row>
    <row r="130" spans="3:17">
      <c r="C130" s="15"/>
      <c r="D130" s="16"/>
      <c r="E130" s="16"/>
      <c r="F130" s="16"/>
      <c r="G130" s="16"/>
      <c r="H130" s="16"/>
      <c r="I130" s="17"/>
      <c r="J130" s="16"/>
      <c r="K130" s="16"/>
      <c r="L130" s="16"/>
      <c r="M130" s="16"/>
      <c r="N130" s="17"/>
      <c r="O130" s="17"/>
      <c r="P130" s="17"/>
      <c r="Q130" s="18"/>
    </row>
    <row r="131" spans="3:17">
      <c r="C131" s="15"/>
      <c r="D131" s="16"/>
      <c r="E131" s="16"/>
      <c r="F131" s="16"/>
      <c r="G131" s="16"/>
      <c r="H131" s="16"/>
      <c r="I131" s="17"/>
      <c r="J131" s="16"/>
      <c r="K131" s="16"/>
      <c r="L131" s="16"/>
      <c r="M131" s="16"/>
      <c r="N131" s="17"/>
      <c r="O131" s="17"/>
      <c r="P131" s="17"/>
      <c r="Q131" s="18"/>
    </row>
    <row r="132" spans="3:17">
      <c r="C132" s="15"/>
      <c r="D132" s="16"/>
      <c r="E132" s="16"/>
      <c r="F132" s="16"/>
      <c r="G132" s="16"/>
      <c r="H132" s="16"/>
      <c r="I132" s="17"/>
      <c r="J132" s="16"/>
      <c r="K132" s="16"/>
      <c r="L132" s="16"/>
      <c r="M132" s="16"/>
      <c r="N132" s="17"/>
      <c r="O132" s="17"/>
      <c r="P132" s="17"/>
      <c r="Q132" s="18"/>
    </row>
    <row r="133" spans="3:17">
      <c r="C133" s="15"/>
      <c r="D133" s="16"/>
      <c r="E133" s="16"/>
      <c r="F133" s="16"/>
      <c r="G133" s="16"/>
      <c r="H133" s="16"/>
      <c r="I133" s="17"/>
      <c r="J133" s="16"/>
      <c r="K133" s="16"/>
      <c r="L133" s="16"/>
      <c r="M133" s="16"/>
      <c r="N133" s="17"/>
      <c r="O133" s="17"/>
      <c r="P133" s="17"/>
      <c r="Q133" s="18"/>
    </row>
    <row r="134" spans="3:17">
      <c r="C134" s="15"/>
      <c r="D134" s="16"/>
      <c r="E134" s="16"/>
      <c r="F134" s="16"/>
      <c r="G134" s="16"/>
      <c r="H134" s="16"/>
      <c r="I134" s="17"/>
      <c r="J134" s="16"/>
      <c r="K134" s="16"/>
      <c r="L134" s="16"/>
      <c r="M134" s="16"/>
      <c r="N134" s="17"/>
      <c r="O134" s="17"/>
      <c r="P134" s="17"/>
      <c r="Q134" s="18"/>
    </row>
    <row r="135" spans="3:17">
      <c r="C135" s="15"/>
      <c r="D135" s="16"/>
      <c r="E135" s="16"/>
      <c r="F135" s="16"/>
      <c r="G135" s="16"/>
      <c r="H135" s="16"/>
      <c r="I135" s="17"/>
      <c r="J135" s="16"/>
      <c r="K135" s="16"/>
      <c r="L135" s="16"/>
      <c r="M135" s="16"/>
      <c r="N135" s="17"/>
      <c r="O135" s="17"/>
      <c r="P135" s="17"/>
      <c r="Q135" s="18"/>
    </row>
    <row r="136" spans="3:17">
      <c r="C136" s="15"/>
      <c r="D136" s="16"/>
      <c r="E136" s="16"/>
      <c r="F136" s="16"/>
      <c r="G136" s="16"/>
      <c r="H136" s="16"/>
      <c r="I136" s="17"/>
      <c r="J136" s="16"/>
      <c r="K136" s="16"/>
      <c r="L136" s="16"/>
      <c r="M136" s="16"/>
      <c r="N136" s="17"/>
      <c r="O136" s="17"/>
      <c r="P136" s="17"/>
      <c r="Q136" s="18"/>
    </row>
    <row r="137" spans="3:17">
      <c r="C137" s="15"/>
      <c r="D137" s="16"/>
      <c r="E137" s="16"/>
      <c r="F137" s="16"/>
      <c r="G137" s="16"/>
      <c r="H137" s="16"/>
      <c r="I137" s="17"/>
      <c r="J137" s="16"/>
      <c r="K137" s="16"/>
      <c r="L137" s="16"/>
      <c r="M137" s="16"/>
      <c r="N137" s="17"/>
      <c r="O137" s="17"/>
      <c r="P137" s="17"/>
      <c r="Q137" s="18"/>
    </row>
    <row r="138" spans="3:17">
      <c r="C138" s="15"/>
      <c r="D138" s="16"/>
      <c r="E138" s="16"/>
      <c r="F138" s="16"/>
      <c r="G138" s="16"/>
      <c r="H138" s="16"/>
      <c r="I138" s="17"/>
      <c r="J138" s="16"/>
      <c r="K138" s="16"/>
      <c r="L138" s="16"/>
      <c r="M138" s="16"/>
      <c r="N138" s="17"/>
      <c r="O138" s="17"/>
      <c r="P138" s="17"/>
      <c r="Q138" s="18"/>
    </row>
    <row r="139" spans="3:17">
      <c r="C139" s="15"/>
      <c r="D139" s="16"/>
      <c r="E139" s="16"/>
      <c r="F139" s="16"/>
      <c r="G139" s="16"/>
      <c r="H139" s="16"/>
      <c r="I139" s="17"/>
      <c r="J139" s="16"/>
      <c r="K139" s="16"/>
      <c r="L139" s="16"/>
      <c r="M139" s="16"/>
      <c r="N139" s="17"/>
      <c r="O139" s="17"/>
      <c r="P139" s="17"/>
      <c r="Q139" s="18"/>
    </row>
    <row r="140" spans="3:17">
      <c r="C140" s="15"/>
      <c r="D140" s="16"/>
      <c r="E140" s="16"/>
      <c r="F140" s="16"/>
      <c r="G140" s="16"/>
      <c r="H140" s="16"/>
      <c r="I140" s="17"/>
      <c r="J140" s="16"/>
      <c r="K140" s="16"/>
      <c r="L140" s="16"/>
      <c r="M140" s="16"/>
      <c r="N140" s="17"/>
      <c r="O140" s="17"/>
      <c r="P140" s="17"/>
      <c r="Q140" s="18"/>
    </row>
    <row r="141" spans="3:17">
      <c r="C141" s="15"/>
      <c r="D141" s="16"/>
      <c r="E141" s="16"/>
      <c r="F141" s="16"/>
      <c r="G141" s="16"/>
      <c r="H141" s="16"/>
      <c r="I141" s="17"/>
      <c r="J141" s="16"/>
      <c r="K141" s="16"/>
      <c r="L141" s="16"/>
      <c r="M141" s="16"/>
      <c r="N141" s="17"/>
      <c r="O141" s="17"/>
      <c r="P141" s="17"/>
      <c r="Q141" s="18"/>
    </row>
    <row r="142" spans="3:17">
      <c r="C142" s="15"/>
      <c r="D142" s="16"/>
      <c r="E142" s="16"/>
      <c r="F142" s="16"/>
      <c r="G142" s="16"/>
      <c r="H142" s="16"/>
      <c r="I142" s="17"/>
      <c r="J142" s="16"/>
      <c r="K142" s="16"/>
      <c r="L142" s="16"/>
      <c r="M142" s="16"/>
      <c r="N142" s="17"/>
      <c r="O142" s="17"/>
      <c r="P142" s="17"/>
      <c r="Q142" s="18"/>
    </row>
    <row r="143" spans="3:17">
      <c r="C143" s="15"/>
      <c r="D143" s="16"/>
      <c r="E143" s="16"/>
      <c r="F143" s="16"/>
      <c r="G143" s="16"/>
      <c r="H143" s="16"/>
      <c r="I143" s="17"/>
      <c r="J143" s="16"/>
      <c r="K143" s="16"/>
      <c r="L143" s="16"/>
      <c r="M143" s="16"/>
      <c r="N143" s="17"/>
      <c r="O143" s="17"/>
      <c r="P143" s="17"/>
      <c r="Q143" s="18"/>
    </row>
    <row r="144" spans="3:17">
      <c r="C144" s="15"/>
      <c r="D144" s="16"/>
      <c r="E144" s="16"/>
      <c r="F144" s="16"/>
      <c r="G144" s="16"/>
      <c r="H144" s="16"/>
      <c r="I144" s="17"/>
      <c r="J144" s="16"/>
      <c r="K144" s="16"/>
      <c r="L144" s="16"/>
      <c r="M144" s="16"/>
      <c r="N144" s="17"/>
      <c r="O144" s="17"/>
      <c r="P144" s="17"/>
      <c r="Q144" s="18"/>
    </row>
    <row r="145" spans="3:17">
      <c r="C145" s="15"/>
      <c r="D145" s="16"/>
      <c r="E145" s="16"/>
      <c r="F145" s="16"/>
      <c r="G145" s="16"/>
      <c r="H145" s="16"/>
      <c r="I145" s="17"/>
      <c r="J145" s="16"/>
      <c r="K145" s="16"/>
      <c r="L145" s="16"/>
      <c r="M145" s="16"/>
      <c r="N145" s="17"/>
      <c r="O145" s="17"/>
      <c r="P145" s="17"/>
      <c r="Q145" s="18"/>
    </row>
    <row r="146" spans="3:17">
      <c r="C146" s="15"/>
      <c r="D146" s="16"/>
      <c r="E146" s="16"/>
      <c r="F146" s="16"/>
      <c r="G146" s="16"/>
      <c r="H146" s="16"/>
      <c r="I146" s="17"/>
      <c r="J146" s="16"/>
      <c r="K146" s="16"/>
      <c r="L146" s="16"/>
      <c r="M146" s="16"/>
      <c r="N146" s="17"/>
      <c r="O146" s="17"/>
      <c r="P146" s="17"/>
      <c r="Q146" s="18"/>
    </row>
    <row r="147" spans="3:17">
      <c r="C147" s="15"/>
      <c r="D147" s="16"/>
      <c r="E147" s="16"/>
      <c r="F147" s="16"/>
      <c r="G147" s="16"/>
      <c r="H147" s="16"/>
      <c r="I147" s="17"/>
      <c r="J147" s="16"/>
      <c r="K147" s="16"/>
      <c r="L147" s="16"/>
      <c r="M147" s="16"/>
      <c r="N147" s="17"/>
      <c r="O147" s="17"/>
      <c r="P147" s="17"/>
      <c r="Q147" s="18"/>
    </row>
    <row r="148" spans="3:17">
      <c r="C148" s="15"/>
      <c r="D148" s="16"/>
      <c r="E148" s="16"/>
      <c r="F148" s="16"/>
      <c r="G148" s="16"/>
      <c r="H148" s="16"/>
      <c r="I148" s="17"/>
      <c r="J148" s="16"/>
      <c r="K148" s="16"/>
      <c r="L148" s="16"/>
      <c r="M148" s="16"/>
      <c r="N148" s="17"/>
      <c r="O148" s="17"/>
      <c r="P148" s="17"/>
      <c r="Q148" s="18"/>
    </row>
    <row r="149" spans="3:17">
      <c r="C149" s="15"/>
      <c r="D149" s="16"/>
      <c r="E149" s="16"/>
      <c r="F149" s="16"/>
      <c r="G149" s="16"/>
      <c r="H149" s="16"/>
      <c r="I149" s="17"/>
      <c r="J149" s="16"/>
      <c r="K149" s="16"/>
      <c r="L149" s="16"/>
      <c r="M149" s="16"/>
      <c r="N149" s="17"/>
      <c r="O149" s="17"/>
      <c r="P149" s="17"/>
      <c r="Q149" s="18"/>
    </row>
    <row r="150" spans="3:17">
      <c r="C150" s="15"/>
      <c r="D150" s="16"/>
      <c r="E150" s="16"/>
      <c r="F150" s="16"/>
      <c r="G150" s="16"/>
      <c r="H150" s="16"/>
      <c r="I150" s="17"/>
      <c r="J150" s="16"/>
      <c r="K150" s="16"/>
      <c r="L150" s="16"/>
      <c r="M150" s="16"/>
      <c r="N150" s="17"/>
      <c r="O150" s="17"/>
      <c r="P150" s="17"/>
      <c r="Q150" s="18"/>
    </row>
    <row r="151" spans="3:17">
      <c r="C151" s="15"/>
      <c r="D151" s="16"/>
      <c r="E151" s="16"/>
      <c r="F151" s="16"/>
      <c r="G151" s="16"/>
      <c r="H151" s="16"/>
      <c r="I151" s="17"/>
      <c r="J151" s="16"/>
      <c r="K151" s="16"/>
      <c r="L151" s="16"/>
      <c r="M151" s="16"/>
      <c r="N151" s="17"/>
      <c r="O151" s="17"/>
      <c r="P151" s="17"/>
      <c r="Q151" s="18"/>
    </row>
    <row r="152" spans="3:17">
      <c r="C152" s="15"/>
      <c r="D152" s="16"/>
      <c r="E152" s="16"/>
      <c r="F152" s="16"/>
      <c r="G152" s="16"/>
      <c r="H152" s="16"/>
      <c r="I152" s="17"/>
      <c r="J152" s="16"/>
      <c r="K152" s="16"/>
      <c r="L152" s="16"/>
      <c r="M152" s="16"/>
      <c r="N152" s="17"/>
      <c r="O152" s="17"/>
      <c r="P152" s="17"/>
      <c r="Q152" s="18"/>
    </row>
    <row r="153" spans="3:17">
      <c r="C153" s="15"/>
      <c r="D153" s="16"/>
      <c r="E153" s="16"/>
      <c r="F153" s="16"/>
      <c r="G153" s="16"/>
      <c r="H153" s="16"/>
      <c r="I153" s="17"/>
      <c r="J153" s="16"/>
      <c r="K153" s="16"/>
      <c r="L153" s="16"/>
      <c r="M153" s="16"/>
      <c r="N153" s="17"/>
      <c r="O153" s="17"/>
      <c r="P153" s="17"/>
      <c r="Q153" s="18"/>
    </row>
    <row r="154" spans="3:17">
      <c r="C154" s="15"/>
      <c r="D154" s="16"/>
      <c r="E154" s="16"/>
      <c r="F154" s="16"/>
      <c r="G154" s="16"/>
      <c r="H154" s="16"/>
      <c r="I154" s="17"/>
      <c r="J154" s="16"/>
      <c r="K154" s="16"/>
      <c r="L154" s="16"/>
      <c r="M154" s="16"/>
      <c r="N154" s="17"/>
      <c r="O154" s="17"/>
      <c r="P154" s="17"/>
      <c r="Q154" s="18"/>
    </row>
    <row r="155" spans="3:17">
      <c r="C155" s="15"/>
      <c r="D155" s="16"/>
      <c r="E155" s="16"/>
      <c r="F155" s="16"/>
      <c r="G155" s="16"/>
      <c r="H155" s="16"/>
      <c r="I155" s="17"/>
      <c r="J155" s="16"/>
      <c r="K155" s="16"/>
      <c r="L155" s="16"/>
      <c r="M155" s="16"/>
      <c r="N155" s="17"/>
      <c r="O155" s="17"/>
      <c r="P155" s="17"/>
      <c r="Q155" s="18"/>
    </row>
    <row r="156" spans="3:17">
      <c r="C156" s="15"/>
      <c r="D156" s="16"/>
      <c r="E156" s="16"/>
      <c r="F156" s="16"/>
      <c r="G156" s="16"/>
      <c r="H156" s="16"/>
      <c r="I156" s="17"/>
      <c r="J156" s="16"/>
      <c r="K156" s="16"/>
      <c r="L156" s="16"/>
      <c r="M156" s="16"/>
      <c r="N156" s="17"/>
      <c r="O156" s="17"/>
      <c r="P156" s="17"/>
      <c r="Q156" s="18"/>
    </row>
    <row r="157" spans="3:17">
      <c r="C157" s="15"/>
      <c r="D157" s="16"/>
      <c r="E157" s="16"/>
      <c r="F157" s="16"/>
      <c r="G157" s="16"/>
      <c r="H157" s="16"/>
      <c r="I157" s="17"/>
      <c r="J157" s="16"/>
      <c r="K157" s="16"/>
      <c r="L157" s="16"/>
      <c r="M157" s="16"/>
      <c r="N157" s="17"/>
      <c r="O157" s="17"/>
      <c r="P157" s="17"/>
      <c r="Q157" s="18"/>
    </row>
    <row r="158" spans="3:17">
      <c r="C158" s="15"/>
      <c r="D158" s="16"/>
      <c r="E158" s="16"/>
      <c r="F158" s="16"/>
      <c r="G158" s="16"/>
      <c r="H158" s="16"/>
      <c r="I158" s="17"/>
      <c r="J158" s="16"/>
      <c r="K158" s="16"/>
      <c r="L158" s="16"/>
      <c r="M158" s="16"/>
      <c r="N158" s="17"/>
      <c r="O158" s="17"/>
      <c r="P158" s="17"/>
      <c r="Q158" s="18"/>
    </row>
    <row r="159" spans="3:17">
      <c r="C159" s="15"/>
      <c r="D159" s="16"/>
      <c r="E159" s="16"/>
      <c r="F159" s="16"/>
      <c r="G159" s="16"/>
      <c r="H159" s="16"/>
      <c r="I159" s="17"/>
      <c r="J159" s="16"/>
      <c r="K159" s="16"/>
      <c r="L159" s="16"/>
      <c r="M159" s="16"/>
      <c r="N159" s="17"/>
      <c r="O159" s="17"/>
      <c r="P159" s="17"/>
      <c r="Q159" s="18"/>
    </row>
    <row r="160" spans="3:17">
      <c r="C160" s="15"/>
      <c r="D160" s="16"/>
      <c r="E160" s="16"/>
      <c r="F160" s="16"/>
      <c r="G160" s="16"/>
      <c r="H160" s="16"/>
      <c r="I160" s="17"/>
      <c r="J160" s="16"/>
      <c r="K160" s="16"/>
      <c r="L160" s="16"/>
      <c r="M160" s="16"/>
      <c r="N160" s="17"/>
      <c r="O160" s="17"/>
      <c r="P160" s="17"/>
      <c r="Q160" s="18"/>
    </row>
    <row r="161" spans="3:17">
      <c r="C161" s="15"/>
      <c r="D161" s="16"/>
      <c r="E161" s="16"/>
      <c r="F161" s="16"/>
      <c r="G161" s="16"/>
      <c r="H161" s="16"/>
      <c r="I161" s="17"/>
      <c r="J161" s="16"/>
      <c r="K161" s="16"/>
      <c r="L161" s="16"/>
      <c r="M161" s="16"/>
      <c r="N161" s="17"/>
      <c r="O161" s="17"/>
      <c r="P161" s="17"/>
      <c r="Q161" s="18"/>
    </row>
    <row r="162" spans="3:17">
      <c r="C162" s="15"/>
      <c r="D162" s="16"/>
      <c r="E162" s="16"/>
      <c r="F162" s="16"/>
      <c r="G162" s="16"/>
      <c r="H162" s="16"/>
      <c r="I162" s="17"/>
      <c r="J162" s="16"/>
      <c r="K162" s="16"/>
      <c r="L162" s="16"/>
      <c r="M162" s="16"/>
      <c r="N162" s="17"/>
      <c r="O162" s="17"/>
      <c r="P162" s="17"/>
      <c r="Q162" s="18"/>
    </row>
    <row r="163" spans="3:17">
      <c r="C163" s="15"/>
      <c r="D163" s="16"/>
      <c r="E163" s="16"/>
      <c r="F163" s="16"/>
      <c r="G163" s="16"/>
      <c r="H163" s="16"/>
      <c r="I163" s="17"/>
      <c r="J163" s="16"/>
      <c r="K163" s="16"/>
      <c r="L163" s="16"/>
      <c r="M163" s="16"/>
      <c r="N163" s="17"/>
      <c r="O163" s="17"/>
      <c r="P163" s="17"/>
      <c r="Q163" s="18"/>
    </row>
    <row r="164" spans="3:17">
      <c r="C164" s="15"/>
      <c r="D164" s="16"/>
      <c r="E164" s="16"/>
      <c r="F164" s="16"/>
      <c r="G164" s="16"/>
      <c r="H164" s="16"/>
      <c r="I164" s="17"/>
      <c r="J164" s="16"/>
      <c r="K164" s="16"/>
      <c r="L164" s="16"/>
      <c r="M164" s="16"/>
      <c r="N164" s="17"/>
      <c r="O164" s="17"/>
      <c r="P164" s="17"/>
      <c r="Q164" s="18"/>
    </row>
    <row r="165" spans="3:17">
      <c r="C165" s="15"/>
      <c r="D165" s="16"/>
      <c r="E165" s="16"/>
      <c r="F165" s="16"/>
      <c r="G165" s="16"/>
      <c r="H165" s="16"/>
      <c r="I165" s="17"/>
      <c r="J165" s="16"/>
      <c r="K165" s="16"/>
      <c r="L165" s="16"/>
      <c r="M165" s="16"/>
      <c r="N165" s="17"/>
      <c r="O165" s="17"/>
      <c r="P165" s="17"/>
      <c r="Q165" s="18"/>
    </row>
    <row r="166" spans="3:17">
      <c r="C166" s="15"/>
      <c r="D166" s="16"/>
      <c r="E166" s="16"/>
      <c r="F166" s="16"/>
      <c r="G166" s="16"/>
      <c r="H166" s="16"/>
      <c r="I166" s="17"/>
      <c r="J166" s="16"/>
      <c r="K166" s="16"/>
      <c r="L166" s="16"/>
      <c r="M166" s="16"/>
      <c r="N166" s="17"/>
      <c r="O166" s="17"/>
      <c r="P166" s="17"/>
      <c r="Q166" s="18"/>
    </row>
    <row r="167" spans="3:17">
      <c r="C167" s="15"/>
      <c r="D167" s="16"/>
      <c r="E167" s="16"/>
      <c r="F167" s="16"/>
      <c r="G167" s="16"/>
      <c r="H167" s="16"/>
      <c r="I167" s="17"/>
      <c r="J167" s="16"/>
      <c r="K167" s="16"/>
      <c r="L167" s="16"/>
      <c r="M167" s="16"/>
      <c r="N167" s="17"/>
      <c r="O167" s="17"/>
      <c r="P167" s="17"/>
      <c r="Q167" s="18"/>
    </row>
    <row r="168" spans="3:17">
      <c r="C168" s="15"/>
      <c r="D168" s="16"/>
      <c r="E168" s="16"/>
      <c r="F168" s="16"/>
      <c r="G168" s="16"/>
      <c r="H168" s="16"/>
      <c r="I168" s="17"/>
      <c r="J168" s="16"/>
      <c r="K168" s="16"/>
      <c r="L168" s="16"/>
      <c r="M168" s="16"/>
      <c r="N168" s="17"/>
      <c r="O168" s="17"/>
      <c r="P168" s="17"/>
      <c r="Q168" s="18"/>
    </row>
    <row r="169" spans="3:17">
      <c r="C169" s="15"/>
      <c r="D169" s="16"/>
      <c r="E169" s="16"/>
      <c r="F169" s="16"/>
      <c r="G169" s="16"/>
      <c r="H169" s="16"/>
      <c r="I169" s="17"/>
      <c r="J169" s="16"/>
      <c r="K169" s="16"/>
      <c r="L169" s="16"/>
      <c r="M169" s="16"/>
      <c r="N169" s="17"/>
      <c r="O169" s="17"/>
      <c r="P169" s="17"/>
      <c r="Q169" s="18"/>
    </row>
    <row r="170" spans="3:17">
      <c r="C170" s="15"/>
      <c r="D170" s="16"/>
      <c r="E170" s="16"/>
      <c r="F170" s="16"/>
      <c r="G170" s="16"/>
      <c r="H170" s="16"/>
      <c r="I170" s="17"/>
      <c r="J170" s="16"/>
      <c r="K170" s="16"/>
      <c r="L170" s="16"/>
      <c r="M170" s="16"/>
      <c r="N170" s="17"/>
      <c r="O170" s="17"/>
      <c r="P170" s="17"/>
      <c r="Q170" s="18"/>
    </row>
    <row r="171" spans="3:17">
      <c r="C171" s="15"/>
      <c r="D171" s="16"/>
      <c r="E171" s="16"/>
      <c r="F171" s="16"/>
      <c r="G171" s="16"/>
      <c r="H171" s="16"/>
      <c r="I171" s="17"/>
      <c r="J171" s="16"/>
      <c r="K171" s="16"/>
      <c r="L171" s="16"/>
      <c r="M171" s="16"/>
      <c r="N171" s="17"/>
      <c r="O171" s="17"/>
      <c r="P171" s="17"/>
      <c r="Q171" s="18"/>
    </row>
    <row r="172" spans="3:17">
      <c r="C172" s="15"/>
      <c r="D172" s="16"/>
      <c r="E172" s="16"/>
      <c r="F172" s="16"/>
      <c r="G172" s="16"/>
      <c r="H172" s="16"/>
      <c r="I172" s="17"/>
      <c r="J172" s="16"/>
      <c r="K172" s="16"/>
      <c r="L172" s="16"/>
      <c r="M172" s="16"/>
      <c r="N172" s="17"/>
      <c r="O172" s="17"/>
      <c r="P172" s="17"/>
      <c r="Q172" s="18"/>
    </row>
    <row r="173" spans="3:17">
      <c r="C173" s="15"/>
      <c r="D173" s="16"/>
      <c r="E173" s="16"/>
      <c r="F173" s="16"/>
      <c r="G173" s="16"/>
      <c r="H173" s="16"/>
      <c r="I173" s="17"/>
      <c r="J173" s="16"/>
      <c r="K173" s="16"/>
      <c r="L173" s="16"/>
      <c r="M173" s="16"/>
      <c r="N173" s="17"/>
      <c r="O173" s="17"/>
      <c r="P173" s="17"/>
      <c r="Q173" s="18"/>
    </row>
    <row r="174" spans="3:17">
      <c r="C174" s="15"/>
      <c r="D174" s="16"/>
      <c r="E174" s="16"/>
      <c r="F174" s="16"/>
      <c r="G174" s="16"/>
      <c r="H174" s="16"/>
      <c r="I174" s="17"/>
      <c r="J174" s="16"/>
      <c r="K174" s="16"/>
      <c r="L174" s="16"/>
      <c r="M174" s="16"/>
      <c r="N174" s="17"/>
      <c r="O174" s="17"/>
      <c r="P174" s="17"/>
      <c r="Q174" s="18"/>
    </row>
    <row r="175" spans="3:17">
      <c r="C175" s="15"/>
      <c r="D175" s="16"/>
      <c r="E175" s="16"/>
      <c r="F175" s="16"/>
      <c r="G175" s="16"/>
      <c r="H175" s="16"/>
      <c r="I175" s="17"/>
      <c r="J175" s="16"/>
      <c r="K175" s="16"/>
      <c r="L175" s="16"/>
      <c r="M175" s="16"/>
      <c r="N175" s="17"/>
      <c r="O175" s="17"/>
      <c r="P175" s="17"/>
      <c r="Q175" s="18"/>
    </row>
    <row r="176" spans="3:17">
      <c r="C176" s="15"/>
      <c r="D176" s="16"/>
      <c r="E176" s="16"/>
      <c r="F176" s="16"/>
      <c r="G176" s="16"/>
      <c r="H176" s="16"/>
      <c r="I176" s="17"/>
      <c r="J176" s="16"/>
      <c r="K176" s="16"/>
      <c r="L176" s="16"/>
      <c r="M176" s="16"/>
      <c r="N176" s="17"/>
      <c r="O176" s="17"/>
      <c r="P176" s="17"/>
      <c r="Q176" s="18"/>
    </row>
    <row r="177" spans="3:17">
      <c r="C177" s="15"/>
      <c r="D177" s="16"/>
      <c r="E177" s="16"/>
      <c r="F177" s="16"/>
      <c r="G177" s="16"/>
      <c r="H177" s="16"/>
      <c r="I177" s="17"/>
      <c r="J177" s="16"/>
      <c r="K177" s="16"/>
      <c r="L177" s="16"/>
      <c r="M177" s="16"/>
      <c r="N177" s="17"/>
      <c r="O177" s="17"/>
      <c r="P177" s="17"/>
      <c r="Q177" s="18"/>
    </row>
    <row r="178" spans="3:17">
      <c r="C178" s="15"/>
      <c r="D178" s="16"/>
      <c r="E178" s="16"/>
      <c r="F178" s="16"/>
      <c r="G178" s="16"/>
      <c r="H178" s="16"/>
      <c r="I178" s="17"/>
      <c r="J178" s="16"/>
      <c r="K178" s="16"/>
      <c r="L178" s="16"/>
      <c r="M178" s="16"/>
      <c r="N178" s="17"/>
      <c r="O178" s="17"/>
      <c r="P178" s="17"/>
      <c r="Q178" s="18"/>
    </row>
    <row r="179" spans="3:17">
      <c r="C179" s="15"/>
      <c r="D179" s="16"/>
      <c r="E179" s="16"/>
      <c r="F179" s="16"/>
      <c r="G179" s="16"/>
      <c r="H179" s="16"/>
      <c r="I179" s="17"/>
      <c r="J179" s="16"/>
      <c r="K179" s="16"/>
      <c r="L179" s="16"/>
      <c r="M179" s="16"/>
      <c r="N179" s="17"/>
      <c r="O179" s="17"/>
      <c r="P179" s="17"/>
      <c r="Q179" s="18"/>
    </row>
    <row r="180" spans="3:17">
      <c r="C180" s="15"/>
      <c r="D180" s="16"/>
      <c r="E180" s="16"/>
      <c r="F180" s="16"/>
      <c r="G180" s="16"/>
      <c r="H180" s="16"/>
      <c r="I180" s="17"/>
      <c r="J180" s="16"/>
      <c r="K180" s="16"/>
      <c r="L180" s="16"/>
      <c r="M180" s="16"/>
      <c r="N180" s="17"/>
      <c r="O180" s="17"/>
      <c r="P180" s="17"/>
      <c r="Q180" s="18"/>
    </row>
    <row r="181" spans="3:17">
      <c r="C181" s="15"/>
      <c r="D181" s="16"/>
      <c r="E181" s="16"/>
      <c r="F181" s="16"/>
      <c r="G181" s="16"/>
      <c r="H181" s="16"/>
      <c r="I181" s="17"/>
      <c r="J181" s="16"/>
      <c r="K181" s="16"/>
      <c r="L181" s="16"/>
      <c r="M181" s="16"/>
      <c r="N181" s="17"/>
      <c r="O181" s="17"/>
      <c r="P181" s="17"/>
      <c r="Q181" s="18"/>
    </row>
    <row r="182" spans="3:17">
      <c r="C182" s="15"/>
      <c r="D182" s="16"/>
      <c r="E182" s="16"/>
      <c r="F182" s="16"/>
      <c r="G182" s="16"/>
      <c r="H182" s="16"/>
      <c r="I182" s="17"/>
      <c r="J182" s="16"/>
      <c r="K182" s="16"/>
      <c r="L182" s="16"/>
      <c r="M182" s="16"/>
      <c r="N182" s="17"/>
      <c r="O182" s="17"/>
      <c r="P182" s="17"/>
      <c r="Q182" s="18"/>
    </row>
    <row r="183" spans="3:17">
      <c r="C183" s="15"/>
      <c r="D183" s="16"/>
      <c r="E183" s="16"/>
      <c r="F183" s="16"/>
      <c r="G183" s="16"/>
      <c r="H183" s="16"/>
      <c r="I183" s="17"/>
      <c r="J183" s="16"/>
      <c r="K183" s="16"/>
      <c r="L183" s="16"/>
      <c r="M183" s="16"/>
      <c r="N183" s="17"/>
      <c r="O183" s="17"/>
      <c r="P183" s="17"/>
      <c r="Q183" s="18"/>
    </row>
    <row r="184" spans="3:17">
      <c r="C184" s="15"/>
      <c r="D184" s="16"/>
      <c r="E184" s="16"/>
      <c r="F184" s="16"/>
      <c r="G184" s="16"/>
      <c r="H184" s="16"/>
      <c r="I184" s="17"/>
      <c r="J184" s="16"/>
      <c r="K184" s="16"/>
      <c r="L184" s="16"/>
      <c r="M184" s="16"/>
      <c r="N184" s="17"/>
      <c r="O184" s="17"/>
      <c r="P184" s="17"/>
      <c r="Q184" s="18"/>
    </row>
    <row r="185" spans="3:17">
      <c r="C185" s="15"/>
      <c r="D185" s="16"/>
      <c r="E185" s="16"/>
      <c r="F185" s="16"/>
      <c r="G185" s="16"/>
      <c r="H185" s="16"/>
      <c r="I185" s="17"/>
      <c r="J185" s="16"/>
      <c r="K185" s="16"/>
      <c r="L185" s="16"/>
      <c r="M185" s="16"/>
      <c r="N185" s="17"/>
      <c r="O185" s="17"/>
      <c r="P185" s="17"/>
      <c r="Q185" s="18"/>
    </row>
    <row r="186" spans="3:17">
      <c r="C186" s="15"/>
      <c r="D186" s="16"/>
      <c r="E186" s="16"/>
      <c r="F186" s="16"/>
      <c r="G186" s="16"/>
      <c r="H186" s="16"/>
      <c r="I186" s="17"/>
      <c r="J186" s="16"/>
      <c r="K186" s="16"/>
      <c r="L186" s="16"/>
      <c r="M186" s="16"/>
      <c r="N186" s="17"/>
      <c r="O186" s="17"/>
      <c r="P186" s="17"/>
      <c r="Q186" s="18"/>
    </row>
    <row r="187" spans="3:17">
      <c r="C187" s="15"/>
      <c r="D187" s="16"/>
      <c r="E187" s="16"/>
      <c r="F187" s="16"/>
      <c r="G187" s="16"/>
      <c r="H187" s="16"/>
      <c r="I187" s="17"/>
      <c r="J187" s="16"/>
      <c r="K187" s="16"/>
      <c r="L187" s="16"/>
      <c r="M187" s="16"/>
      <c r="N187" s="17"/>
      <c r="O187" s="17"/>
      <c r="P187" s="17"/>
      <c r="Q187" s="18"/>
    </row>
    <row r="188" spans="3:17">
      <c r="C188" s="15"/>
      <c r="D188" s="16"/>
      <c r="E188" s="16"/>
      <c r="F188" s="16"/>
      <c r="G188" s="16"/>
      <c r="H188" s="16"/>
      <c r="I188" s="17"/>
      <c r="J188" s="16"/>
      <c r="K188" s="16"/>
      <c r="L188" s="16"/>
      <c r="M188" s="16"/>
      <c r="N188" s="17"/>
      <c r="O188" s="17"/>
      <c r="P188" s="17"/>
      <c r="Q188" s="18"/>
    </row>
    <row r="189" spans="3:17">
      <c r="C189" s="15"/>
      <c r="D189" s="16"/>
      <c r="E189" s="16"/>
      <c r="F189" s="16"/>
      <c r="G189" s="16"/>
      <c r="H189" s="16"/>
      <c r="I189" s="17"/>
      <c r="J189" s="16"/>
      <c r="K189" s="16"/>
      <c r="L189" s="16"/>
      <c r="M189" s="16"/>
      <c r="N189" s="17"/>
      <c r="O189" s="17"/>
      <c r="P189" s="17"/>
      <c r="Q189" s="18"/>
    </row>
    <row r="190" spans="3:17">
      <c r="C190" s="15"/>
      <c r="D190" s="16"/>
      <c r="E190" s="16"/>
      <c r="F190" s="16"/>
      <c r="G190" s="16"/>
      <c r="H190" s="16"/>
      <c r="I190" s="17"/>
      <c r="J190" s="16"/>
      <c r="K190" s="16"/>
      <c r="L190" s="16"/>
      <c r="M190" s="16"/>
      <c r="N190" s="17"/>
      <c r="O190" s="17"/>
      <c r="P190" s="17"/>
      <c r="Q190" s="18"/>
    </row>
    <row r="191" spans="3:17">
      <c r="C191" s="15"/>
      <c r="D191" s="16"/>
      <c r="E191" s="16"/>
      <c r="F191" s="16"/>
      <c r="G191" s="16"/>
      <c r="H191" s="16"/>
      <c r="I191" s="17"/>
      <c r="J191" s="16"/>
      <c r="K191" s="16"/>
      <c r="L191" s="16"/>
      <c r="M191" s="16"/>
      <c r="N191" s="17"/>
      <c r="O191" s="17"/>
      <c r="P191" s="17"/>
      <c r="Q191" s="18"/>
    </row>
    <row r="192" spans="3:17">
      <c r="C192" s="15"/>
      <c r="D192" s="16"/>
      <c r="E192" s="16"/>
      <c r="F192" s="16"/>
      <c r="G192" s="16"/>
      <c r="H192" s="16"/>
      <c r="I192" s="17"/>
      <c r="J192" s="16"/>
      <c r="K192" s="16"/>
      <c r="L192" s="16"/>
      <c r="M192" s="16"/>
      <c r="N192" s="17"/>
      <c r="O192" s="17"/>
      <c r="P192" s="17"/>
      <c r="Q192" s="18"/>
    </row>
    <row r="193" spans="3:17">
      <c r="C193" s="15"/>
      <c r="D193" s="16"/>
      <c r="E193" s="16"/>
      <c r="F193" s="16"/>
      <c r="G193" s="16"/>
      <c r="H193" s="16"/>
      <c r="I193" s="17"/>
      <c r="J193" s="16"/>
      <c r="K193" s="16"/>
      <c r="L193" s="16"/>
      <c r="M193" s="16"/>
      <c r="N193" s="17"/>
      <c r="O193" s="17"/>
      <c r="P193" s="17"/>
      <c r="Q193" s="18"/>
    </row>
    <row r="194" spans="3:17">
      <c r="C194" s="15"/>
      <c r="D194" s="16"/>
      <c r="E194" s="16"/>
      <c r="F194" s="16"/>
      <c r="G194" s="16"/>
      <c r="H194" s="16"/>
      <c r="I194" s="17"/>
      <c r="J194" s="16"/>
      <c r="K194" s="16"/>
      <c r="L194" s="16"/>
      <c r="M194" s="16"/>
      <c r="N194" s="17"/>
      <c r="O194" s="17"/>
      <c r="P194" s="17"/>
      <c r="Q194" s="18"/>
    </row>
    <row r="195" spans="3:17">
      <c r="C195" s="15"/>
      <c r="D195" s="16"/>
      <c r="E195" s="16"/>
      <c r="F195" s="16"/>
      <c r="G195" s="16"/>
      <c r="H195" s="16"/>
      <c r="I195" s="17"/>
      <c r="J195" s="16"/>
      <c r="K195" s="16"/>
      <c r="L195" s="16"/>
      <c r="M195" s="16"/>
      <c r="N195" s="17"/>
      <c r="O195" s="17"/>
      <c r="P195" s="17"/>
      <c r="Q195" s="18"/>
    </row>
    <row r="196" spans="3:17">
      <c r="C196" s="15"/>
      <c r="D196" s="16"/>
      <c r="E196" s="16"/>
      <c r="F196" s="16"/>
      <c r="G196" s="16"/>
      <c r="H196" s="16"/>
      <c r="I196" s="17"/>
      <c r="J196" s="16"/>
      <c r="K196" s="16"/>
      <c r="L196" s="16"/>
      <c r="M196" s="16"/>
      <c r="N196" s="17"/>
      <c r="O196" s="17"/>
      <c r="P196" s="17"/>
      <c r="Q196" s="18"/>
    </row>
    <row r="197" spans="3:17">
      <c r="C197" s="15"/>
      <c r="D197" s="16"/>
      <c r="E197" s="16"/>
      <c r="F197" s="16"/>
      <c r="G197" s="16"/>
      <c r="H197" s="16"/>
      <c r="I197" s="17"/>
      <c r="J197" s="16"/>
      <c r="K197" s="16"/>
      <c r="L197" s="16"/>
      <c r="M197" s="16"/>
      <c r="N197" s="17"/>
      <c r="O197" s="17"/>
      <c r="P197" s="17"/>
      <c r="Q197" s="18"/>
    </row>
    <row r="198" spans="3:17">
      <c r="C198" s="15"/>
      <c r="D198" s="16"/>
      <c r="E198" s="16"/>
      <c r="F198" s="16"/>
      <c r="G198" s="16"/>
      <c r="H198" s="16"/>
      <c r="I198" s="17"/>
      <c r="J198" s="16"/>
      <c r="K198" s="16"/>
      <c r="L198" s="16"/>
      <c r="M198" s="16"/>
      <c r="N198" s="17"/>
      <c r="O198" s="17"/>
      <c r="P198" s="17"/>
      <c r="Q198" s="18"/>
    </row>
    <row r="199" spans="3:17">
      <c r="C199" s="15"/>
      <c r="D199" s="16"/>
      <c r="E199" s="16"/>
      <c r="F199" s="16"/>
      <c r="G199" s="16"/>
      <c r="H199" s="16"/>
      <c r="I199" s="17"/>
      <c r="J199" s="16"/>
      <c r="K199" s="16"/>
      <c r="L199" s="16"/>
      <c r="M199" s="16"/>
      <c r="N199" s="17"/>
      <c r="O199" s="17"/>
      <c r="P199" s="17"/>
      <c r="Q199" s="18"/>
    </row>
    <row r="200" spans="3:17">
      <c r="C200" s="15"/>
      <c r="D200" s="16"/>
      <c r="E200" s="16"/>
      <c r="F200" s="16"/>
      <c r="G200" s="16"/>
      <c r="H200" s="16"/>
      <c r="I200" s="17"/>
      <c r="J200" s="16"/>
      <c r="K200" s="16"/>
      <c r="L200" s="16"/>
      <c r="M200" s="16"/>
      <c r="N200" s="17"/>
      <c r="O200" s="17"/>
      <c r="P200" s="17"/>
      <c r="Q200" s="18"/>
    </row>
    <row r="201" spans="3:17">
      <c r="C201" s="15"/>
      <c r="D201" s="16"/>
      <c r="E201" s="16"/>
      <c r="F201" s="16"/>
      <c r="G201" s="16"/>
      <c r="H201" s="16"/>
      <c r="I201" s="17"/>
      <c r="J201" s="16"/>
      <c r="K201" s="16"/>
      <c r="L201" s="16"/>
      <c r="M201" s="16"/>
      <c r="N201" s="17"/>
      <c r="O201" s="17"/>
      <c r="P201" s="17"/>
      <c r="Q201" s="18"/>
    </row>
    <row r="202" spans="3:17">
      <c r="C202" s="15"/>
      <c r="D202" s="16"/>
      <c r="E202" s="16"/>
      <c r="F202" s="16"/>
      <c r="G202" s="16"/>
      <c r="H202" s="16"/>
      <c r="I202" s="17"/>
      <c r="J202" s="16"/>
      <c r="K202" s="16"/>
      <c r="L202" s="16"/>
      <c r="M202" s="16"/>
      <c r="N202" s="17"/>
      <c r="O202" s="17"/>
      <c r="P202" s="17"/>
      <c r="Q202" s="18"/>
    </row>
    <row r="203" spans="3:17">
      <c r="C203" s="15"/>
      <c r="D203" s="16"/>
      <c r="E203" s="16"/>
      <c r="F203" s="16"/>
      <c r="G203" s="16"/>
      <c r="H203" s="16"/>
      <c r="I203" s="17"/>
      <c r="J203" s="16"/>
      <c r="K203" s="16"/>
      <c r="L203" s="16"/>
      <c r="M203" s="16"/>
      <c r="N203" s="17"/>
      <c r="O203" s="17"/>
      <c r="P203" s="17"/>
      <c r="Q203" s="18"/>
    </row>
    <row r="204" spans="3:17">
      <c r="C204" s="15"/>
      <c r="D204" s="16"/>
      <c r="E204" s="16"/>
      <c r="F204" s="16"/>
      <c r="G204" s="16"/>
      <c r="H204" s="16"/>
      <c r="I204" s="17"/>
      <c r="J204" s="16"/>
      <c r="K204" s="16"/>
      <c r="L204" s="16"/>
      <c r="M204" s="16"/>
      <c r="N204" s="17"/>
      <c r="O204" s="17"/>
      <c r="P204" s="17"/>
      <c r="Q204" s="18"/>
    </row>
    <row r="205" spans="3:17">
      <c r="C205" s="15"/>
      <c r="D205" s="16"/>
      <c r="E205" s="16"/>
      <c r="F205" s="16"/>
      <c r="G205" s="16"/>
      <c r="H205" s="16"/>
      <c r="I205" s="17"/>
      <c r="J205" s="16"/>
      <c r="K205" s="16"/>
      <c r="L205" s="16"/>
      <c r="M205" s="16"/>
      <c r="N205" s="17"/>
      <c r="O205" s="17"/>
      <c r="P205" s="17"/>
      <c r="Q205" s="18"/>
    </row>
    <row r="206" spans="3:17">
      <c r="C206" s="15"/>
      <c r="D206" s="16"/>
      <c r="E206" s="16"/>
      <c r="F206" s="16"/>
      <c r="G206" s="16"/>
      <c r="H206" s="16"/>
      <c r="I206" s="17"/>
      <c r="J206" s="16"/>
      <c r="K206" s="16"/>
      <c r="L206" s="16"/>
      <c r="M206" s="16"/>
      <c r="N206" s="17"/>
      <c r="O206" s="17"/>
      <c r="P206" s="17"/>
      <c r="Q206" s="18"/>
    </row>
    <row r="207" spans="3:17">
      <c r="C207" s="15"/>
      <c r="D207" s="16"/>
      <c r="E207" s="16"/>
      <c r="F207" s="16"/>
      <c r="G207" s="16"/>
      <c r="H207" s="16"/>
      <c r="I207" s="17"/>
      <c r="J207" s="16"/>
      <c r="K207" s="16"/>
      <c r="L207" s="16"/>
      <c r="M207" s="16"/>
      <c r="N207" s="17"/>
      <c r="O207" s="17"/>
      <c r="P207" s="17"/>
      <c r="Q207" s="18"/>
    </row>
    <row r="208" spans="3:17">
      <c r="C208" s="15"/>
      <c r="D208" s="16"/>
      <c r="E208" s="16"/>
      <c r="F208" s="16"/>
      <c r="G208" s="16"/>
      <c r="H208" s="16"/>
      <c r="I208" s="17"/>
      <c r="J208" s="16"/>
      <c r="K208" s="16"/>
      <c r="L208" s="16"/>
      <c r="M208" s="16"/>
      <c r="N208" s="17"/>
      <c r="O208" s="17"/>
      <c r="P208" s="17"/>
      <c r="Q208" s="18"/>
    </row>
    <row r="209" spans="3:17">
      <c r="C209" s="15"/>
      <c r="D209" s="16"/>
      <c r="E209" s="16"/>
      <c r="F209" s="16"/>
      <c r="G209" s="16"/>
      <c r="H209" s="16"/>
      <c r="I209" s="17"/>
      <c r="J209" s="16"/>
      <c r="K209" s="16"/>
      <c r="L209" s="16"/>
      <c r="M209" s="16"/>
      <c r="N209" s="17"/>
      <c r="O209" s="17"/>
      <c r="P209" s="17"/>
      <c r="Q209" s="18"/>
    </row>
    <row r="210" spans="3:17">
      <c r="C210" s="15"/>
      <c r="D210" s="16"/>
      <c r="E210" s="16"/>
      <c r="F210" s="16"/>
      <c r="G210" s="16"/>
      <c r="H210" s="16"/>
      <c r="I210" s="17"/>
      <c r="J210" s="16"/>
      <c r="K210" s="16"/>
      <c r="L210" s="16"/>
      <c r="M210" s="16"/>
      <c r="N210" s="17"/>
      <c r="O210" s="17"/>
      <c r="P210" s="17"/>
      <c r="Q210" s="18"/>
    </row>
    <row r="211" spans="3:17">
      <c r="C211" s="15"/>
      <c r="D211" s="16"/>
      <c r="E211" s="16"/>
      <c r="F211" s="16"/>
      <c r="G211" s="16"/>
      <c r="H211" s="16"/>
      <c r="I211" s="17"/>
      <c r="J211" s="16"/>
      <c r="K211" s="16"/>
      <c r="L211" s="16"/>
      <c r="M211" s="16"/>
      <c r="N211" s="17"/>
      <c r="O211" s="17"/>
      <c r="P211" s="17"/>
      <c r="Q211" s="18"/>
    </row>
    <row r="212" spans="3:17">
      <c r="C212" s="15"/>
      <c r="D212" s="16"/>
      <c r="E212" s="16"/>
      <c r="F212" s="16"/>
      <c r="G212" s="16"/>
      <c r="H212" s="16"/>
      <c r="I212" s="17"/>
      <c r="J212" s="16"/>
      <c r="K212" s="16"/>
      <c r="L212" s="16"/>
      <c r="M212" s="16"/>
      <c r="N212" s="17"/>
      <c r="O212" s="17"/>
      <c r="P212" s="17"/>
      <c r="Q212" s="18"/>
    </row>
    <row r="213" spans="3:17">
      <c r="C213" s="15"/>
      <c r="D213" s="16"/>
      <c r="E213" s="16"/>
      <c r="F213" s="16"/>
      <c r="G213" s="16"/>
      <c r="H213" s="16"/>
      <c r="I213" s="17"/>
      <c r="J213" s="16"/>
      <c r="K213" s="16"/>
      <c r="L213" s="16"/>
      <c r="M213" s="16"/>
      <c r="N213" s="17"/>
      <c r="O213" s="17"/>
      <c r="P213" s="17"/>
      <c r="Q213" s="18"/>
    </row>
    <row r="214" spans="3:17">
      <c r="C214" s="15"/>
      <c r="D214" s="16"/>
      <c r="E214" s="16"/>
      <c r="F214" s="16"/>
      <c r="G214" s="16"/>
      <c r="H214" s="16"/>
      <c r="I214" s="17"/>
      <c r="J214" s="16"/>
      <c r="K214" s="16"/>
      <c r="L214" s="16"/>
      <c r="M214" s="16"/>
      <c r="N214" s="17"/>
      <c r="O214" s="17"/>
      <c r="P214" s="17"/>
      <c r="Q214" s="18"/>
    </row>
    <row r="215" spans="3:17">
      <c r="C215" s="15"/>
      <c r="D215" s="16"/>
      <c r="E215" s="16"/>
      <c r="F215" s="16"/>
      <c r="G215" s="16"/>
      <c r="H215" s="16"/>
      <c r="I215" s="17"/>
      <c r="J215" s="16"/>
      <c r="K215" s="16"/>
      <c r="L215" s="16"/>
      <c r="M215" s="16"/>
      <c r="N215" s="17"/>
      <c r="O215" s="17"/>
      <c r="P215" s="17"/>
      <c r="Q215" s="18"/>
    </row>
    <row r="216" spans="3:17">
      <c r="C216" s="15"/>
      <c r="D216" s="16"/>
      <c r="E216" s="16"/>
      <c r="F216" s="16"/>
      <c r="G216" s="16"/>
      <c r="H216" s="16"/>
      <c r="I216" s="17"/>
      <c r="J216" s="16"/>
      <c r="K216" s="16"/>
      <c r="L216" s="16"/>
      <c r="M216" s="16"/>
      <c r="N216" s="17"/>
      <c r="O216" s="17"/>
      <c r="P216" s="17"/>
      <c r="Q216" s="18"/>
    </row>
    <row r="217" spans="3:17">
      <c r="C217" s="15"/>
      <c r="D217" s="16"/>
      <c r="E217" s="16"/>
      <c r="F217" s="16"/>
      <c r="G217" s="16"/>
      <c r="H217" s="16"/>
      <c r="I217" s="17"/>
      <c r="J217" s="16"/>
      <c r="K217" s="16"/>
      <c r="L217" s="16"/>
      <c r="M217" s="16"/>
      <c r="N217" s="17"/>
      <c r="O217" s="17"/>
      <c r="P217" s="17"/>
      <c r="Q217" s="18"/>
    </row>
    <row r="218" spans="3:17">
      <c r="C218" s="15"/>
      <c r="D218" s="16"/>
      <c r="E218" s="16"/>
      <c r="F218" s="16"/>
      <c r="G218" s="16"/>
      <c r="H218" s="16"/>
      <c r="I218" s="17"/>
      <c r="J218" s="16"/>
      <c r="K218" s="16"/>
      <c r="L218" s="16"/>
      <c r="M218" s="16"/>
      <c r="N218" s="17"/>
      <c r="O218" s="17"/>
      <c r="P218" s="17"/>
      <c r="Q218" s="18"/>
    </row>
    <row r="219" spans="3:17">
      <c r="C219" s="15"/>
      <c r="D219" s="16"/>
      <c r="E219" s="16"/>
      <c r="F219" s="16"/>
      <c r="G219" s="16"/>
      <c r="H219" s="16"/>
      <c r="I219" s="17"/>
      <c r="J219" s="16"/>
      <c r="K219" s="16"/>
      <c r="L219" s="16"/>
      <c r="M219" s="16"/>
      <c r="N219" s="17"/>
      <c r="O219" s="17"/>
      <c r="P219" s="17"/>
      <c r="Q219" s="18"/>
    </row>
    <row r="220" spans="3:17">
      <c r="C220" s="15"/>
      <c r="D220" s="16"/>
      <c r="E220" s="16"/>
      <c r="F220" s="16"/>
      <c r="G220" s="16"/>
      <c r="H220" s="16"/>
      <c r="I220" s="17"/>
      <c r="J220" s="16"/>
      <c r="K220" s="16"/>
      <c r="L220" s="16"/>
      <c r="M220" s="16"/>
      <c r="N220" s="17"/>
      <c r="O220" s="17"/>
      <c r="P220" s="17"/>
      <c r="Q220" s="18"/>
    </row>
    <row r="221" spans="3:17">
      <c r="C221" s="15"/>
      <c r="D221" s="16"/>
      <c r="E221" s="16"/>
      <c r="F221" s="16"/>
      <c r="G221" s="16"/>
      <c r="H221" s="16"/>
      <c r="I221" s="17"/>
      <c r="J221" s="16"/>
      <c r="K221" s="16"/>
      <c r="L221" s="16"/>
      <c r="M221" s="16"/>
      <c r="N221" s="17"/>
      <c r="O221" s="17"/>
      <c r="P221" s="17"/>
      <c r="Q221" s="18"/>
    </row>
    <row r="222" spans="3:17">
      <c r="C222" s="15"/>
      <c r="D222" s="16"/>
      <c r="E222" s="16"/>
      <c r="F222" s="16"/>
      <c r="G222" s="16"/>
      <c r="H222" s="16"/>
      <c r="I222" s="17"/>
      <c r="J222" s="16"/>
      <c r="K222" s="16"/>
      <c r="L222" s="16"/>
      <c r="M222" s="16"/>
      <c r="N222" s="17"/>
      <c r="O222" s="17"/>
      <c r="P222" s="17"/>
      <c r="Q222" s="18"/>
    </row>
    <row r="223" spans="3:17">
      <c r="C223" s="15"/>
      <c r="D223" s="16"/>
      <c r="E223" s="16"/>
      <c r="F223" s="16"/>
      <c r="G223" s="16"/>
      <c r="H223" s="16"/>
      <c r="I223" s="17"/>
      <c r="J223" s="16"/>
      <c r="K223" s="16"/>
      <c r="L223" s="16"/>
      <c r="M223" s="16"/>
      <c r="N223" s="17"/>
      <c r="O223" s="17"/>
      <c r="P223" s="17"/>
      <c r="Q223" s="18"/>
    </row>
    <row r="224" spans="3:17">
      <c r="C224" s="15"/>
      <c r="D224" s="16"/>
      <c r="E224" s="16"/>
      <c r="F224" s="16"/>
      <c r="G224" s="16"/>
      <c r="H224" s="16"/>
      <c r="I224" s="17"/>
      <c r="J224" s="16"/>
      <c r="K224" s="16"/>
      <c r="L224" s="16"/>
      <c r="M224" s="16"/>
      <c r="N224" s="17"/>
      <c r="O224" s="17"/>
      <c r="P224" s="17"/>
      <c r="Q224" s="18"/>
    </row>
    <row r="225" spans="3:17">
      <c r="C225" s="15"/>
      <c r="D225" s="16"/>
      <c r="E225" s="16"/>
      <c r="F225" s="16"/>
      <c r="G225" s="16"/>
      <c r="H225" s="16"/>
      <c r="I225" s="17"/>
      <c r="J225" s="16"/>
      <c r="K225" s="16"/>
      <c r="L225" s="16"/>
      <c r="M225" s="16"/>
      <c r="N225" s="17"/>
      <c r="O225" s="17"/>
      <c r="P225" s="17"/>
      <c r="Q225" s="18"/>
    </row>
    <row r="226" spans="3:17">
      <c r="C226" s="15"/>
      <c r="D226" s="16"/>
      <c r="E226" s="16"/>
      <c r="F226" s="16"/>
      <c r="G226" s="16"/>
      <c r="H226" s="16"/>
      <c r="I226" s="17"/>
      <c r="J226" s="16"/>
      <c r="K226" s="16"/>
      <c r="L226" s="16"/>
      <c r="M226" s="16"/>
      <c r="N226" s="17"/>
      <c r="O226" s="17"/>
      <c r="P226" s="17"/>
      <c r="Q226" s="18"/>
    </row>
    <row r="227" spans="3:17">
      <c r="C227" s="15"/>
      <c r="D227" s="16"/>
      <c r="E227" s="16"/>
      <c r="F227" s="16"/>
      <c r="G227" s="16"/>
      <c r="H227" s="16"/>
      <c r="I227" s="17"/>
      <c r="J227" s="16"/>
      <c r="K227" s="16"/>
      <c r="L227" s="16"/>
      <c r="M227" s="16"/>
      <c r="N227" s="17"/>
      <c r="O227" s="17"/>
      <c r="P227" s="17"/>
      <c r="Q227" s="18"/>
    </row>
    <row r="228" spans="3:17">
      <c r="C228" s="15"/>
      <c r="D228" s="16"/>
      <c r="E228" s="16"/>
      <c r="F228" s="16"/>
      <c r="G228" s="16"/>
      <c r="H228" s="16"/>
      <c r="I228" s="17"/>
      <c r="J228" s="16"/>
      <c r="K228" s="16"/>
      <c r="L228" s="16"/>
      <c r="M228" s="16"/>
      <c r="N228" s="17"/>
      <c r="O228" s="17"/>
      <c r="P228" s="17"/>
      <c r="Q228" s="18"/>
    </row>
    <row r="229" spans="3:17">
      <c r="C229" s="15"/>
      <c r="D229" s="16"/>
      <c r="E229" s="16"/>
      <c r="F229" s="16"/>
      <c r="G229" s="16"/>
      <c r="H229" s="16"/>
      <c r="I229" s="17"/>
      <c r="J229" s="16"/>
      <c r="K229" s="16"/>
      <c r="L229" s="16"/>
      <c r="M229" s="16"/>
      <c r="N229" s="17"/>
      <c r="O229" s="17"/>
      <c r="P229" s="17"/>
      <c r="Q229" s="18"/>
    </row>
    <row r="230" spans="3:17">
      <c r="C230" s="15"/>
      <c r="D230" s="16"/>
      <c r="E230" s="16"/>
      <c r="F230" s="16"/>
      <c r="G230" s="16"/>
      <c r="H230" s="16"/>
      <c r="I230" s="17"/>
      <c r="J230" s="16"/>
      <c r="K230" s="16"/>
      <c r="L230" s="16"/>
      <c r="M230" s="16"/>
      <c r="N230" s="17"/>
      <c r="O230" s="17"/>
      <c r="P230" s="17"/>
      <c r="Q230" s="18"/>
    </row>
    <row r="231" spans="3:17">
      <c r="C231" s="15"/>
      <c r="D231" s="16"/>
      <c r="E231" s="16"/>
      <c r="F231" s="16"/>
      <c r="G231" s="16"/>
      <c r="H231" s="16"/>
      <c r="I231" s="17"/>
      <c r="J231" s="16"/>
      <c r="K231" s="16"/>
      <c r="L231" s="16"/>
      <c r="M231" s="16"/>
      <c r="N231" s="17"/>
      <c r="O231" s="17"/>
      <c r="P231" s="17"/>
      <c r="Q231" s="18"/>
    </row>
    <row r="232" spans="3:17">
      <c r="C232" s="15"/>
      <c r="D232" s="16"/>
      <c r="E232" s="16"/>
      <c r="F232" s="16"/>
      <c r="G232" s="16"/>
      <c r="H232" s="16"/>
      <c r="I232" s="17"/>
      <c r="J232" s="16"/>
      <c r="K232" s="16"/>
      <c r="L232" s="16"/>
      <c r="M232" s="16"/>
      <c r="N232" s="17"/>
      <c r="O232" s="17"/>
      <c r="P232" s="17"/>
      <c r="Q232" s="18"/>
    </row>
    <row r="233" spans="3:17">
      <c r="C233" s="15"/>
      <c r="D233" s="16"/>
      <c r="E233" s="16"/>
      <c r="F233" s="16"/>
      <c r="G233" s="16"/>
      <c r="H233" s="16"/>
      <c r="I233" s="17"/>
      <c r="J233" s="16"/>
      <c r="K233" s="16"/>
      <c r="L233" s="16"/>
      <c r="M233" s="16"/>
      <c r="N233" s="17"/>
      <c r="O233" s="17"/>
      <c r="P233" s="17"/>
      <c r="Q233" s="18"/>
    </row>
    <row r="234" spans="3:17">
      <c r="C234" s="15"/>
      <c r="D234" s="16"/>
      <c r="E234" s="16"/>
      <c r="F234" s="16"/>
      <c r="G234" s="16"/>
      <c r="H234" s="16"/>
      <c r="I234" s="17"/>
      <c r="J234" s="16"/>
      <c r="K234" s="16"/>
      <c r="L234" s="16"/>
      <c r="M234" s="16"/>
      <c r="N234" s="17"/>
      <c r="O234" s="17"/>
      <c r="P234" s="17"/>
      <c r="Q234" s="18"/>
    </row>
    <row r="235" spans="3:17">
      <c r="C235" s="15"/>
      <c r="D235" s="16"/>
      <c r="E235" s="16"/>
      <c r="F235" s="16"/>
      <c r="G235" s="16"/>
      <c r="H235" s="16"/>
      <c r="I235" s="17"/>
      <c r="J235" s="16"/>
      <c r="K235" s="16"/>
      <c r="L235" s="16"/>
      <c r="M235" s="16"/>
      <c r="N235" s="17"/>
      <c r="O235" s="17"/>
      <c r="P235" s="17"/>
      <c r="Q235" s="18"/>
    </row>
    <row r="236" spans="3:17">
      <c r="C236" s="15"/>
      <c r="D236" s="16"/>
      <c r="E236" s="16"/>
      <c r="F236" s="16"/>
      <c r="G236" s="16"/>
      <c r="H236" s="16"/>
      <c r="I236" s="17"/>
      <c r="J236" s="16"/>
      <c r="K236" s="16"/>
      <c r="L236" s="16"/>
      <c r="M236" s="16"/>
      <c r="N236" s="17"/>
      <c r="O236" s="17"/>
      <c r="P236" s="17"/>
      <c r="Q236" s="18"/>
    </row>
    <row r="237" spans="3:17">
      <c r="C237" s="15"/>
      <c r="D237" s="16"/>
      <c r="E237" s="16"/>
      <c r="F237" s="16"/>
      <c r="G237" s="16"/>
      <c r="H237" s="16"/>
      <c r="I237" s="17"/>
      <c r="J237" s="16"/>
      <c r="K237" s="16"/>
      <c r="L237" s="16"/>
      <c r="M237" s="16"/>
      <c r="N237" s="17"/>
      <c r="O237" s="17"/>
      <c r="P237" s="17"/>
      <c r="Q237" s="18"/>
    </row>
    <row r="238" spans="3:17">
      <c r="C238" s="15"/>
      <c r="D238" s="16"/>
      <c r="E238" s="16"/>
      <c r="F238" s="16"/>
      <c r="G238" s="16"/>
      <c r="H238" s="16"/>
      <c r="I238" s="17"/>
      <c r="J238" s="16"/>
      <c r="K238" s="16"/>
      <c r="L238" s="16"/>
      <c r="M238" s="16"/>
      <c r="N238" s="17"/>
      <c r="O238" s="17"/>
      <c r="P238" s="17"/>
      <c r="Q238" s="18"/>
    </row>
    <row r="239" spans="3:17">
      <c r="C239" s="15"/>
      <c r="D239" s="16"/>
      <c r="E239" s="16"/>
      <c r="F239" s="16"/>
      <c r="G239" s="16"/>
      <c r="H239" s="16"/>
      <c r="I239" s="17"/>
      <c r="J239" s="16"/>
      <c r="K239" s="16"/>
      <c r="L239" s="16"/>
      <c r="M239" s="16"/>
      <c r="N239" s="17"/>
      <c r="O239" s="17"/>
      <c r="P239" s="17"/>
      <c r="Q239" s="18"/>
    </row>
    <row r="240" spans="3:17">
      <c r="C240" s="15"/>
      <c r="D240" s="16"/>
      <c r="E240" s="16"/>
      <c r="F240" s="16"/>
      <c r="G240" s="16"/>
      <c r="H240" s="16"/>
      <c r="I240" s="17"/>
      <c r="J240" s="16"/>
      <c r="K240" s="16"/>
      <c r="L240" s="16"/>
      <c r="M240" s="16"/>
      <c r="N240" s="17"/>
      <c r="O240" s="17"/>
      <c r="P240" s="17"/>
      <c r="Q240" s="18"/>
    </row>
    <row r="241" spans="3:17">
      <c r="C241" s="15"/>
      <c r="D241" s="16"/>
      <c r="E241" s="16"/>
      <c r="F241" s="16"/>
      <c r="G241" s="16"/>
      <c r="H241" s="16"/>
      <c r="I241" s="17"/>
      <c r="J241" s="16"/>
      <c r="K241" s="16"/>
      <c r="L241" s="16"/>
      <c r="M241" s="16"/>
      <c r="N241" s="17"/>
      <c r="O241" s="17"/>
      <c r="P241" s="17"/>
      <c r="Q241" s="18"/>
    </row>
    <row r="242" spans="3:17">
      <c r="C242" s="15"/>
      <c r="D242" s="16"/>
      <c r="E242" s="16"/>
      <c r="F242" s="16"/>
      <c r="G242" s="16"/>
      <c r="H242" s="16"/>
      <c r="I242" s="17"/>
      <c r="J242" s="16"/>
      <c r="K242" s="16"/>
      <c r="L242" s="16"/>
      <c r="M242" s="16"/>
      <c r="N242" s="17"/>
      <c r="O242" s="17"/>
      <c r="P242" s="17"/>
      <c r="Q242" s="18"/>
    </row>
    <row r="243" spans="3:17">
      <c r="C243" s="15"/>
      <c r="D243" s="16"/>
      <c r="E243" s="16"/>
      <c r="F243" s="16"/>
      <c r="G243" s="16"/>
      <c r="H243" s="16"/>
      <c r="I243" s="17"/>
      <c r="J243" s="16"/>
      <c r="K243" s="16"/>
      <c r="L243" s="16"/>
      <c r="M243" s="16"/>
      <c r="N243" s="17"/>
      <c r="O243" s="17"/>
      <c r="P243" s="17"/>
      <c r="Q243" s="18"/>
    </row>
    <row r="244" spans="3:17">
      <c r="C244" s="15"/>
      <c r="D244" s="16"/>
      <c r="E244" s="16"/>
      <c r="F244" s="16"/>
      <c r="G244" s="16"/>
      <c r="H244" s="16"/>
      <c r="I244" s="17"/>
      <c r="J244" s="16"/>
      <c r="K244" s="16"/>
      <c r="L244" s="16"/>
      <c r="M244" s="16"/>
      <c r="N244" s="17"/>
      <c r="O244" s="17"/>
      <c r="P244" s="17"/>
      <c r="Q244" s="18"/>
    </row>
    <row r="245" spans="3:17">
      <c r="C245" s="15"/>
      <c r="D245" s="16"/>
      <c r="E245" s="16"/>
      <c r="F245" s="16"/>
      <c r="G245" s="16"/>
      <c r="H245" s="16"/>
      <c r="I245" s="17"/>
      <c r="J245" s="16"/>
      <c r="K245" s="16"/>
      <c r="L245" s="16"/>
      <c r="M245" s="16"/>
      <c r="N245" s="17"/>
      <c r="O245" s="17"/>
      <c r="P245" s="17"/>
      <c r="Q245" s="18"/>
    </row>
    <row r="246" spans="3:17">
      <c r="C246" s="15"/>
      <c r="D246" s="16"/>
      <c r="E246" s="16"/>
      <c r="F246" s="16"/>
      <c r="G246" s="16"/>
      <c r="H246" s="16"/>
      <c r="I246" s="17"/>
      <c r="J246" s="16"/>
      <c r="K246" s="16"/>
      <c r="L246" s="16"/>
      <c r="M246" s="16"/>
      <c r="N246" s="17"/>
      <c r="O246" s="17"/>
      <c r="P246" s="17"/>
      <c r="Q246" s="18"/>
    </row>
    <row r="247" spans="3:17">
      <c r="C247" s="15"/>
      <c r="D247" s="16"/>
      <c r="E247" s="16"/>
      <c r="F247" s="16"/>
      <c r="G247" s="16"/>
      <c r="H247" s="16"/>
      <c r="I247" s="17"/>
      <c r="J247" s="16"/>
      <c r="K247" s="16"/>
      <c r="L247" s="16"/>
      <c r="M247" s="16"/>
      <c r="N247" s="17"/>
      <c r="O247" s="17"/>
      <c r="P247" s="17"/>
      <c r="Q247" s="18"/>
    </row>
    <row r="248" spans="3:17">
      <c r="C248" s="15"/>
      <c r="D248" s="16"/>
      <c r="E248" s="16"/>
      <c r="F248" s="16"/>
      <c r="G248" s="16"/>
      <c r="H248" s="16"/>
      <c r="I248" s="17"/>
      <c r="J248" s="16"/>
      <c r="K248" s="16"/>
      <c r="L248" s="16"/>
      <c r="M248" s="16"/>
      <c r="N248" s="17"/>
      <c r="O248" s="17"/>
      <c r="P248" s="17"/>
      <c r="Q248" s="18"/>
    </row>
    <row r="249" spans="3:17">
      <c r="C249" s="15"/>
      <c r="D249" s="16"/>
      <c r="E249" s="16"/>
      <c r="F249" s="16"/>
      <c r="G249" s="16"/>
      <c r="H249" s="16"/>
      <c r="I249" s="17"/>
      <c r="J249" s="16"/>
      <c r="K249" s="16"/>
      <c r="L249" s="16"/>
      <c r="M249" s="16"/>
      <c r="N249" s="17"/>
      <c r="O249" s="17"/>
      <c r="P249" s="17"/>
      <c r="Q249" s="18"/>
    </row>
    <row r="250" spans="3:17">
      <c r="C250" s="15"/>
      <c r="D250" s="16"/>
      <c r="E250" s="16"/>
      <c r="F250" s="16"/>
      <c r="G250" s="16"/>
      <c r="H250" s="16"/>
      <c r="I250" s="17"/>
      <c r="J250" s="16"/>
      <c r="K250" s="16"/>
      <c r="L250" s="16"/>
      <c r="M250" s="16"/>
      <c r="N250" s="17"/>
      <c r="O250" s="17"/>
      <c r="P250" s="17"/>
      <c r="Q250" s="18"/>
    </row>
    <row r="251" spans="3:17">
      <c r="C251" s="15"/>
      <c r="D251" s="16"/>
      <c r="E251" s="16"/>
      <c r="F251" s="16"/>
      <c r="G251" s="16"/>
      <c r="H251" s="16"/>
      <c r="I251" s="17"/>
      <c r="J251" s="16"/>
      <c r="K251" s="16"/>
      <c r="L251" s="16"/>
      <c r="M251" s="16"/>
      <c r="N251" s="17"/>
      <c r="O251" s="17"/>
      <c r="P251" s="17"/>
      <c r="Q251" s="18"/>
    </row>
    <row r="252" spans="3:17">
      <c r="C252" s="15"/>
      <c r="D252" s="16"/>
      <c r="E252" s="16"/>
      <c r="F252" s="16"/>
      <c r="G252" s="16"/>
      <c r="H252" s="16"/>
      <c r="I252" s="17"/>
      <c r="J252" s="16"/>
      <c r="K252" s="16"/>
      <c r="L252" s="16"/>
      <c r="M252" s="16"/>
      <c r="N252" s="17"/>
      <c r="O252" s="17"/>
      <c r="P252" s="17"/>
      <c r="Q252" s="18"/>
    </row>
    <row r="253" spans="3:17">
      <c r="C253" s="15"/>
      <c r="D253" s="16"/>
      <c r="E253" s="16"/>
      <c r="F253" s="16"/>
      <c r="G253" s="16"/>
      <c r="H253" s="16"/>
      <c r="I253" s="17"/>
      <c r="J253" s="16"/>
      <c r="K253" s="16"/>
      <c r="L253" s="16"/>
      <c r="M253" s="16"/>
      <c r="N253" s="17"/>
      <c r="O253" s="17"/>
      <c r="P253" s="17"/>
      <c r="Q253" s="18"/>
    </row>
    <row r="254" spans="3:17">
      <c r="C254" s="15"/>
      <c r="D254" s="16"/>
      <c r="E254" s="16"/>
      <c r="F254" s="16"/>
      <c r="G254" s="16"/>
      <c r="H254" s="16"/>
      <c r="I254" s="17"/>
      <c r="J254" s="16"/>
      <c r="K254" s="16"/>
      <c r="L254" s="16"/>
      <c r="M254" s="16"/>
      <c r="N254" s="17"/>
      <c r="O254" s="17"/>
      <c r="P254" s="17"/>
      <c r="Q254" s="18"/>
    </row>
    <row r="255" spans="3:17">
      <c r="C255" s="15"/>
      <c r="D255" s="16"/>
      <c r="E255" s="16"/>
      <c r="F255" s="16"/>
      <c r="G255" s="16"/>
      <c r="H255" s="16"/>
      <c r="I255" s="17"/>
      <c r="J255" s="16"/>
      <c r="K255" s="16"/>
      <c r="L255" s="16"/>
      <c r="M255" s="16"/>
      <c r="N255" s="17"/>
      <c r="O255" s="17"/>
      <c r="P255" s="17"/>
      <c r="Q255" s="18"/>
    </row>
    <row r="256" spans="3:17">
      <c r="C256" s="15"/>
      <c r="D256" s="16"/>
      <c r="E256" s="16"/>
      <c r="F256" s="16"/>
      <c r="G256" s="16"/>
      <c r="H256" s="16"/>
      <c r="I256" s="17"/>
      <c r="J256" s="16"/>
      <c r="K256" s="16"/>
      <c r="L256" s="16"/>
      <c r="M256" s="16"/>
      <c r="N256" s="17"/>
      <c r="O256" s="17"/>
      <c r="P256" s="17"/>
      <c r="Q256" s="18"/>
    </row>
    <row r="257" spans="3:17">
      <c r="C257" s="15"/>
      <c r="D257" s="16"/>
      <c r="E257" s="16"/>
      <c r="F257" s="16"/>
      <c r="G257" s="16"/>
      <c r="H257" s="16"/>
      <c r="I257" s="17"/>
      <c r="J257" s="16"/>
      <c r="K257" s="16"/>
      <c r="L257" s="16"/>
      <c r="M257" s="16"/>
      <c r="N257" s="17"/>
      <c r="O257" s="17"/>
      <c r="P257" s="17"/>
      <c r="Q257" s="18"/>
    </row>
    <row r="258" spans="3:17">
      <c r="C258" s="15"/>
      <c r="D258" s="16"/>
      <c r="E258" s="16"/>
      <c r="F258" s="16"/>
      <c r="G258" s="16"/>
      <c r="H258" s="16"/>
      <c r="I258" s="17"/>
      <c r="J258" s="16"/>
      <c r="K258" s="16"/>
      <c r="L258" s="16"/>
      <c r="M258" s="16"/>
      <c r="N258" s="17"/>
      <c r="O258" s="17"/>
      <c r="P258" s="17"/>
      <c r="Q258" s="18"/>
    </row>
    <row r="259" spans="3:17">
      <c r="C259" s="15"/>
      <c r="D259" s="16"/>
      <c r="E259" s="16"/>
      <c r="F259" s="16"/>
      <c r="G259" s="16"/>
      <c r="H259" s="16"/>
      <c r="I259" s="17"/>
      <c r="J259" s="16"/>
      <c r="K259" s="16"/>
      <c r="L259" s="16"/>
      <c r="M259" s="16"/>
      <c r="N259" s="17"/>
      <c r="O259" s="17"/>
      <c r="P259" s="17"/>
      <c r="Q259" s="18"/>
    </row>
    <row r="260" spans="3:17">
      <c r="C260" s="15"/>
      <c r="D260" s="16"/>
      <c r="E260" s="16"/>
      <c r="F260" s="16"/>
      <c r="G260" s="16"/>
      <c r="H260" s="16"/>
      <c r="I260" s="17"/>
      <c r="J260" s="16"/>
      <c r="K260" s="16"/>
      <c r="L260" s="16"/>
      <c r="M260" s="16"/>
      <c r="N260" s="17"/>
      <c r="O260" s="17"/>
      <c r="P260" s="17"/>
      <c r="Q260" s="18"/>
    </row>
    <row r="261" spans="3:17">
      <c r="C261" s="15"/>
      <c r="D261" s="16"/>
      <c r="E261" s="16"/>
      <c r="F261" s="16"/>
      <c r="G261" s="16"/>
      <c r="H261" s="16"/>
      <c r="I261" s="17"/>
      <c r="J261" s="16"/>
      <c r="K261" s="16"/>
      <c r="L261" s="16"/>
      <c r="M261" s="16"/>
      <c r="N261" s="17"/>
      <c r="O261" s="17"/>
      <c r="P261" s="17"/>
      <c r="Q261" s="18"/>
    </row>
    <row r="262" spans="3:17">
      <c r="C262" s="15"/>
      <c r="D262" s="16"/>
      <c r="E262" s="16"/>
      <c r="F262" s="16"/>
      <c r="G262" s="16"/>
      <c r="H262" s="16"/>
      <c r="I262" s="17"/>
      <c r="J262" s="16"/>
      <c r="K262" s="16"/>
      <c r="L262" s="16"/>
      <c r="M262" s="16"/>
      <c r="N262" s="17"/>
      <c r="O262" s="17"/>
      <c r="P262" s="17"/>
      <c r="Q262" s="18"/>
    </row>
    <row r="263" spans="3:17">
      <c r="C263" s="15"/>
      <c r="D263" s="16"/>
      <c r="E263" s="16"/>
      <c r="F263" s="16"/>
      <c r="G263" s="16"/>
      <c r="H263" s="16"/>
      <c r="I263" s="17"/>
      <c r="J263" s="16"/>
      <c r="K263" s="16"/>
      <c r="L263" s="16"/>
      <c r="M263" s="16"/>
      <c r="N263" s="17"/>
      <c r="O263" s="17"/>
      <c r="P263" s="17"/>
      <c r="Q263" s="18"/>
    </row>
    <row r="264" spans="3:17">
      <c r="C264" s="15"/>
      <c r="D264" s="16"/>
      <c r="E264" s="16"/>
      <c r="F264" s="16"/>
      <c r="G264" s="16"/>
      <c r="H264" s="16"/>
      <c r="I264" s="17"/>
      <c r="J264" s="16"/>
      <c r="K264" s="16"/>
      <c r="L264" s="16"/>
      <c r="M264" s="16"/>
      <c r="N264" s="17"/>
      <c r="O264" s="17"/>
      <c r="P264" s="17"/>
      <c r="Q264" s="18"/>
    </row>
    <row r="265" spans="3:17">
      <c r="C265" s="15"/>
      <c r="D265" s="16"/>
      <c r="E265" s="16"/>
      <c r="F265" s="16"/>
      <c r="G265" s="16"/>
      <c r="H265" s="16"/>
      <c r="I265" s="17"/>
      <c r="J265" s="16"/>
      <c r="K265" s="16"/>
      <c r="L265" s="16"/>
      <c r="M265" s="16"/>
      <c r="N265" s="17"/>
      <c r="O265" s="17"/>
      <c r="P265" s="17"/>
      <c r="Q265" s="18"/>
    </row>
    <row r="266" spans="3:17">
      <c r="C266" s="15"/>
      <c r="D266" s="16"/>
      <c r="E266" s="16"/>
      <c r="F266" s="16"/>
      <c r="G266" s="16"/>
      <c r="H266" s="16"/>
      <c r="I266" s="17"/>
      <c r="J266" s="16"/>
      <c r="K266" s="16"/>
      <c r="L266" s="16"/>
      <c r="M266" s="16"/>
      <c r="N266" s="17"/>
      <c r="O266" s="17"/>
      <c r="P266" s="17"/>
      <c r="Q266" s="18"/>
    </row>
    <row r="267" spans="3:17">
      <c r="C267" s="15"/>
      <c r="D267" s="16"/>
      <c r="E267" s="16"/>
      <c r="F267" s="16"/>
      <c r="G267" s="16"/>
      <c r="H267" s="16"/>
      <c r="I267" s="17"/>
      <c r="J267" s="16"/>
      <c r="K267" s="16"/>
      <c r="L267" s="16"/>
      <c r="M267" s="16"/>
      <c r="N267" s="17"/>
      <c r="O267" s="17"/>
      <c r="P267" s="17"/>
      <c r="Q267" s="18"/>
    </row>
    <row r="268" spans="3:17">
      <c r="C268" s="15"/>
      <c r="D268" s="16"/>
      <c r="E268" s="16"/>
      <c r="F268" s="16"/>
      <c r="G268" s="16"/>
      <c r="H268" s="16"/>
      <c r="I268" s="17"/>
      <c r="J268" s="16"/>
      <c r="K268" s="16"/>
      <c r="L268" s="16"/>
      <c r="M268" s="16"/>
      <c r="N268" s="17"/>
      <c r="O268" s="17"/>
      <c r="P268" s="17"/>
      <c r="Q268" s="18"/>
    </row>
    <row r="269" spans="3:17">
      <c r="C269" s="15"/>
      <c r="D269" s="16"/>
      <c r="E269" s="16"/>
      <c r="F269" s="16"/>
      <c r="G269" s="16"/>
      <c r="H269" s="16"/>
      <c r="I269" s="17"/>
      <c r="J269" s="16"/>
      <c r="K269" s="16"/>
      <c r="L269" s="16"/>
      <c r="M269" s="16"/>
      <c r="N269" s="17"/>
      <c r="O269" s="17"/>
      <c r="P269" s="17"/>
      <c r="Q269" s="18"/>
    </row>
    <row r="270" spans="3:17">
      <c r="C270" s="15"/>
      <c r="D270" s="16"/>
      <c r="E270" s="16"/>
      <c r="F270" s="16"/>
      <c r="G270" s="16"/>
      <c r="H270" s="16"/>
      <c r="I270" s="17"/>
      <c r="J270" s="16"/>
      <c r="K270" s="16"/>
      <c r="L270" s="16"/>
      <c r="M270" s="16"/>
      <c r="N270" s="17"/>
      <c r="O270" s="17"/>
      <c r="P270" s="17"/>
      <c r="Q270" s="18"/>
    </row>
    <row r="271" spans="3:17">
      <c r="C271" s="15"/>
      <c r="D271" s="16"/>
      <c r="E271" s="16"/>
      <c r="F271" s="16"/>
      <c r="G271" s="16"/>
      <c r="H271" s="16"/>
      <c r="I271" s="17"/>
      <c r="J271" s="16"/>
      <c r="K271" s="16"/>
      <c r="L271" s="16"/>
      <c r="M271" s="16"/>
      <c r="N271" s="17"/>
      <c r="O271" s="17"/>
      <c r="P271" s="17"/>
      <c r="Q271" s="18"/>
    </row>
    <row r="272" spans="3:17">
      <c r="C272" s="15"/>
      <c r="D272" s="16"/>
      <c r="E272" s="16"/>
      <c r="F272" s="16"/>
      <c r="G272" s="16"/>
      <c r="H272" s="16"/>
      <c r="I272" s="17"/>
      <c r="J272" s="16"/>
      <c r="K272" s="16"/>
      <c r="L272" s="16"/>
      <c r="M272" s="16"/>
      <c r="N272" s="17"/>
      <c r="O272" s="17"/>
      <c r="P272" s="17"/>
      <c r="Q272" s="18"/>
    </row>
    <row r="273" spans="3:17">
      <c r="C273" s="15"/>
      <c r="D273" s="16"/>
      <c r="E273" s="16"/>
      <c r="F273" s="16"/>
      <c r="G273" s="16"/>
      <c r="H273" s="16"/>
      <c r="I273" s="17"/>
      <c r="J273" s="16"/>
      <c r="K273" s="16"/>
      <c r="L273" s="16"/>
      <c r="M273" s="16"/>
      <c r="N273" s="17"/>
      <c r="O273" s="17"/>
      <c r="P273" s="17"/>
      <c r="Q273" s="18"/>
    </row>
    <row r="274" spans="3:17">
      <c r="C274" s="15"/>
      <c r="D274" s="16"/>
      <c r="E274" s="16"/>
      <c r="F274" s="16"/>
      <c r="G274" s="16"/>
      <c r="H274" s="16"/>
      <c r="I274" s="17"/>
      <c r="J274" s="16"/>
      <c r="K274" s="16"/>
      <c r="L274" s="16"/>
      <c r="M274" s="16"/>
      <c r="N274" s="17"/>
      <c r="O274" s="17"/>
      <c r="P274" s="17"/>
      <c r="Q274" s="18"/>
    </row>
    <row r="275" spans="3:17">
      <c r="C275" s="15"/>
      <c r="D275" s="16"/>
      <c r="E275" s="16"/>
      <c r="F275" s="16"/>
      <c r="G275" s="16"/>
      <c r="H275" s="16"/>
      <c r="I275" s="17"/>
      <c r="J275" s="16"/>
      <c r="K275" s="16"/>
      <c r="L275" s="16"/>
      <c r="M275" s="16"/>
      <c r="N275" s="17"/>
      <c r="O275" s="17"/>
      <c r="P275" s="17"/>
      <c r="Q275" s="18"/>
    </row>
    <row r="276" spans="3:17">
      <c r="C276" s="15"/>
      <c r="D276" s="16"/>
      <c r="E276" s="16"/>
      <c r="F276" s="16"/>
      <c r="G276" s="16"/>
      <c r="H276" s="16"/>
      <c r="I276" s="17"/>
      <c r="J276" s="16"/>
      <c r="K276" s="16"/>
      <c r="L276" s="16"/>
      <c r="M276" s="16"/>
      <c r="N276" s="17"/>
      <c r="O276" s="17"/>
      <c r="P276" s="17"/>
      <c r="Q276" s="18"/>
    </row>
    <row r="277" spans="3:17">
      <c r="C277" s="15"/>
      <c r="D277" s="16"/>
      <c r="E277" s="16"/>
      <c r="F277" s="16"/>
      <c r="G277" s="16"/>
      <c r="H277" s="16"/>
      <c r="I277" s="17"/>
      <c r="J277" s="16"/>
      <c r="K277" s="16"/>
      <c r="L277" s="16"/>
      <c r="M277" s="16"/>
      <c r="N277" s="17"/>
      <c r="O277" s="17"/>
      <c r="P277" s="17"/>
      <c r="Q277" s="18"/>
    </row>
    <row r="278" spans="3:17">
      <c r="C278" s="15"/>
      <c r="D278" s="16"/>
      <c r="E278" s="16"/>
      <c r="F278" s="16"/>
      <c r="G278" s="16"/>
      <c r="H278" s="16"/>
      <c r="I278" s="17"/>
      <c r="J278" s="16"/>
      <c r="K278" s="16"/>
      <c r="L278" s="16"/>
      <c r="M278" s="16"/>
      <c r="N278" s="17"/>
      <c r="O278" s="17"/>
      <c r="P278" s="17"/>
      <c r="Q278" s="18"/>
    </row>
    <row r="279" spans="3:17">
      <c r="C279" s="15"/>
      <c r="D279" s="16"/>
      <c r="E279" s="16"/>
      <c r="F279" s="16"/>
      <c r="G279" s="16"/>
      <c r="H279" s="16"/>
      <c r="I279" s="17"/>
      <c r="J279" s="16"/>
      <c r="K279" s="16"/>
      <c r="L279" s="16"/>
      <c r="M279" s="16"/>
      <c r="N279" s="17"/>
      <c r="O279" s="17"/>
      <c r="P279" s="17"/>
      <c r="Q279" s="18"/>
    </row>
    <row r="280" spans="3:17">
      <c r="C280" s="15"/>
      <c r="D280" s="16"/>
      <c r="E280" s="16"/>
      <c r="F280" s="16"/>
      <c r="G280" s="16"/>
      <c r="H280" s="16"/>
      <c r="I280" s="17"/>
      <c r="J280" s="16"/>
      <c r="K280" s="16"/>
      <c r="L280" s="16"/>
      <c r="M280" s="16"/>
      <c r="N280" s="17"/>
      <c r="O280" s="17"/>
      <c r="P280" s="17"/>
      <c r="Q280" s="18"/>
    </row>
    <row r="281" spans="3:17">
      <c r="C281" s="15"/>
      <c r="D281" s="16"/>
      <c r="E281" s="16"/>
      <c r="F281" s="16"/>
      <c r="G281" s="16"/>
      <c r="H281" s="16"/>
      <c r="I281" s="17"/>
      <c r="J281" s="16"/>
      <c r="K281" s="16"/>
      <c r="L281" s="16"/>
      <c r="M281" s="16"/>
      <c r="N281" s="17"/>
      <c r="O281" s="17"/>
      <c r="P281" s="17"/>
      <c r="Q281" s="18"/>
    </row>
    <row r="282" spans="3:17">
      <c r="C282" s="15"/>
      <c r="D282" s="16"/>
      <c r="E282" s="16"/>
      <c r="F282" s="16"/>
      <c r="G282" s="16"/>
      <c r="H282" s="16"/>
      <c r="I282" s="17"/>
      <c r="J282" s="16"/>
      <c r="K282" s="16"/>
      <c r="L282" s="16"/>
      <c r="M282" s="16"/>
      <c r="N282" s="17"/>
      <c r="O282" s="17"/>
      <c r="P282" s="17"/>
      <c r="Q282" s="18"/>
    </row>
    <row r="283" spans="3:17">
      <c r="C283" s="15"/>
      <c r="D283" s="16"/>
      <c r="E283" s="16"/>
      <c r="F283" s="16"/>
      <c r="G283" s="16"/>
      <c r="H283" s="16"/>
      <c r="I283" s="17"/>
      <c r="J283" s="16"/>
      <c r="K283" s="16"/>
      <c r="L283" s="16"/>
      <c r="M283" s="16"/>
      <c r="N283" s="17"/>
      <c r="O283" s="17"/>
      <c r="P283" s="17"/>
      <c r="Q283" s="18"/>
    </row>
    <row r="284" spans="3:17">
      <c r="C284" s="15"/>
      <c r="D284" s="16"/>
      <c r="E284" s="16"/>
      <c r="F284" s="16"/>
      <c r="G284" s="16"/>
      <c r="H284" s="16"/>
      <c r="I284" s="17"/>
      <c r="J284" s="16"/>
      <c r="K284" s="16"/>
      <c r="L284" s="16"/>
      <c r="M284" s="16"/>
      <c r="N284" s="17"/>
      <c r="O284" s="17"/>
      <c r="P284" s="17"/>
      <c r="Q284" s="18"/>
    </row>
    <row r="285" spans="3:17">
      <c r="C285" s="15"/>
      <c r="D285" s="16"/>
      <c r="E285" s="16"/>
      <c r="F285" s="16"/>
      <c r="G285" s="16"/>
      <c r="H285" s="16"/>
      <c r="I285" s="17"/>
      <c r="J285" s="16"/>
      <c r="K285" s="16"/>
      <c r="L285" s="16"/>
      <c r="M285" s="16"/>
      <c r="N285" s="17"/>
      <c r="O285" s="17"/>
      <c r="P285" s="17"/>
      <c r="Q285" s="18"/>
    </row>
    <row r="286" spans="3:17">
      <c r="C286" s="15"/>
      <c r="D286" s="16"/>
      <c r="E286" s="16"/>
      <c r="F286" s="16"/>
      <c r="G286" s="16"/>
      <c r="H286" s="16"/>
      <c r="I286" s="17"/>
      <c r="J286" s="16"/>
      <c r="K286" s="16"/>
      <c r="L286" s="16"/>
      <c r="M286" s="16"/>
      <c r="N286" s="17"/>
      <c r="O286" s="17"/>
      <c r="P286" s="17"/>
      <c r="Q286" s="18"/>
    </row>
    <row r="287" spans="3:17">
      <c r="C287" s="15"/>
      <c r="D287" s="16"/>
      <c r="E287" s="16"/>
      <c r="F287" s="16"/>
      <c r="G287" s="16"/>
      <c r="H287" s="16"/>
      <c r="I287" s="17"/>
      <c r="J287" s="16"/>
      <c r="K287" s="16"/>
      <c r="L287" s="16"/>
      <c r="M287" s="16"/>
      <c r="N287" s="17"/>
      <c r="O287" s="17"/>
      <c r="P287" s="17"/>
      <c r="Q287" s="18"/>
    </row>
    <row r="288" spans="3:17">
      <c r="C288" s="15"/>
      <c r="D288" s="16"/>
      <c r="E288" s="16"/>
      <c r="F288" s="16"/>
      <c r="G288" s="16"/>
      <c r="H288" s="16"/>
      <c r="I288" s="17"/>
      <c r="J288" s="16"/>
      <c r="K288" s="16"/>
      <c r="L288" s="16"/>
      <c r="M288" s="16"/>
      <c r="N288" s="17"/>
      <c r="O288" s="17"/>
      <c r="P288" s="17"/>
      <c r="Q288" s="18"/>
    </row>
    <row r="289" spans="3:17">
      <c r="C289" s="15"/>
      <c r="D289" s="16"/>
      <c r="E289" s="16"/>
      <c r="F289" s="16"/>
      <c r="G289" s="16"/>
      <c r="H289" s="16"/>
      <c r="I289" s="17"/>
      <c r="J289" s="16"/>
      <c r="K289" s="16"/>
      <c r="L289" s="16"/>
      <c r="M289" s="16"/>
      <c r="N289" s="17"/>
      <c r="O289" s="17"/>
      <c r="P289" s="17"/>
      <c r="Q289" s="18"/>
    </row>
    <row r="290" spans="3:17">
      <c r="C290" s="15"/>
      <c r="D290" s="16"/>
      <c r="E290" s="16"/>
      <c r="F290" s="16"/>
      <c r="G290" s="16"/>
      <c r="H290" s="16"/>
      <c r="I290" s="17"/>
      <c r="J290" s="16"/>
      <c r="K290" s="16"/>
      <c r="L290" s="16"/>
      <c r="M290" s="16"/>
      <c r="N290" s="17"/>
      <c r="O290" s="17"/>
      <c r="P290" s="17"/>
      <c r="Q290" s="18"/>
    </row>
    <row r="291" spans="3:17">
      <c r="C291" s="15"/>
      <c r="D291" s="16"/>
      <c r="E291" s="16"/>
      <c r="F291" s="16"/>
      <c r="G291" s="16"/>
      <c r="H291" s="16"/>
      <c r="I291" s="17"/>
      <c r="J291" s="16"/>
      <c r="K291" s="16"/>
      <c r="L291" s="16"/>
      <c r="M291" s="16"/>
      <c r="N291" s="17"/>
      <c r="O291" s="17"/>
      <c r="P291" s="17"/>
      <c r="Q291" s="18"/>
    </row>
    <row r="292" spans="3:17">
      <c r="C292" s="15"/>
      <c r="D292" s="16"/>
      <c r="E292" s="16"/>
      <c r="F292" s="16"/>
      <c r="G292" s="16"/>
      <c r="H292" s="16"/>
      <c r="I292" s="17"/>
      <c r="J292" s="16"/>
      <c r="K292" s="16"/>
      <c r="L292" s="16"/>
      <c r="M292" s="16"/>
      <c r="N292" s="17"/>
      <c r="O292" s="17"/>
      <c r="P292" s="17"/>
      <c r="Q292" s="18"/>
    </row>
    <row r="293" spans="3:17">
      <c r="C293" s="15"/>
      <c r="D293" s="16"/>
      <c r="E293" s="16"/>
      <c r="F293" s="16"/>
      <c r="G293" s="16"/>
      <c r="H293" s="16"/>
      <c r="I293" s="17"/>
      <c r="J293" s="16"/>
      <c r="K293" s="16"/>
      <c r="L293" s="16"/>
      <c r="M293" s="16"/>
      <c r="N293" s="17"/>
      <c r="O293" s="17"/>
      <c r="P293" s="17"/>
      <c r="Q293" s="18"/>
    </row>
    <row r="294" spans="3:17">
      <c r="C294" s="15"/>
      <c r="D294" s="16"/>
      <c r="E294" s="16"/>
      <c r="F294" s="16"/>
      <c r="G294" s="16"/>
      <c r="H294" s="16"/>
      <c r="I294" s="17"/>
      <c r="J294" s="16"/>
      <c r="K294" s="16"/>
      <c r="L294" s="16"/>
      <c r="M294" s="16"/>
      <c r="N294" s="17"/>
      <c r="O294" s="17"/>
      <c r="P294" s="17"/>
      <c r="Q294" s="18"/>
    </row>
    <row r="295" spans="3:17">
      <c r="C295" s="15"/>
      <c r="D295" s="16"/>
      <c r="E295" s="16"/>
      <c r="F295" s="16"/>
      <c r="G295" s="16"/>
      <c r="H295" s="16"/>
      <c r="I295" s="17"/>
      <c r="J295" s="16"/>
      <c r="K295" s="16"/>
      <c r="L295" s="16"/>
      <c r="M295" s="16"/>
      <c r="N295" s="17"/>
      <c r="O295" s="17"/>
      <c r="P295" s="17"/>
      <c r="Q295" s="18"/>
    </row>
    <row r="296" spans="3:17">
      <c r="C296" s="15"/>
      <c r="D296" s="16"/>
      <c r="E296" s="16"/>
      <c r="F296" s="16"/>
      <c r="G296" s="16"/>
      <c r="H296" s="16"/>
      <c r="I296" s="17"/>
      <c r="J296" s="16"/>
      <c r="K296" s="16"/>
      <c r="L296" s="16"/>
      <c r="M296" s="16"/>
      <c r="N296" s="17"/>
      <c r="O296" s="17"/>
      <c r="P296" s="17"/>
      <c r="Q296" s="18"/>
    </row>
    <row r="297" spans="3:17">
      <c r="C297" s="15"/>
      <c r="D297" s="16"/>
      <c r="E297" s="16"/>
      <c r="F297" s="16"/>
      <c r="G297" s="16"/>
      <c r="H297" s="16"/>
      <c r="I297" s="17"/>
      <c r="J297" s="16"/>
      <c r="K297" s="16"/>
      <c r="L297" s="16"/>
      <c r="M297" s="16"/>
      <c r="N297" s="17"/>
      <c r="O297" s="17"/>
      <c r="P297" s="17"/>
      <c r="Q297" s="18"/>
    </row>
    <row r="298" spans="3:17">
      <c r="C298" s="15"/>
      <c r="D298" s="16"/>
      <c r="E298" s="16"/>
      <c r="F298" s="16"/>
      <c r="G298" s="16"/>
      <c r="H298" s="16"/>
      <c r="I298" s="17"/>
      <c r="J298" s="16"/>
      <c r="K298" s="16"/>
      <c r="L298" s="16"/>
      <c r="M298" s="16"/>
      <c r="N298" s="17"/>
      <c r="O298" s="17"/>
      <c r="P298" s="17"/>
      <c r="Q298" s="18"/>
    </row>
    <row r="299" spans="3:17">
      <c r="C299" s="15"/>
      <c r="D299" s="16"/>
      <c r="E299" s="16"/>
      <c r="F299" s="16"/>
      <c r="G299" s="16"/>
      <c r="H299" s="16"/>
      <c r="I299" s="17"/>
      <c r="J299" s="16"/>
      <c r="K299" s="16"/>
      <c r="L299" s="16"/>
      <c r="M299" s="16"/>
      <c r="N299" s="17"/>
      <c r="O299" s="17"/>
      <c r="P299" s="17"/>
      <c r="Q299" s="18"/>
    </row>
    <row r="300" spans="3:17">
      <c r="C300" s="15"/>
      <c r="D300" s="16"/>
      <c r="E300" s="16"/>
      <c r="F300" s="16"/>
      <c r="G300" s="16"/>
      <c r="H300" s="16"/>
      <c r="I300" s="17"/>
      <c r="J300" s="16"/>
      <c r="K300" s="16"/>
      <c r="L300" s="16"/>
      <c r="M300" s="16"/>
      <c r="N300" s="17"/>
      <c r="O300" s="17"/>
      <c r="P300" s="17"/>
      <c r="Q300" s="18"/>
    </row>
    <row r="301" spans="3:17">
      <c r="C301" s="15"/>
      <c r="D301" s="16"/>
      <c r="E301" s="16"/>
      <c r="F301" s="16"/>
      <c r="G301" s="16"/>
      <c r="H301" s="16"/>
      <c r="I301" s="17"/>
      <c r="J301" s="16"/>
      <c r="K301" s="16"/>
      <c r="L301" s="16"/>
      <c r="M301" s="16"/>
      <c r="N301" s="17"/>
      <c r="O301" s="17"/>
      <c r="P301" s="17"/>
      <c r="Q301" s="18"/>
    </row>
    <row r="302" spans="3:17">
      <c r="C302" s="15"/>
      <c r="D302" s="16"/>
      <c r="E302" s="16"/>
      <c r="F302" s="16"/>
      <c r="G302" s="16"/>
      <c r="H302" s="16"/>
      <c r="I302" s="17"/>
      <c r="J302" s="16"/>
      <c r="K302" s="16"/>
      <c r="L302" s="16"/>
      <c r="M302" s="16"/>
      <c r="N302" s="17"/>
      <c r="O302" s="17"/>
      <c r="P302" s="17"/>
      <c r="Q302" s="18"/>
    </row>
    <row r="303" spans="3:17">
      <c r="C303" s="15"/>
      <c r="D303" s="16"/>
      <c r="E303" s="16"/>
      <c r="F303" s="16"/>
      <c r="G303" s="16"/>
      <c r="H303" s="16"/>
      <c r="I303" s="17"/>
      <c r="J303" s="16"/>
      <c r="K303" s="16"/>
      <c r="L303" s="16"/>
      <c r="M303" s="16"/>
      <c r="N303" s="17"/>
      <c r="O303" s="17"/>
      <c r="P303" s="17"/>
      <c r="Q303" s="18"/>
    </row>
    <row r="304" spans="3:17">
      <c r="C304" s="15"/>
      <c r="D304" s="16"/>
      <c r="E304" s="16"/>
      <c r="F304" s="16"/>
      <c r="G304" s="16"/>
      <c r="H304" s="16"/>
      <c r="I304" s="17"/>
      <c r="J304" s="16"/>
      <c r="K304" s="16"/>
      <c r="L304" s="16"/>
      <c r="M304" s="16"/>
      <c r="N304" s="17"/>
      <c r="O304" s="17"/>
      <c r="P304" s="17"/>
      <c r="Q304" s="18"/>
    </row>
    <row r="305" spans="3:17">
      <c r="C305" s="15"/>
      <c r="D305" s="16"/>
      <c r="E305" s="16"/>
      <c r="F305" s="16"/>
      <c r="G305" s="16"/>
      <c r="H305" s="16"/>
      <c r="I305" s="17"/>
      <c r="J305" s="16"/>
      <c r="K305" s="16"/>
      <c r="L305" s="16"/>
      <c r="M305" s="16"/>
      <c r="N305" s="17"/>
      <c r="O305" s="17"/>
      <c r="P305" s="17"/>
      <c r="Q305" s="18"/>
    </row>
    <row r="306" spans="3:17">
      <c r="C306" s="15"/>
      <c r="D306" s="16"/>
      <c r="E306" s="16"/>
      <c r="F306" s="16"/>
      <c r="G306" s="16"/>
      <c r="H306" s="16"/>
      <c r="I306" s="17"/>
      <c r="J306" s="16"/>
      <c r="K306" s="16"/>
      <c r="L306" s="16"/>
      <c r="M306" s="16"/>
      <c r="N306" s="17"/>
      <c r="O306" s="17"/>
      <c r="P306" s="17"/>
      <c r="Q306" s="18"/>
    </row>
    <row r="307" spans="3:17">
      <c r="C307" s="15"/>
      <c r="D307" s="16"/>
      <c r="E307" s="16"/>
      <c r="F307" s="16"/>
      <c r="G307" s="16"/>
      <c r="H307" s="16"/>
      <c r="I307" s="17"/>
      <c r="J307" s="16"/>
      <c r="K307" s="16"/>
      <c r="L307" s="16"/>
      <c r="M307" s="16"/>
      <c r="N307" s="17"/>
      <c r="O307" s="17"/>
      <c r="P307" s="17"/>
      <c r="Q307" s="18"/>
    </row>
    <row r="308" spans="3:17">
      <c r="C308" s="15"/>
      <c r="D308" s="16"/>
      <c r="E308" s="16"/>
      <c r="F308" s="16"/>
      <c r="G308" s="16"/>
      <c r="H308" s="16"/>
      <c r="I308" s="17"/>
      <c r="J308" s="16"/>
      <c r="K308" s="16"/>
      <c r="L308" s="16"/>
      <c r="M308" s="16"/>
      <c r="N308" s="17"/>
      <c r="O308" s="17"/>
      <c r="P308" s="17"/>
      <c r="Q308" s="18"/>
    </row>
    <row r="309" spans="3:17">
      <c r="C309" s="15"/>
      <c r="D309" s="16"/>
      <c r="E309" s="16"/>
      <c r="F309" s="16"/>
      <c r="G309" s="16"/>
      <c r="H309" s="16"/>
      <c r="I309" s="17"/>
      <c r="J309" s="16"/>
      <c r="K309" s="16"/>
      <c r="L309" s="16"/>
      <c r="M309" s="16"/>
      <c r="N309" s="17"/>
      <c r="O309" s="17"/>
      <c r="P309" s="17"/>
      <c r="Q309" s="18"/>
    </row>
    <row r="310" spans="3:17">
      <c r="C310" s="15"/>
      <c r="D310" s="16"/>
      <c r="E310" s="16"/>
      <c r="F310" s="16"/>
      <c r="G310" s="16"/>
      <c r="H310" s="16"/>
      <c r="I310" s="17"/>
      <c r="J310" s="16"/>
      <c r="K310" s="16"/>
      <c r="L310" s="16"/>
      <c r="M310" s="16"/>
      <c r="N310" s="17"/>
      <c r="O310" s="17"/>
      <c r="P310" s="17"/>
      <c r="Q310" s="18"/>
    </row>
    <row r="311" spans="3:17">
      <c r="C311" s="15"/>
      <c r="D311" s="16"/>
      <c r="E311" s="16"/>
      <c r="F311" s="16"/>
      <c r="G311" s="16"/>
      <c r="H311" s="16"/>
      <c r="I311" s="17"/>
      <c r="J311" s="16"/>
      <c r="K311" s="16"/>
      <c r="L311" s="16"/>
      <c r="M311" s="16"/>
      <c r="N311" s="17"/>
      <c r="O311" s="17"/>
      <c r="P311" s="17"/>
      <c r="Q311" s="18"/>
    </row>
    <row r="312" spans="3:17">
      <c r="C312" s="15"/>
      <c r="D312" s="16"/>
      <c r="E312" s="16"/>
      <c r="F312" s="16"/>
      <c r="G312" s="16"/>
      <c r="H312" s="16"/>
      <c r="I312" s="17"/>
      <c r="J312" s="16"/>
      <c r="K312" s="16"/>
      <c r="L312" s="16"/>
      <c r="M312" s="16"/>
      <c r="N312" s="17"/>
      <c r="O312" s="17"/>
      <c r="P312" s="17"/>
      <c r="Q312" s="18"/>
    </row>
    <row r="313" spans="3:17">
      <c r="C313" s="15"/>
      <c r="D313" s="16"/>
      <c r="E313" s="16"/>
      <c r="F313" s="16"/>
      <c r="G313" s="16"/>
      <c r="H313" s="16"/>
      <c r="I313" s="17"/>
      <c r="J313" s="16"/>
      <c r="K313" s="16"/>
      <c r="L313" s="16"/>
      <c r="M313" s="16"/>
      <c r="N313" s="17"/>
      <c r="O313" s="17"/>
      <c r="P313" s="17"/>
      <c r="Q313" s="18"/>
    </row>
    <row r="314" spans="3:17">
      <c r="C314" s="15"/>
      <c r="D314" s="16"/>
      <c r="E314" s="16"/>
      <c r="F314" s="16"/>
      <c r="G314" s="16"/>
      <c r="H314" s="16"/>
      <c r="I314" s="17"/>
      <c r="J314" s="16"/>
      <c r="K314" s="16"/>
      <c r="L314" s="16"/>
      <c r="M314" s="16"/>
      <c r="N314" s="17"/>
      <c r="O314" s="17"/>
      <c r="P314" s="17"/>
      <c r="Q314" s="18"/>
    </row>
    <row r="315" spans="3:17">
      <c r="C315" s="15"/>
      <c r="D315" s="16"/>
      <c r="E315" s="16"/>
      <c r="F315" s="16"/>
      <c r="G315" s="16"/>
      <c r="H315" s="16"/>
      <c r="I315" s="17"/>
      <c r="J315" s="16"/>
      <c r="K315" s="16"/>
      <c r="L315" s="16"/>
      <c r="M315" s="16"/>
      <c r="N315" s="17"/>
      <c r="O315" s="17"/>
      <c r="P315" s="17"/>
      <c r="Q315" s="18"/>
    </row>
    <row r="316" spans="3:17">
      <c r="C316" s="15"/>
      <c r="D316" s="16"/>
      <c r="E316" s="16"/>
      <c r="F316" s="16"/>
      <c r="G316" s="16"/>
      <c r="H316" s="16"/>
      <c r="I316" s="17"/>
      <c r="J316" s="16"/>
      <c r="K316" s="16"/>
      <c r="L316" s="16"/>
      <c r="M316" s="16"/>
      <c r="N316" s="17"/>
      <c r="O316" s="17"/>
      <c r="P316" s="17"/>
      <c r="Q316" s="18"/>
    </row>
    <row r="317" spans="3:17">
      <c r="C317" s="15"/>
      <c r="D317" s="16"/>
      <c r="E317" s="16"/>
      <c r="F317" s="16"/>
      <c r="G317" s="16"/>
      <c r="H317" s="16"/>
      <c r="I317" s="17"/>
      <c r="J317" s="16"/>
      <c r="K317" s="16"/>
      <c r="L317" s="16"/>
      <c r="M317" s="16"/>
      <c r="N317" s="17"/>
      <c r="O317" s="17"/>
      <c r="P317" s="17"/>
      <c r="Q317" s="18"/>
    </row>
    <row r="318" spans="3:17">
      <c r="C318" s="15"/>
      <c r="D318" s="16"/>
      <c r="E318" s="16"/>
      <c r="F318" s="16"/>
      <c r="G318" s="16"/>
      <c r="H318" s="16"/>
      <c r="I318" s="17"/>
      <c r="J318" s="16"/>
      <c r="K318" s="16"/>
      <c r="L318" s="16"/>
      <c r="M318" s="16"/>
      <c r="N318" s="17"/>
      <c r="O318" s="17"/>
      <c r="P318" s="17"/>
      <c r="Q318" s="18"/>
    </row>
    <row r="319" spans="3:17">
      <c r="C319" s="15"/>
      <c r="D319" s="16"/>
      <c r="E319" s="16"/>
      <c r="F319" s="16"/>
      <c r="G319" s="16"/>
      <c r="H319" s="16"/>
      <c r="I319" s="17"/>
      <c r="J319" s="16"/>
      <c r="K319" s="16"/>
      <c r="L319" s="16"/>
      <c r="M319" s="16"/>
      <c r="N319" s="17"/>
      <c r="O319" s="17"/>
      <c r="P319" s="17"/>
      <c r="Q319" s="18"/>
    </row>
    <row r="320" spans="3:17">
      <c r="C320" s="15"/>
      <c r="D320" s="16"/>
      <c r="E320" s="16"/>
      <c r="F320" s="16"/>
      <c r="G320" s="16"/>
      <c r="H320" s="16"/>
      <c r="I320" s="17"/>
      <c r="J320" s="16"/>
      <c r="K320" s="16"/>
      <c r="L320" s="16"/>
      <c r="M320" s="16"/>
      <c r="N320" s="17"/>
      <c r="O320" s="17"/>
      <c r="P320" s="17"/>
      <c r="Q320" s="18"/>
    </row>
    <row r="321" spans="3:17">
      <c r="C321" s="15"/>
      <c r="D321" s="16"/>
      <c r="E321" s="16"/>
      <c r="F321" s="16"/>
      <c r="G321" s="16"/>
      <c r="H321" s="16"/>
      <c r="I321" s="17"/>
      <c r="J321" s="16"/>
      <c r="K321" s="16"/>
      <c r="L321" s="16"/>
      <c r="M321" s="16"/>
      <c r="N321" s="17"/>
      <c r="O321" s="17"/>
      <c r="P321" s="17"/>
      <c r="Q321" s="18"/>
    </row>
    <row r="322" spans="3:17">
      <c r="C322" s="15"/>
      <c r="D322" s="16"/>
      <c r="E322" s="16"/>
      <c r="F322" s="16"/>
      <c r="G322" s="16"/>
      <c r="H322" s="16"/>
      <c r="I322" s="17"/>
      <c r="J322" s="16"/>
      <c r="K322" s="16"/>
      <c r="L322" s="16"/>
      <c r="M322" s="16"/>
      <c r="N322" s="17"/>
      <c r="O322" s="17"/>
      <c r="P322" s="17"/>
      <c r="Q322" s="18"/>
    </row>
    <row r="323" spans="3:17">
      <c r="C323" s="15"/>
      <c r="D323" s="16"/>
      <c r="E323" s="16"/>
      <c r="F323" s="16"/>
      <c r="G323" s="16"/>
      <c r="H323" s="16"/>
      <c r="I323" s="17"/>
      <c r="J323" s="16"/>
      <c r="K323" s="16"/>
      <c r="L323" s="16"/>
      <c r="M323" s="16"/>
      <c r="N323" s="17"/>
      <c r="O323" s="17"/>
      <c r="P323" s="17"/>
      <c r="Q323" s="18"/>
    </row>
    <row r="324" spans="3:17">
      <c r="C324" s="15"/>
      <c r="D324" s="16"/>
      <c r="E324" s="16"/>
      <c r="F324" s="16"/>
      <c r="G324" s="16"/>
      <c r="H324" s="16"/>
      <c r="I324" s="17"/>
      <c r="J324" s="16"/>
      <c r="K324" s="16"/>
      <c r="L324" s="16"/>
      <c r="M324" s="16"/>
      <c r="N324" s="17"/>
      <c r="O324" s="17"/>
      <c r="P324" s="17"/>
      <c r="Q324" s="18"/>
    </row>
    <row r="325" spans="3:17">
      <c r="C325" s="15"/>
      <c r="D325" s="16"/>
      <c r="E325" s="16"/>
      <c r="F325" s="16"/>
      <c r="G325" s="16"/>
      <c r="H325" s="16"/>
      <c r="I325" s="17"/>
      <c r="J325" s="16"/>
      <c r="K325" s="16"/>
      <c r="L325" s="16"/>
      <c r="M325" s="16"/>
      <c r="N325" s="17"/>
      <c r="O325" s="17"/>
      <c r="P325" s="17"/>
      <c r="Q325" s="18"/>
    </row>
    <row r="326" spans="3:17">
      <c r="C326" s="15"/>
      <c r="D326" s="16"/>
      <c r="E326" s="16"/>
      <c r="F326" s="16"/>
      <c r="G326" s="16"/>
      <c r="H326" s="16"/>
      <c r="I326" s="17"/>
      <c r="J326" s="16"/>
      <c r="K326" s="16"/>
      <c r="L326" s="16"/>
      <c r="M326" s="16"/>
      <c r="N326" s="17"/>
      <c r="O326" s="17"/>
      <c r="P326" s="17"/>
      <c r="Q326" s="18"/>
    </row>
    <row r="327" spans="3:17">
      <c r="C327" s="15"/>
      <c r="D327" s="16"/>
      <c r="E327" s="16"/>
      <c r="F327" s="16"/>
      <c r="G327" s="16"/>
      <c r="H327" s="16"/>
      <c r="I327" s="17"/>
      <c r="J327" s="16"/>
      <c r="K327" s="16"/>
      <c r="L327" s="16"/>
      <c r="M327" s="16"/>
      <c r="N327" s="17"/>
      <c r="O327" s="17"/>
      <c r="P327" s="17"/>
      <c r="Q327" s="18"/>
    </row>
    <row r="328" spans="3:17">
      <c r="C328" s="15"/>
      <c r="D328" s="16"/>
      <c r="E328" s="16"/>
      <c r="F328" s="16"/>
      <c r="G328" s="16"/>
      <c r="H328" s="16"/>
      <c r="I328" s="17"/>
      <c r="J328" s="16"/>
      <c r="K328" s="16"/>
      <c r="L328" s="16"/>
      <c r="M328" s="16"/>
      <c r="N328" s="17"/>
      <c r="O328" s="17"/>
      <c r="P328" s="17"/>
      <c r="Q328" s="18"/>
    </row>
    <row r="329" spans="3:17">
      <c r="C329" s="15"/>
      <c r="D329" s="16"/>
      <c r="E329" s="16"/>
      <c r="F329" s="16"/>
      <c r="G329" s="16"/>
      <c r="H329" s="16"/>
      <c r="I329" s="17"/>
      <c r="J329" s="16"/>
      <c r="K329" s="16"/>
      <c r="L329" s="16"/>
      <c r="M329" s="16"/>
      <c r="N329" s="17"/>
      <c r="O329" s="17"/>
      <c r="P329" s="17"/>
      <c r="Q329" s="18"/>
    </row>
    <row r="330" spans="3:17">
      <c r="C330" s="15"/>
      <c r="D330" s="16"/>
      <c r="E330" s="16"/>
      <c r="F330" s="16"/>
      <c r="G330" s="16"/>
      <c r="H330" s="16"/>
      <c r="I330" s="17"/>
      <c r="J330" s="16"/>
      <c r="K330" s="16"/>
      <c r="L330" s="16"/>
      <c r="M330" s="16"/>
      <c r="N330" s="17"/>
      <c r="O330" s="17"/>
      <c r="P330" s="17"/>
      <c r="Q330" s="18"/>
    </row>
    <row r="331" spans="3:17">
      <c r="C331" s="15"/>
      <c r="D331" s="16"/>
      <c r="E331" s="16"/>
      <c r="F331" s="16"/>
      <c r="G331" s="16"/>
      <c r="H331" s="16"/>
      <c r="I331" s="17"/>
      <c r="J331" s="16"/>
      <c r="K331" s="16"/>
      <c r="L331" s="16"/>
      <c r="M331" s="16"/>
      <c r="N331" s="17"/>
      <c r="O331" s="17"/>
      <c r="P331" s="17"/>
      <c r="Q331" s="18"/>
    </row>
    <row r="332" spans="3:17">
      <c r="C332" s="15"/>
      <c r="D332" s="16"/>
      <c r="E332" s="16"/>
      <c r="F332" s="16"/>
      <c r="G332" s="16"/>
      <c r="H332" s="16"/>
      <c r="I332" s="17"/>
      <c r="J332" s="16"/>
      <c r="K332" s="16"/>
      <c r="L332" s="16"/>
      <c r="M332" s="16"/>
      <c r="N332" s="17"/>
      <c r="O332" s="17"/>
      <c r="P332" s="17"/>
      <c r="Q332" s="18"/>
    </row>
    <row r="333" spans="3:17">
      <c r="C333" s="15"/>
      <c r="D333" s="16"/>
      <c r="E333" s="16"/>
      <c r="F333" s="16"/>
      <c r="G333" s="16"/>
      <c r="H333" s="16"/>
      <c r="I333" s="17"/>
      <c r="J333" s="16"/>
      <c r="K333" s="16"/>
      <c r="L333" s="16"/>
      <c r="M333" s="16"/>
      <c r="N333" s="17"/>
      <c r="O333" s="17"/>
      <c r="P333" s="17"/>
      <c r="Q333" s="18"/>
    </row>
    <row r="334" spans="3:17">
      <c r="C334" s="15"/>
      <c r="D334" s="16"/>
      <c r="E334" s="16"/>
      <c r="F334" s="16"/>
      <c r="G334" s="16"/>
      <c r="H334" s="16"/>
      <c r="I334" s="17"/>
      <c r="J334" s="16"/>
      <c r="K334" s="16"/>
      <c r="L334" s="16"/>
      <c r="M334" s="16"/>
      <c r="N334" s="17"/>
      <c r="O334" s="17"/>
      <c r="P334" s="17"/>
      <c r="Q334" s="18"/>
    </row>
    <row r="335" spans="3:17">
      <c r="C335" s="15"/>
      <c r="D335" s="16"/>
      <c r="E335" s="16"/>
      <c r="F335" s="16"/>
      <c r="G335" s="16"/>
      <c r="H335" s="16"/>
      <c r="I335" s="17"/>
      <c r="J335" s="16"/>
      <c r="K335" s="16"/>
      <c r="L335" s="16"/>
      <c r="M335" s="16"/>
      <c r="N335" s="17"/>
      <c r="O335" s="17"/>
      <c r="P335" s="17"/>
      <c r="Q335" s="18"/>
    </row>
    <row r="336" spans="3:17">
      <c r="C336" s="15"/>
      <c r="D336" s="16"/>
      <c r="E336" s="16"/>
      <c r="F336" s="16"/>
      <c r="G336" s="16"/>
      <c r="H336" s="16"/>
      <c r="I336" s="17"/>
      <c r="J336" s="16"/>
      <c r="K336" s="16"/>
      <c r="L336" s="16"/>
      <c r="M336" s="16"/>
      <c r="N336" s="17"/>
      <c r="O336" s="17"/>
      <c r="P336" s="17"/>
      <c r="Q336" s="18"/>
    </row>
    <row r="337" spans="3:17">
      <c r="C337" s="15"/>
      <c r="D337" s="16"/>
      <c r="E337" s="16"/>
      <c r="F337" s="16"/>
      <c r="G337" s="16"/>
      <c r="H337" s="16"/>
      <c r="I337" s="17"/>
      <c r="J337" s="16"/>
      <c r="K337" s="16"/>
      <c r="L337" s="16"/>
      <c r="M337" s="16"/>
      <c r="N337" s="17"/>
      <c r="O337" s="17"/>
      <c r="P337" s="17"/>
      <c r="Q337" s="18"/>
    </row>
    <row r="338" spans="3:17">
      <c r="C338" s="15"/>
      <c r="D338" s="16"/>
      <c r="E338" s="16"/>
      <c r="F338" s="16"/>
      <c r="G338" s="16"/>
      <c r="H338" s="16"/>
      <c r="I338" s="17"/>
      <c r="J338" s="16"/>
      <c r="K338" s="16"/>
      <c r="L338" s="16"/>
      <c r="M338" s="16"/>
      <c r="N338" s="17"/>
      <c r="O338" s="17"/>
      <c r="P338" s="17"/>
      <c r="Q338" s="18"/>
    </row>
    <row r="339" spans="3:17">
      <c r="C339" s="15"/>
      <c r="D339" s="16"/>
      <c r="E339" s="16"/>
      <c r="F339" s="16"/>
      <c r="G339" s="16"/>
      <c r="H339" s="16"/>
      <c r="I339" s="17"/>
      <c r="J339" s="16"/>
      <c r="K339" s="16"/>
      <c r="L339" s="16"/>
      <c r="M339" s="16"/>
      <c r="N339" s="17"/>
      <c r="O339" s="17"/>
      <c r="P339" s="17"/>
      <c r="Q339" s="18"/>
    </row>
    <row r="340" spans="3:17">
      <c r="C340" s="15"/>
      <c r="D340" s="16"/>
      <c r="E340" s="16"/>
      <c r="F340" s="16"/>
      <c r="G340" s="16"/>
      <c r="H340" s="16"/>
      <c r="I340" s="17"/>
      <c r="J340" s="16"/>
      <c r="K340" s="16"/>
      <c r="L340" s="16"/>
      <c r="M340" s="16"/>
      <c r="N340" s="17"/>
      <c r="O340" s="17"/>
      <c r="P340" s="17"/>
      <c r="Q340" s="18"/>
    </row>
    <row r="341" spans="3:17">
      <c r="C341" s="15"/>
      <c r="D341" s="16"/>
      <c r="E341" s="16"/>
      <c r="F341" s="16"/>
      <c r="G341" s="16"/>
      <c r="H341" s="16"/>
      <c r="I341" s="17"/>
      <c r="J341" s="16"/>
      <c r="K341" s="16"/>
      <c r="L341" s="16"/>
      <c r="M341" s="16"/>
      <c r="N341" s="17"/>
      <c r="O341" s="17"/>
      <c r="P341" s="17"/>
      <c r="Q341" s="18"/>
    </row>
    <row r="342" spans="3:17">
      <c r="C342" s="15"/>
      <c r="D342" s="16"/>
      <c r="E342" s="16"/>
      <c r="F342" s="16"/>
      <c r="G342" s="16"/>
      <c r="H342" s="16"/>
      <c r="I342" s="17"/>
      <c r="J342" s="16"/>
      <c r="K342" s="16"/>
      <c r="L342" s="16"/>
      <c r="M342" s="16"/>
      <c r="N342" s="17"/>
      <c r="O342" s="17"/>
      <c r="P342" s="17"/>
      <c r="Q342" s="18"/>
    </row>
    <row r="343" spans="3:17">
      <c r="C343" s="15"/>
      <c r="D343" s="16"/>
      <c r="E343" s="16"/>
      <c r="F343" s="16"/>
      <c r="G343" s="16"/>
      <c r="H343" s="16"/>
      <c r="I343" s="17"/>
      <c r="J343" s="16"/>
      <c r="K343" s="16"/>
      <c r="L343" s="16"/>
      <c r="M343" s="16"/>
      <c r="N343" s="17"/>
      <c r="O343" s="17"/>
      <c r="P343" s="17"/>
      <c r="Q343" s="18"/>
    </row>
    <row r="344" spans="3:17">
      <c r="C344" s="15"/>
      <c r="D344" s="16"/>
      <c r="E344" s="16"/>
      <c r="F344" s="16"/>
      <c r="G344" s="16"/>
      <c r="H344" s="16"/>
      <c r="I344" s="17"/>
      <c r="J344" s="16"/>
      <c r="K344" s="16"/>
      <c r="L344" s="16"/>
      <c r="M344" s="16"/>
      <c r="N344" s="17"/>
      <c r="O344" s="17"/>
      <c r="P344" s="17"/>
      <c r="Q344" s="18"/>
    </row>
    <row r="345" spans="3:17">
      <c r="C345" s="15"/>
      <c r="D345" s="16"/>
      <c r="E345" s="16"/>
      <c r="F345" s="16"/>
      <c r="G345" s="16"/>
      <c r="H345" s="16"/>
      <c r="I345" s="17"/>
      <c r="J345" s="16"/>
      <c r="K345" s="16"/>
      <c r="L345" s="16"/>
      <c r="M345" s="16"/>
      <c r="N345" s="17"/>
      <c r="O345" s="17"/>
      <c r="P345" s="17"/>
      <c r="Q345" s="18"/>
    </row>
    <row r="346" spans="3:17">
      <c r="C346" s="15"/>
      <c r="D346" s="16"/>
      <c r="E346" s="16"/>
      <c r="F346" s="16"/>
      <c r="G346" s="16"/>
      <c r="H346" s="16"/>
      <c r="I346" s="17"/>
      <c r="J346" s="16"/>
      <c r="K346" s="16"/>
      <c r="L346" s="16"/>
      <c r="M346" s="16"/>
      <c r="N346" s="17"/>
      <c r="O346" s="17"/>
      <c r="P346" s="17"/>
      <c r="Q346" s="18"/>
    </row>
    <row r="347" spans="3:17">
      <c r="C347" s="15"/>
      <c r="D347" s="16"/>
      <c r="E347" s="16"/>
      <c r="F347" s="16"/>
      <c r="G347" s="16"/>
      <c r="H347" s="16"/>
      <c r="I347" s="17"/>
      <c r="J347" s="16"/>
      <c r="K347" s="16"/>
      <c r="L347" s="16"/>
      <c r="M347" s="16"/>
      <c r="N347" s="17"/>
      <c r="O347" s="17"/>
      <c r="P347" s="17"/>
      <c r="Q347" s="18"/>
    </row>
    <row r="348" spans="3:17">
      <c r="C348" s="15"/>
      <c r="D348" s="16"/>
      <c r="E348" s="16"/>
      <c r="F348" s="16"/>
      <c r="G348" s="16"/>
      <c r="H348" s="16"/>
      <c r="I348" s="17"/>
      <c r="J348" s="16"/>
      <c r="K348" s="16"/>
      <c r="L348" s="16"/>
      <c r="M348" s="16"/>
      <c r="N348" s="17"/>
      <c r="O348" s="17"/>
      <c r="P348" s="17"/>
      <c r="Q348" s="18"/>
    </row>
    <row r="349" spans="3:17">
      <c r="C349" s="15"/>
      <c r="D349" s="16"/>
      <c r="E349" s="16"/>
      <c r="F349" s="16"/>
      <c r="G349" s="16"/>
      <c r="H349" s="16"/>
      <c r="I349" s="17"/>
      <c r="J349" s="16"/>
      <c r="K349" s="16"/>
      <c r="L349" s="16"/>
      <c r="M349" s="16"/>
      <c r="N349" s="17"/>
      <c r="O349" s="17"/>
      <c r="P349" s="17"/>
      <c r="Q349" s="18"/>
    </row>
    <row r="350" spans="3:17">
      <c r="C350" s="15"/>
      <c r="D350" s="16"/>
      <c r="E350" s="16"/>
      <c r="F350" s="16"/>
      <c r="G350" s="16"/>
      <c r="H350" s="16"/>
      <c r="I350" s="17"/>
      <c r="J350" s="16"/>
      <c r="K350" s="16"/>
      <c r="L350" s="16"/>
      <c r="M350" s="16"/>
      <c r="N350" s="17"/>
      <c r="O350" s="17"/>
      <c r="P350" s="17"/>
      <c r="Q350" s="18"/>
    </row>
    <row r="351" spans="3:17">
      <c r="C351" s="15"/>
      <c r="D351" s="16"/>
      <c r="E351" s="16"/>
      <c r="F351" s="16"/>
      <c r="G351" s="16"/>
      <c r="H351" s="16"/>
      <c r="I351" s="17"/>
      <c r="J351" s="16"/>
      <c r="K351" s="16"/>
      <c r="L351" s="16"/>
      <c r="M351" s="16"/>
      <c r="N351" s="17"/>
      <c r="O351" s="17"/>
      <c r="P351" s="17"/>
      <c r="Q351" s="18"/>
    </row>
    <row r="352" spans="3:17">
      <c r="C352" s="15"/>
      <c r="D352" s="16"/>
      <c r="E352" s="16"/>
      <c r="F352" s="16"/>
      <c r="G352" s="16"/>
      <c r="H352" s="16"/>
      <c r="I352" s="17"/>
      <c r="J352" s="16"/>
      <c r="K352" s="16"/>
      <c r="L352" s="16"/>
      <c r="M352" s="16"/>
      <c r="N352" s="17"/>
      <c r="O352" s="17"/>
      <c r="P352" s="17"/>
      <c r="Q352" s="18"/>
    </row>
    <row r="353" spans="3:17">
      <c r="C353" s="15"/>
      <c r="D353" s="16"/>
      <c r="E353" s="16"/>
      <c r="F353" s="16"/>
      <c r="G353" s="16"/>
      <c r="H353" s="16"/>
      <c r="I353" s="17"/>
      <c r="J353" s="16"/>
      <c r="K353" s="16"/>
      <c r="L353" s="16"/>
      <c r="M353" s="16"/>
      <c r="N353" s="17"/>
      <c r="O353" s="17"/>
      <c r="P353" s="17"/>
      <c r="Q353" s="18"/>
    </row>
    <row r="354" spans="3:17">
      <c r="C354" s="15"/>
      <c r="D354" s="16"/>
      <c r="E354" s="16"/>
      <c r="F354" s="16"/>
      <c r="G354" s="16"/>
      <c r="H354" s="16"/>
      <c r="I354" s="17"/>
      <c r="J354" s="16"/>
      <c r="K354" s="16"/>
      <c r="L354" s="16"/>
      <c r="M354" s="16"/>
      <c r="N354" s="17"/>
      <c r="O354" s="17"/>
      <c r="P354" s="17"/>
      <c r="Q354" s="18"/>
    </row>
    <row r="355" spans="3:17">
      <c r="C355" s="15"/>
      <c r="D355" s="16"/>
      <c r="E355" s="16"/>
      <c r="F355" s="16"/>
      <c r="G355" s="16"/>
      <c r="H355" s="16"/>
      <c r="I355" s="17"/>
      <c r="J355" s="16"/>
      <c r="K355" s="16"/>
      <c r="L355" s="16"/>
      <c r="M355" s="16"/>
      <c r="N355" s="17"/>
      <c r="O355" s="17"/>
      <c r="P355" s="17"/>
      <c r="Q355" s="18"/>
    </row>
    <row r="356" spans="3:17">
      <c r="C356" s="15"/>
      <c r="D356" s="16"/>
      <c r="E356" s="16"/>
      <c r="F356" s="16"/>
      <c r="G356" s="16"/>
      <c r="H356" s="16"/>
      <c r="I356" s="17"/>
      <c r="J356" s="16"/>
      <c r="K356" s="16"/>
      <c r="L356" s="16"/>
      <c r="M356" s="16"/>
      <c r="N356" s="17"/>
      <c r="O356" s="17"/>
      <c r="P356" s="17"/>
      <c r="Q356" s="18"/>
    </row>
    <row r="357" spans="3:17">
      <c r="C357" s="15"/>
      <c r="D357" s="16"/>
      <c r="E357" s="16"/>
      <c r="F357" s="16"/>
      <c r="G357" s="16"/>
      <c r="H357" s="16"/>
      <c r="I357" s="17"/>
      <c r="J357" s="16"/>
      <c r="K357" s="16"/>
      <c r="L357" s="16"/>
      <c r="M357" s="16"/>
      <c r="N357" s="17"/>
      <c r="O357" s="17"/>
      <c r="P357" s="17"/>
      <c r="Q357" s="18"/>
    </row>
    <row r="358" spans="3:17">
      <c r="C358" s="15"/>
      <c r="D358" s="16"/>
      <c r="E358" s="16"/>
      <c r="F358" s="16"/>
      <c r="G358" s="16"/>
      <c r="H358" s="16"/>
      <c r="I358" s="17"/>
      <c r="J358" s="16"/>
      <c r="K358" s="16"/>
      <c r="L358" s="16"/>
      <c r="M358" s="16"/>
      <c r="N358" s="17"/>
      <c r="O358" s="17"/>
      <c r="P358" s="17"/>
      <c r="Q358" s="18"/>
    </row>
    <row r="359" spans="3:17">
      <c r="C359" s="15"/>
      <c r="D359" s="16"/>
      <c r="E359" s="16"/>
      <c r="F359" s="16"/>
      <c r="G359" s="16"/>
      <c r="H359" s="16"/>
      <c r="I359" s="17"/>
      <c r="J359" s="16"/>
      <c r="K359" s="16"/>
      <c r="L359" s="16"/>
      <c r="M359" s="16"/>
      <c r="N359" s="17"/>
      <c r="O359" s="17"/>
      <c r="P359" s="17"/>
      <c r="Q359" s="18"/>
    </row>
    <row r="360" spans="3:17">
      <c r="C360" s="15"/>
      <c r="D360" s="16"/>
      <c r="E360" s="16"/>
      <c r="F360" s="16"/>
      <c r="G360" s="16"/>
      <c r="H360" s="16"/>
      <c r="I360" s="17"/>
      <c r="J360" s="16"/>
      <c r="K360" s="16"/>
      <c r="L360" s="16"/>
      <c r="M360" s="16"/>
      <c r="N360" s="17"/>
      <c r="O360" s="17"/>
      <c r="P360" s="17"/>
      <c r="Q360" s="18"/>
    </row>
    <row r="361" spans="3:17">
      <c r="C361" s="15"/>
      <c r="D361" s="16"/>
      <c r="E361" s="16"/>
      <c r="F361" s="16"/>
      <c r="G361" s="16"/>
      <c r="H361" s="16"/>
      <c r="I361" s="17"/>
      <c r="J361" s="16"/>
      <c r="K361" s="16"/>
      <c r="L361" s="16"/>
      <c r="M361" s="16"/>
      <c r="N361" s="17"/>
      <c r="O361" s="17"/>
      <c r="P361" s="17"/>
      <c r="Q361" s="18"/>
    </row>
    <row r="362" spans="3:17">
      <c r="C362" s="15"/>
      <c r="D362" s="16"/>
      <c r="E362" s="16"/>
      <c r="F362" s="16"/>
      <c r="G362" s="16"/>
      <c r="H362" s="16"/>
      <c r="I362" s="17"/>
      <c r="J362" s="16"/>
      <c r="K362" s="16"/>
      <c r="L362" s="16"/>
      <c r="M362" s="16"/>
      <c r="N362" s="17"/>
      <c r="O362" s="17"/>
      <c r="P362" s="17"/>
      <c r="Q362" s="18"/>
    </row>
    <row r="363" spans="3:17">
      <c r="C363" s="15"/>
      <c r="D363" s="16"/>
      <c r="E363" s="16"/>
      <c r="F363" s="16"/>
      <c r="G363" s="16"/>
      <c r="H363" s="16"/>
      <c r="I363" s="17"/>
      <c r="J363" s="16"/>
      <c r="K363" s="16"/>
      <c r="L363" s="16"/>
      <c r="M363" s="16"/>
      <c r="N363" s="17"/>
      <c r="O363" s="17"/>
      <c r="P363" s="17"/>
      <c r="Q363" s="18"/>
    </row>
    <row r="364" spans="3:17">
      <c r="C364" s="15"/>
      <c r="D364" s="16"/>
      <c r="E364" s="16"/>
      <c r="F364" s="16"/>
      <c r="G364" s="16"/>
      <c r="H364" s="16"/>
      <c r="I364" s="17"/>
      <c r="J364" s="16"/>
      <c r="K364" s="16"/>
      <c r="L364" s="16"/>
      <c r="M364" s="16"/>
      <c r="N364" s="17"/>
      <c r="O364" s="17"/>
      <c r="P364" s="17"/>
      <c r="Q364" s="18"/>
    </row>
    <row r="365" spans="3:17">
      <c r="C365" s="15"/>
      <c r="D365" s="16"/>
      <c r="E365" s="16"/>
      <c r="F365" s="16"/>
      <c r="G365" s="16"/>
      <c r="H365" s="16"/>
      <c r="I365" s="17"/>
      <c r="J365" s="16"/>
      <c r="K365" s="16"/>
      <c r="L365" s="16"/>
      <c r="M365" s="16"/>
      <c r="N365" s="17"/>
      <c r="O365" s="17"/>
      <c r="P365" s="17"/>
      <c r="Q365" s="18"/>
    </row>
    <row r="366" spans="3:17">
      <c r="C366" s="15"/>
      <c r="D366" s="16"/>
      <c r="E366" s="16"/>
      <c r="F366" s="16"/>
      <c r="G366" s="16"/>
      <c r="H366" s="16"/>
      <c r="I366" s="17"/>
      <c r="J366" s="16"/>
      <c r="K366" s="16"/>
      <c r="L366" s="16"/>
      <c r="M366" s="16"/>
      <c r="N366" s="17"/>
      <c r="O366" s="17"/>
      <c r="P366" s="17"/>
      <c r="Q366" s="18"/>
    </row>
    <row r="367" spans="3:17">
      <c r="C367" s="15"/>
      <c r="D367" s="16"/>
      <c r="E367" s="16"/>
      <c r="F367" s="16"/>
      <c r="G367" s="16"/>
      <c r="H367" s="16"/>
      <c r="I367" s="17"/>
      <c r="J367" s="16"/>
      <c r="K367" s="16"/>
      <c r="L367" s="16"/>
      <c r="M367" s="16"/>
      <c r="N367" s="17"/>
      <c r="O367" s="17"/>
      <c r="P367" s="17"/>
      <c r="Q367" s="18"/>
    </row>
    <row r="368" spans="3:17">
      <c r="C368" s="15"/>
      <c r="D368" s="16"/>
      <c r="E368" s="16"/>
      <c r="F368" s="16"/>
      <c r="G368" s="16"/>
      <c r="H368" s="16"/>
      <c r="I368" s="17"/>
      <c r="J368" s="16"/>
      <c r="K368" s="16"/>
      <c r="L368" s="16"/>
      <c r="M368" s="16"/>
      <c r="N368" s="17"/>
      <c r="O368" s="17"/>
      <c r="P368" s="17"/>
      <c r="Q368" s="18"/>
    </row>
    <row r="369" spans="3:17">
      <c r="C369" s="15"/>
      <c r="D369" s="16"/>
      <c r="E369" s="16"/>
      <c r="F369" s="16"/>
      <c r="G369" s="16"/>
      <c r="H369" s="16"/>
      <c r="I369" s="17"/>
      <c r="J369" s="16"/>
      <c r="K369" s="16"/>
      <c r="L369" s="16"/>
      <c r="M369" s="16"/>
      <c r="N369" s="17"/>
      <c r="O369" s="17"/>
      <c r="P369" s="17"/>
      <c r="Q369" s="18"/>
    </row>
    <row r="370" spans="3:17">
      <c r="C370" s="15"/>
      <c r="D370" s="16"/>
      <c r="E370" s="16"/>
      <c r="F370" s="16"/>
      <c r="G370" s="16"/>
      <c r="H370" s="16"/>
      <c r="I370" s="17"/>
      <c r="J370" s="16"/>
      <c r="K370" s="16"/>
      <c r="L370" s="16"/>
      <c r="M370" s="16"/>
      <c r="N370" s="17"/>
      <c r="O370" s="17"/>
      <c r="P370" s="17"/>
      <c r="Q370" s="18"/>
    </row>
    <row r="371" spans="3:17">
      <c r="C371" s="15"/>
      <c r="D371" s="16"/>
      <c r="E371" s="16"/>
      <c r="F371" s="16"/>
      <c r="G371" s="16"/>
      <c r="H371" s="16"/>
      <c r="I371" s="17"/>
      <c r="J371" s="16"/>
      <c r="K371" s="16"/>
      <c r="L371" s="16"/>
      <c r="M371" s="16"/>
      <c r="N371" s="17"/>
      <c r="O371" s="17"/>
      <c r="P371" s="17"/>
      <c r="Q371" s="18"/>
    </row>
    <row r="372" spans="3:17">
      <c r="C372" s="15"/>
      <c r="D372" s="16"/>
      <c r="E372" s="16"/>
      <c r="F372" s="16"/>
      <c r="G372" s="16"/>
      <c r="H372" s="16"/>
      <c r="I372" s="17"/>
      <c r="J372" s="16"/>
      <c r="K372" s="16"/>
      <c r="L372" s="16"/>
      <c r="M372" s="16"/>
      <c r="N372" s="17"/>
      <c r="O372" s="17"/>
      <c r="P372" s="17"/>
      <c r="Q372" s="18"/>
    </row>
    <row r="373" spans="3:17">
      <c r="C373" s="15"/>
      <c r="D373" s="16"/>
      <c r="E373" s="16"/>
      <c r="F373" s="16"/>
      <c r="G373" s="16"/>
      <c r="H373" s="16"/>
      <c r="I373" s="17"/>
      <c r="J373" s="16"/>
      <c r="K373" s="16"/>
      <c r="L373" s="16"/>
      <c r="M373" s="16"/>
      <c r="N373" s="17"/>
      <c r="O373" s="17"/>
      <c r="P373" s="17"/>
      <c r="Q373" s="18"/>
    </row>
    <row r="374" spans="3:17">
      <c r="C374" s="15"/>
      <c r="D374" s="16"/>
      <c r="E374" s="16"/>
      <c r="F374" s="16"/>
      <c r="G374" s="16"/>
      <c r="H374" s="16"/>
      <c r="I374" s="17"/>
      <c r="J374" s="16"/>
      <c r="K374" s="16"/>
      <c r="L374" s="16"/>
      <c r="M374" s="16"/>
      <c r="N374" s="17"/>
      <c r="O374" s="17"/>
      <c r="P374" s="17"/>
      <c r="Q374" s="18"/>
    </row>
    <row r="375" spans="3:17">
      <c r="C375" s="15"/>
      <c r="D375" s="16"/>
      <c r="E375" s="16"/>
      <c r="F375" s="16"/>
      <c r="G375" s="16"/>
      <c r="H375" s="16"/>
      <c r="I375" s="17"/>
      <c r="J375" s="16"/>
      <c r="K375" s="16"/>
      <c r="L375" s="16"/>
      <c r="M375" s="16"/>
      <c r="N375" s="17"/>
      <c r="O375" s="17"/>
      <c r="P375" s="17"/>
      <c r="Q375" s="18"/>
    </row>
    <row r="376" spans="3:17">
      <c r="C376" s="15"/>
      <c r="D376" s="16"/>
      <c r="E376" s="16"/>
      <c r="F376" s="16"/>
      <c r="G376" s="16"/>
      <c r="H376" s="16"/>
      <c r="I376" s="17"/>
      <c r="J376" s="16"/>
      <c r="K376" s="16"/>
      <c r="L376" s="16"/>
      <c r="M376" s="16"/>
      <c r="N376" s="17"/>
      <c r="O376" s="17"/>
      <c r="P376" s="17"/>
      <c r="Q376" s="18"/>
    </row>
    <row r="377" spans="3:17">
      <c r="C377" s="15"/>
      <c r="D377" s="16"/>
      <c r="E377" s="16"/>
      <c r="F377" s="16"/>
      <c r="G377" s="16"/>
      <c r="H377" s="16"/>
      <c r="I377" s="17"/>
      <c r="J377" s="16"/>
      <c r="K377" s="16"/>
      <c r="L377" s="16"/>
      <c r="M377" s="16"/>
      <c r="N377" s="17"/>
      <c r="O377" s="17"/>
      <c r="P377" s="17"/>
      <c r="Q377" s="18"/>
    </row>
    <row r="378" spans="3:17">
      <c r="C378" s="15"/>
      <c r="D378" s="16"/>
      <c r="E378" s="16"/>
      <c r="F378" s="16"/>
      <c r="G378" s="16"/>
      <c r="H378" s="16"/>
      <c r="I378" s="17"/>
      <c r="J378" s="16"/>
      <c r="K378" s="16"/>
      <c r="L378" s="16"/>
      <c r="M378" s="16"/>
      <c r="N378" s="17"/>
      <c r="O378" s="17"/>
      <c r="P378" s="17"/>
      <c r="Q378" s="18"/>
    </row>
    <row r="379" spans="3:17">
      <c r="C379" s="15"/>
      <c r="D379" s="16"/>
      <c r="E379" s="16"/>
      <c r="F379" s="16"/>
      <c r="G379" s="16"/>
      <c r="H379" s="16"/>
      <c r="I379" s="17"/>
      <c r="J379" s="16"/>
      <c r="K379" s="16"/>
      <c r="L379" s="16"/>
      <c r="M379" s="16"/>
      <c r="N379" s="17"/>
      <c r="O379" s="17"/>
      <c r="P379" s="17"/>
      <c r="Q379" s="18"/>
    </row>
    <row r="380" spans="3:17">
      <c r="C380" s="15"/>
      <c r="D380" s="16"/>
      <c r="E380" s="16"/>
      <c r="F380" s="16"/>
      <c r="G380" s="16"/>
      <c r="H380" s="16"/>
      <c r="I380" s="17"/>
      <c r="J380" s="16"/>
      <c r="K380" s="16"/>
      <c r="L380" s="16"/>
      <c r="M380" s="16"/>
      <c r="N380" s="17"/>
      <c r="O380" s="17"/>
      <c r="P380" s="17"/>
      <c r="Q380" s="18"/>
    </row>
    <row r="381" spans="3:17">
      <c r="C381" s="15"/>
      <c r="D381" s="16"/>
      <c r="E381" s="16"/>
      <c r="F381" s="16"/>
      <c r="G381" s="16"/>
      <c r="H381" s="16"/>
      <c r="I381" s="17"/>
      <c r="J381" s="16"/>
      <c r="K381" s="16"/>
      <c r="L381" s="16"/>
      <c r="M381" s="16"/>
      <c r="N381" s="17"/>
      <c r="O381" s="17"/>
      <c r="P381" s="17"/>
      <c r="Q381" s="18"/>
    </row>
    <row r="382" spans="3:17">
      <c r="C382" s="15"/>
      <c r="D382" s="16"/>
      <c r="E382" s="16"/>
      <c r="F382" s="16"/>
      <c r="G382" s="16"/>
      <c r="H382" s="16"/>
      <c r="I382" s="17"/>
      <c r="J382" s="16"/>
      <c r="K382" s="16"/>
      <c r="L382" s="16"/>
      <c r="M382" s="16"/>
      <c r="N382" s="17"/>
      <c r="O382" s="17"/>
      <c r="P382" s="17"/>
      <c r="Q382" s="18"/>
    </row>
    <row r="383" spans="3:17">
      <c r="C383" s="15"/>
      <c r="D383" s="16"/>
      <c r="E383" s="16"/>
      <c r="F383" s="16"/>
      <c r="G383" s="16"/>
      <c r="H383" s="16"/>
      <c r="I383" s="17"/>
      <c r="J383" s="16"/>
      <c r="K383" s="16"/>
      <c r="L383" s="16"/>
      <c r="M383" s="16"/>
      <c r="N383" s="17"/>
      <c r="O383" s="17"/>
      <c r="P383" s="17"/>
      <c r="Q383" s="18"/>
    </row>
    <row r="384" spans="3:17">
      <c r="C384" s="15"/>
      <c r="D384" s="16"/>
      <c r="E384" s="16"/>
      <c r="F384" s="16"/>
      <c r="G384" s="16"/>
      <c r="H384" s="16"/>
      <c r="I384" s="17"/>
      <c r="J384" s="16"/>
      <c r="K384" s="16"/>
      <c r="L384" s="16"/>
      <c r="M384" s="16"/>
      <c r="N384" s="17"/>
      <c r="O384" s="17"/>
      <c r="P384" s="17"/>
      <c r="Q384" s="18"/>
    </row>
    <row r="385" spans="3:17">
      <c r="C385" s="15"/>
      <c r="D385" s="16"/>
      <c r="E385" s="16"/>
      <c r="F385" s="16"/>
      <c r="G385" s="16"/>
      <c r="H385" s="16"/>
      <c r="I385" s="17"/>
      <c r="J385" s="16"/>
      <c r="K385" s="16"/>
      <c r="L385" s="16"/>
      <c r="M385" s="16"/>
      <c r="N385" s="17"/>
      <c r="O385" s="17"/>
      <c r="P385" s="17"/>
      <c r="Q385" s="18"/>
    </row>
    <row r="386" spans="3:17">
      <c r="C386" s="15"/>
      <c r="D386" s="16"/>
      <c r="E386" s="16"/>
      <c r="F386" s="16"/>
      <c r="G386" s="16"/>
      <c r="H386" s="16"/>
      <c r="I386" s="17"/>
      <c r="J386" s="16"/>
      <c r="K386" s="16"/>
      <c r="L386" s="16"/>
      <c r="M386" s="16"/>
      <c r="N386" s="17"/>
      <c r="O386" s="17"/>
      <c r="P386" s="17"/>
      <c r="Q386" s="18"/>
    </row>
    <row r="387" spans="3:17">
      <c r="C387" s="15"/>
      <c r="D387" s="16"/>
      <c r="E387" s="16"/>
      <c r="F387" s="16"/>
      <c r="G387" s="16"/>
      <c r="H387" s="16"/>
      <c r="I387" s="17"/>
      <c r="J387" s="16"/>
      <c r="K387" s="16"/>
      <c r="L387" s="16"/>
      <c r="M387" s="16"/>
      <c r="N387" s="17"/>
      <c r="O387" s="17"/>
      <c r="P387" s="17"/>
      <c r="Q387" s="18"/>
    </row>
    <row r="388" spans="3:17">
      <c r="C388" s="15"/>
      <c r="D388" s="16"/>
      <c r="E388" s="16"/>
      <c r="F388" s="16"/>
      <c r="G388" s="16"/>
      <c r="H388" s="16"/>
      <c r="I388" s="17"/>
      <c r="J388" s="16"/>
      <c r="K388" s="16"/>
      <c r="L388" s="16"/>
      <c r="M388" s="16"/>
      <c r="N388" s="17"/>
      <c r="O388" s="17"/>
      <c r="P388" s="17"/>
      <c r="Q388" s="18"/>
    </row>
    <row r="389" spans="3:17">
      <c r="C389" s="15"/>
      <c r="D389" s="16"/>
      <c r="E389" s="16"/>
      <c r="F389" s="16"/>
      <c r="G389" s="16"/>
      <c r="H389" s="16"/>
      <c r="I389" s="17"/>
      <c r="J389" s="16"/>
      <c r="K389" s="16"/>
      <c r="L389" s="16"/>
      <c r="M389" s="16"/>
      <c r="N389" s="17"/>
      <c r="O389" s="17"/>
      <c r="P389" s="17"/>
      <c r="Q389" s="18"/>
    </row>
    <row r="390" spans="3:17">
      <c r="C390" s="15"/>
      <c r="D390" s="16"/>
      <c r="E390" s="16"/>
      <c r="F390" s="16"/>
      <c r="G390" s="16"/>
      <c r="H390" s="16"/>
      <c r="I390" s="17"/>
      <c r="J390" s="16"/>
      <c r="K390" s="16"/>
      <c r="L390" s="16"/>
      <c r="M390" s="16"/>
      <c r="N390" s="17"/>
      <c r="O390" s="17"/>
      <c r="P390" s="17"/>
      <c r="Q390" s="18"/>
    </row>
    <row r="391" spans="3:17">
      <c r="C391" s="15"/>
      <c r="D391" s="16"/>
      <c r="E391" s="16"/>
      <c r="F391" s="16"/>
      <c r="G391" s="16"/>
      <c r="H391" s="16"/>
      <c r="I391" s="17"/>
      <c r="J391" s="16"/>
      <c r="K391" s="16"/>
      <c r="L391" s="16"/>
      <c r="M391" s="16"/>
      <c r="N391" s="17"/>
      <c r="O391" s="17"/>
      <c r="P391" s="17"/>
      <c r="Q391" s="18"/>
    </row>
    <row r="392" spans="3:17">
      <c r="C392" s="15"/>
      <c r="D392" s="16"/>
      <c r="E392" s="16"/>
      <c r="F392" s="16"/>
      <c r="G392" s="16"/>
      <c r="H392" s="16"/>
      <c r="I392" s="17"/>
      <c r="J392" s="16"/>
      <c r="K392" s="16"/>
      <c r="L392" s="16"/>
      <c r="M392" s="16"/>
      <c r="N392" s="17"/>
      <c r="O392" s="17"/>
      <c r="P392" s="17"/>
      <c r="Q392" s="18"/>
    </row>
    <row r="393" spans="3:17">
      <c r="C393" s="15"/>
      <c r="D393" s="16"/>
      <c r="E393" s="16"/>
      <c r="F393" s="16"/>
      <c r="G393" s="16"/>
      <c r="H393" s="16"/>
      <c r="I393" s="17"/>
      <c r="J393" s="16"/>
      <c r="K393" s="16"/>
      <c r="L393" s="16"/>
      <c r="M393" s="16"/>
      <c r="N393" s="17"/>
      <c r="O393" s="17"/>
      <c r="P393" s="17"/>
      <c r="Q393" s="18"/>
    </row>
    <row r="394" spans="3:17">
      <c r="C394" s="15"/>
      <c r="D394" s="16"/>
      <c r="E394" s="16"/>
      <c r="F394" s="16"/>
      <c r="G394" s="16"/>
      <c r="H394" s="16"/>
      <c r="I394" s="17"/>
      <c r="J394" s="16"/>
      <c r="K394" s="16"/>
      <c r="L394" s="16"/>
      <c r="M394" s="16"/>
      <c r="N394" s="17"/>
      <c r="O394" s="17"/>
      <c r="P394" s="17"/>
      <c r="Q394" s="18"/>
    </row>
    <row r="395" spans="3:17">
      <c r="C395" s="15"/>
      <c r="D395" s="16"/>
      <c r="E395" s="16"/>
      <c r="F395" s="16"/>
      <c r="G395" s="16"/>
      <c r="H395" s="16"/>
      <c r="I395" s="17"/>
      <c r="J395" s="16"/>
      <c r="K395" s="16"/>
      <c r="L395" s="16"/>
      <c r="M395" s="16"/>
      <c r="N395" s="17"/>
      <c r="O395" s="17"/>
      <c r="P395" s="17"/>
      <c r="Q395" s="18"/>
    </row>
    <row r="396" spans="3:17">
      <c r="C396" s="15"/>
      <c r="D396" s="16"/>
      <c r="E396" s="16"/>
      <c r="F396" s="16"/>
      <c r="G396" s="16"/>
      <c r="H396" s="16"/>
      <c r="I396" s="17"/>
      <c r="J396" s="16"/>
      <c r="K396" s="16"/>
      <c r="L396" s="16"/>
      <c r="M396" s="16"/>
      <c r="N396" s="17"/>
      <c r="O396" s="17"/>
      <c r="P396" s="17"/>
      <c r="Q396" s="18"/>
    </row>
    <row r="397" spans="3:17">
      <c r="C397" s="15"/>
      <c r="D397" s="16"/>
      <c r="E397" s="16"/>
      <c r="F397" s="16"/>
      <c r="G397" s="16"/>
      <c r="H397" s="16"/>
      <c r="I397" s="17"/>
      <c r="J397" s="16"/>
      <c r="K397" s="16"/>
      <c r="L397" s="16"/>
      <c r="M397" s="16"/>
      <c r="N397" s="17"/>
      <c r="O397" s="17"/>
      <c r="P397" s="17"/>
      <c r="Q397" s="18"/>
    </row>
    <row r="398" spans="3:17">
      <c r="C398" s="15"/>
      <c r="D398" s="16"/>
      <c r="E398" s="16"/>
      <c r="F398" s="16"/>
      <c r="G398" s="16"/>
      <c r="H398" s="16"/>
      <c r="I398" s="17"/>
      <c r="J398" s="16"/>
      <c r="K398" s="16"/>
      <c r="L398" s="16"/>
      <c r="M398" s="16"/>
      <c r="N398" s="17"/>
      <c r="O398" s="17"/>
      <c r="P398" s="17"/>
      <c r="Q398" s="18"/>
    </row>
    <row r="399" spans="3:17">
      <c r="C399" s="15"/>
      <c r="D399" s="16"/>
      <c r="E399" s="16"/>
      <c r="F399" s="16"/>
      <c r="G399" s="16"/>
      <c r="H399" s="16"/>
      <c r="I399" s="17"/>
      <c r="J399" s="16"/>
      <c r="K399" s="16"/>
      <c r="L399" s="16"/>
      <c r="M399" s="16"/>
      <c r="N399" s="17"/>
      <c r="O399" s="17"/>
      <c r="P399" s="17"/>
      <c r="Q399" s="18"/>
    </row>
    <row r="400" spans="3:17">
      <c r="C400" s="15"/>
      <c r="D400" s="16"/>
      <c r="E400" s="16"/>
      <c r="F400" s="16"/>
      <c r="G400" s="16"/>
      <c r="H400" s="16"/>
      <c r="I400" s="17"/>
      <c r="J400" s="16"/>
      <c r="K400" s="16"/>
      <c r="L400" s="16"/>
      <c r="M400" s="16"/>
      <c r="N400" s="17"/>
      <c r="O400" s="17"/>
      <c r="P400" s="17"/>
      <c r="Q400" s="18"/>
    </row>
    <row r="401" spans="3:17">
      <c r="C401" s="15"/>
      <c r="D401" s="16"/>
      <c r="E401" s="16"/>
      <c r="F401" s="16"/>
      <c r="G401" s="16"/>
      <c r="H401" s="16"/>
      <c r="I401" s="17"/>
      <c r="J401" s="16"/>
      <c r="K401" s="16"/>
      <c r="L401" s="16"/>
      <c r="M401" s="16"/>
      <c r="N401" s="17"/>
      <c r="O401" s="17"/>
      <c r="P401" s="17"/>
      <c r="Q401" s="18"/>
    </row>
    <row r="402" spans="3:17">
      <c r="C402" s="15"/>
      <c r="D402" s="16"/>
      <c r="E402" s="16"/>
      <c r="F402" s="16"/>
      <c r="G402" s="16"/>
      <c r="H402" s="16"/>
      <c r="I402" s="17"/>
      <c r="J402" s="16"/>
      <c r="K402" s="16"/>
      <c r="L402" s="16"/>
      <c r="M402" s="16"/>
      <c r="N402" s="17"/>
      <c r="O402" s="17"/>
      <c r="P402" s="17"/>
      <c r="Q402" s="18"/>
    </row>
    <row r="403" spans="3:17">
      <c r="C403" s="15"/>
      <c r="D403" s="16"/>
      <c r="E403" s="16"/>
      <c r="F403" s="16"/>
      <c r="G403" s="16"/>
      <c r="H403" s="16"/>
      <c r="I403" s="17"/>
      <c r="J403" s="16"/>
      <c r="K403" s="16"/>
      <c r="L403" s="16"/>
      <c r="M403" s="16"/>
      <c r="N403" s="17"/>
      <c r="O403" s="17"/>
      <c r="P403" s="17"/>
      <c r="Q403" s="18"/>
    </row>
    <row r="404" spans="3:17">
      <c r="C404" s="15"/>
      <c r="D404" s="16"/>
      <c r="E404" s="16"/>
      <c r="F404" s="16"/>
      <c r="G404" s="16"/>
      <c r="H404" s="16"/>
      <c r="I404" s="17"/>
      <c r="J404" s="16"/>
      <c r="K404" s="16"/>
      <c r="L404" s="16"/>
      <c r="M404" s="16"/>
      <c r="N404" s="17"/>
      <c r="O404" s="17"/>
      <c r="P404" s="17"/>
      <c r="Q404" s="18"/>
    </row>
    <row r="405" spans="3:17">
      <c r="C405" s="15"/>
      <c r="D405" s="16"/>
      <c r="E405" s="16"/>
      <c r="F405" s="16"/>
      <c r="G405" s="16"/>
      <c r="H405" s="16"/>
      <c r="I405" s="17"/>
      <c r="J405" s="16"/>
      <c r="K405" s="16"/>
      <c r="L405" s="16"/>
      <c r="M405" s="16"/>
      <c r="N405" s="17"/>
      <c r="O405" s="17"/>
      <c r="P405" s="17"/>
      <c r="Q405" s="18"/>
    </row>
    <row r="406" spans="3:17">
      <c r="C406" s="15"/>
      <c r="D406" s="16"/>
      <c r="E406" s="16"/>
      <c r="F406" s="16"/>
      <c r="G406" s="16"/>
      <c r="H406" s="16"/>
      <c r="I406" s="17"/>
      <c r="J406" s="16"/>
      <c r="K406" s="16"/>
      <c r="L406" s="16"/>
      <c r="M406" s="16"/>
      <c r="N406" s="17"/>
      <c r="O406" s="17"/>
      <c r="P406" s="17"/>
      <c r="Q406" s="18"/>
    </row>
    <row r="407" spans="3:17">
      <c r="C407" s="15"/>
      <c r="D407" s="16"/>
      <c r="E407" s="16"/>
      <c r="F407" s="16"/>
      <c r="G407" s="16"/>
      <c r="H407" s="16"/>
      <c r="I407" s="17"/>
      <c r="J407" s="16"/>
      <c r="K407" s="16"/>
      <c r="L407" s="16"/>
      <c r="M407" s="16"/>
      <c r="N407" s="17"/>
      <c r="O407" s="17"/>
      <c r="P407" s="17"/>
      <c r="Q407" s="18"/>
    </row>
    <row r="408" spans="3:17">
      <c r="C408" s="15"/>
      <c r="D408" s="16"/>
      <c r="E408" s="16"/>
      <c r="F408" s="16"/>
      <c r="G408" s="16"/>
      <c r="H408" s="16"/>
      <c r="I408" s="17"/>
      <c r="J408" s="16"/>
      <c r="K408" s="16"/>
      <c r="L408" s="16"/>
      <c r="M408" s="16"/>
      <c r="N408" s="17"/>
      <c r="O408" s="17"/>
      <c r="P408" s="17"/>
      <c r="Q408" s="18"/>
    </row>
    <row r="409" spans="3:17">
      <c r="C409" s="15"/>
      <c r="D409" s="16"/>
      <c r="E409" s="16"/>
      <c r="F409" s="16"/>
      <c r="G409" s="16"/>
      <c r="H409" s="16"/>
      <c r="I409" s="17"/>
      <c r="J409" s="16"/>
      <c r="K409" s="16"/>
      <c r="L409" s="16"/>
      <c r="M409" s="16"/>
      <c r="N409" s="17"/>
      <c r="O409" s="17"/>
      <c r="P409" s="17"/>
      <c r="Q409" s="18"/>
    </row>
    <row r="410" spans="3:17">
      <c r="C410" s="15"/>
      <c r="D410" s="16"/>
      <c r="E410" s="16"/>
      <c r="F410" s="16"/>
      <c r="G410" s="16"/>
      <c r="H410" s="16"/>
      <c r="I410" s="17"/>
      <c r="J410" s="16"/>
      <c r="K410" s="16"/>
      <c r="L410" s="16"/>
      <c r="M410" s="16"/>
      <c r="N410" s="17"/>
      <c r="O410" s="17"/>
      <c r="P410" s="17"/>
      <c r="Q410" s="18"/>
    </row>
    <row r="411" spans="3:17">
      <c r="C411" s="15"/>
      <c r="D411" s="16"/>
      <c r="E411" s="16"/>
      <c r="F411" s="16"/>
      <c r="G411" s="16"/>
      <c r="H411" s="16"/>
      <c r="I411" s="17"/>
      <c r="J411" s="16"/>
      <c r="K411" s="16"/>
      <c r="L411" s="16"/>
      <c r="M411" s="16"/>
      <c r="N411" s="17"/>
      <c r="O411" s="17"/>
      <c r="P411" s="17"/>
      <c r="Q411" s="18"/>
    </row>
    <row r="412" spans="3:17">
      <c r="C412" s="15"/>
      <c r="D412" s="16"/>
      <c r="E412" s="16"/>
      <c r="F412" s="16"/>
      <c r="G412" s="16"/>
      <c r="H412" s="16"/>
      <c r="I412" s="17"/>
      <c r="J412" s="16"/>
      <c r="K412" s="16"/>
      <c r="L412" s="16"/>
      <c r="M412" s="16"/>
      <c r="N412" s="17"/>
      <c r="O412" s="17"/>
      <c r="P412" s="17"/>
      <c r="Q412" s="18"/>
    </row>
    <row r="413" spans="3:17">
      <c r="C413" s="15"/>
      <c r="D413" s="16"/>
      <c r="E413" s="16"/>
      <c r="F413" s="16"/>
      <c r="G413" s="16"/>
      <c r="H413" s="16"/>
      <c r="I413" s="17"/>
      <c r="J413" s="16"/>
      <c r="K413" s="16"/>
      <c r="L413" s="16"/>
      <c r="M413" s="16"/>
      <c r="N413" s="17"/>
      <c r="O413" s="17"/>
      <c r="P413" s="17"/>
      <c r="Q413" s="18"/>
    </row>
    <row r="414" spans="3:17">
      <c r="C414" s="15"/>
      <c r="D414" s="16"/>
      <c r="E414" s="16"/>
      <c r="F414" s="16"/>
      <c r="G414" s="16"/>
      <c r="H414" s="16"/>
      <c r="I414" s="17"/>
      <c r="J414" s="16"/>
      <c r="K414" s="16"/>
      <c r="L414" s="16"/>
      <c r="M414" s="16"/>
      <c r="N414" s="17"/>
      <c r="O414" s="17"/>
      <c r="P414" s="17"/>
      <c r="Q414" s="18"/>
    </row>
    <row r="415" spans="3:17">
      <c r="C415" s="15"/>
      <c r="D415" s="16"/>
      <c r="E415" s="16"/>
      <c r="F415" s="16"/>
      <c r="G415" s="16"/>
      <c r="H415" s="16"/>
      <c r="I415" s="17"/>
      <c r="J415" s="16"/>
      <c r="K415" s="16"/>
      <c r="L415" s="16"/>
      <c r="M415" s="16"/>
      <c r="N415" s="17"/>
      <c r="O415" s="17"/>
      <c r="P415" s="17"/>
      <c r="Q415" s="18"/>
    </row>
    <row r="416" spans="3:17">
      <c r="C416" s="15"/>
      <c r="D416" s="16"/>
      <c r="E416" s="16"/>
      <c r="F416" s="16"/>
      <c r="G416" s="16"/>
      <c r="H416" s="16"/>
      <c r="I416" s="17"/>
      <c r="J416" s="16"/>
      <c r="K416" s="16"/>
      <c r="L416" s="16"/>
      <c r="M416" s="16"/>
      <c r="N416" s="17"/>
      <c r="O416" s="17"/>
      <c r="P416" s="17"/>
      <c r="Q416" s="18"/>
    </row>
    <row r="417" spans="3:17">
      <c r="C417" s="15"/>
      <c r="D417" s="16"/>
      <c r="E417" s="16"/>
      <c r="F417" s="16"/>
      <c r="G417" s="16"/>
      <c r="H417" s="16"/>
      <c r="I417" s="17"/>
      <c r="J417" s="16"/>
      <c r="K417" s="16"/>
      <c r="L417" s="16"/>
      <c r="M417" s="16"/>
      <c r="N417" s="17"/>
      <c r="O417" s="17"/>
      <c r="P417" s="17"/>
      <c r="Q417" s="18"/>
    </row>
    <row r="418" spans="3:17">
      <c r="C418" s="15"/>
      <c r="D418" s="16"/>
      <c r="E418" s="16"/>
      <c r="F418" s="16"/>
      <c r="G418" s="16"/>
      <c r="H418" s="16"/>
      <c r="I418" s="17"/>
      <c r="J418" s="16"/>
      <c r="K418" s="16"/>
      <c r="L418" s="16"/>
      <c r="M418" s="16"/>
      <c r="N418" s="17"/>
      <c r="O418" s="17"/>
      <c r="P418" s="17"/>
      <c r="Q418" s="18"/>
    </row>
    <row r="419" spans="3:17">
      <c r="C419" s="15"/>
      <c r="D419" s="16"/>
      <c r="E419" s="16"/>
      <c r="F419" s="16"/>
      <c r="G419" s="16"/>
      <c r="H419" s="16"/>
      <c r="I419" s="17"/>
      <c r="J419" s="16"/>
      <c r="K419" s="16"/>
      <c r="L419" s="16"/>
      <c r="M419" s="16"/>
      <c r="N419" s="17"/>
      <c r="O419" s="17"/>
      <c r="P419" s="17"/>
      <c r="Q419" s="18"/>
    </row>
    <row r="420" spans="3:17">
      <c r="C420" s="15"/>
      <c r="D420" s="16"/>
      <c r="E420" s="16"/>
      <c r="F420" s="16"/>
      <c r="G420" s="16"/>
      <c r="H420" s="16"/>
      <c r="I420" s="17"/>
      <c r="J420" s="16"/>
      <c r="K420" s="16"/>
      <c r="L420" s="16"/>
      <c r="M420" s="16"/>
      <c r="N420" s="17"/>
      <c r="O420" s="17"/>
      <c r="P420" s="17"/>
      <c r="Q420" s="18"/>
    </row>
    <row r="421" spans="3:17">
      <c r="C421" s="15"/>
      <c r="D421" s="16"/>
      <c r="E421" s="16"/>
      <c r="F421" s="16"/>
      <c r="G421" s="16"/>
      <c r="H421" s="16"/>
      <c r="I421" s="17"/>
      <c r="J421" s="16"/>
      <c r="K421" s="16"/>
      <c r="L421" s="16"/>
      <c r="M421" s="16"/>
      <c r="N421" s="17"/>
      <c r="O421" s="17"/>
      <c r="P421" s="17"/>
      <c r="Q421" s="18"/>
    </row>
    <row r="422" spans="3:17">
      <c r="C422" s="15"/>
      <c r="D422" s="16"/>
      <c r="E422" s="16"/>
      <c r="F422" s="16"/>
      <c r="G422" s="16"/>
      <c r="H422" s="16"/>
      <c r="I422" s="17"/>
      <c r="J422" s="16"/>
      <c r="K422" s="16"/>
      <c r="L422" s="16"/>
      <c r="M422" s="16"/>
      <c r="N422" s="17"/>
      <c r="O422" s="17"/>
      <c r="P422" s="17"/>
      <c r="Q422" s="18"/>
    </row>
    <row r="423" spans="3:17">
      <c r="C423" s="15"/>
      <c r="D423" s="16"/>
      <c r="E423" s="16"/>
      <c r="F423" s="16"/>
      <c r="G423" s="16"/>
      <c r="H423" s="16"/>
      <c r="I423" s="17"/>
      <c r="J423" s="16"/>
      <c r="K423" s="16"/>
      <c r="L423" s="16"/>
      <c r="M423" s="16"/>
      <c r="N423" s="17"/>
      <c r="O423" s="17"/>
      <c r="P423" s="17"/>
      <c r="Q423" s="18"/>
    </row>
    <row r="424" spans="3:17">
      <c r="C424" s="15"/>
      <c r="D424" s="16"/>
      <c r="E424" s="16"/>
      <c r="F424" s="16"/>
      <c r="G424" s="16"/>
      <c r="H424" s="16"/>
      <c r="I424" s="17"/>
      <c r="J424" s="16"/>
      <c r="K424" s="16"/>
      <c r="L424" s="16"/>
      <c r="M424" s="16"/>
      <c r="N424" s="17"/>
      <c r="O424" s="17"/>
      <c r="P424" s="17"/>
      <c r="Q424" s="18"/>
    </row>
    <row r="425" spans="3:17">
      <c r="C425" s="15"/>
      <c r="D425" s="16"/>
      <c r="E425" s="16"/>
      <c r="F425" s="16"/>
      <c r="G425" s="16"/>
      <c r="H425" s="16"/>
      <c r="I425" s="17"/>
      <c r="J425" s="16"/>
      <c r="K425" s="16"/>
      <c r="L425" s="16"/>
      <c r="M425" s="16"/>
      <c r="N425" s="17"/>
      <c r="O425" s="17"/>
      <c r="P425" s="17"/>
      <c r="Q425" s="18"/>
    </row>
    <row r="426" spans="3:17">
      <c r="C426" s="15"/>
      <c r="D426" s="16"/>
      <c r="E426" s="16"/>
      <c r="F426" s="16"/>
      <c r="G426" s="16"/>
      <c r="H426" s="16"/>
      <c r="I426" s="17"/>
      <c r="J426" s="16"/>
      <c r="K426" s="16"/>
      <c r="L426" s="16"/>
      <c r="M426" s="16"/>
      <c r="N426" s="17"/>
      <c r="O426" s="17"/>
      <c r="P426" s="17"/>
      <c r="Q426" s="18"/>
    </row>
    <row r="427" spans="3:17">
      <c r="C427" s="15"/>
      <c r="D427" s="16"/>
      <c r="E427" s="16"/>
      <c r="F427" s="16"/>
      <c r="G427" s="16"/>
      <c r="H427" s="16"/>
      <c r="I427" s="17"/>
      <c r="J427" s="16"/>
      <c r="K427" s="16"/>
      <c r="L427" s="16"/>
      <c r="M427" s="16"/>
      <c r="N427" s="17"/>
      <c r="O427" s="17"/>
      <c r="P427" s="17"/>
      <c r="Q427" s="18"/>
    </row>
    <row r="428" spans="3:17">
      <c r="C428" s="15"/>
      <c r="D428" s="16"/>
      <c r="E428" s="16"/>
      <c r="F428" s="16"/>
      <c r="G428" s="16"/>
      <c r="H428" s="16"/>
      <c r="I428" s="17"/>
      <c r="J428" s="16"/>
      <c r="K428" s="16"/>
      <c r="L428" s="16"/>
      <c r="M428" s="16"/>
      <c r="N428" s="17"/>
      <c r="O428" s="17"/>
      <c r="P428" s="17"/>
      <c r="Q428" s="18"/>
    </row>
    <row r="429" spans="3:17">
      <c r="C429" s="15"/>
      <c r="D429" s="16"/>
      <c r="E429" s="16"/>
      <c r="F429" s="16"/>
      <c r="G429" s="16"/>
      <c r="H429" s="16"/>
      <c r="I429" s="17"/>
      <c r="J429" s="16"/>
      <c r="K429" s="16"/>
      <c r="L429" s="16"/>
      <c r="M429" s="16"/>
      <c r="N429" s="17"/>
      <c r="O429" s="17"/>
      <c r="P429" s="17"/>
      <c r="Q429" s="18"/>
    </row>
    <row r="430" spans="3:17">
      <c r="C430" s="15"/>
      <c r="D430" s="16"/>
      <c r="E430" s="16"/>
      <c r="F430" s="16"/>
      <c r="G430" s="16"/>
      <c r="H430" s="16"/>
      <c r="I430" s="17"/>
      <c r="J430" s="16"/>
      <c r="K430" s="16"/>
      <c r="L430" s="16"/>
      <c r="M430" s="16"/>
      <c r="N430" s="17"/>
      <c r="O430" s="17"/>
      <c r="P430" s="17"/>
      <c r="Q430" s="18"/>
    </row>
    <row r="431" spans="3:17">
      <c r="C431" s="15"/>
      <c r="D431" s="16"/>
      <c r="E431" s="16"/>
      <c r="F431" s="16"/>
      <c r="G431" s="16"/>
      <c r="H431" s="16"/>
      <c r="I431" s="17"/>
      <c r="J431" s="16"/>
      <c r="K431" s="16"/>
      <c r="L431" s="16"/>
      <c r="M431" s="16"/>
      <c r="N431" s="17"/>
      <c r="O431" s="17"/>
      <c r="P431" s="17"/>
      <c r="Q431" s="18"/>
    </row>
    <row r="432" spans="3:17">
      <c r="C432" s="15"/>
      <c r="D432" s="16"/>
      <c r="E432" s="16"/>
      <c r="F432" s="16"/>
      <c r="G432" s="16"/>
      <c r="H432" s="16"/>
      <c r="I432" s="17"/>
      <c r="J432" s="16"/>
      <c r="K432" s="16"/>
      <c r="L432" s="16"/>
      <c r="M432" s="16"/>
      <c r="N432" s="17"/>
      <c r="O432" s="17"/>
      <c r="P432" s="17"/>
      <c r="Q432" s="18"/>
    </row>
    <row r="433" spans="3:17">
      <c r="C433" s="15"/>
      <c r="D433" s="16"/>
      <c r="E433" s="16"/>
      <c r="F433" s="16"/>
      <c r="G433" s="16"/>
      <c r="H433" s="16"/>
      <c r="I433" s="17"/>
      <c r="J433" s="16"/>
      <c r="K433" s="16"/>
      <c r="L433" s="16"/>
      <c r="M433" s="16"/>
      <c r="N433" s="17"/>
      <c r="O433" s="17"/>
      <c r="P433" s="17"/>
      <c r="Q433" s="18"/>
    </row>
    <row r="434" spans="3:17">
      <c r="C434" s="15"/>
      <c r="D434" s="16"/>
      <c r="E434" s="16"/>
      <c r="F434" s="16"/>
      <c r="G434" s="16"/>
      <c r="H434" s="16"/>
      <c r="I434" s="17"/>
      <c r="J434" s="16"/>
      <c r="K434" s="16"/>
      <c r="L434" s="16"/>
      <c r="M434" s="16"/>
      <c r="N434" s="17"/>
      <c r="O434" s="17"/>
      <c r="P434" s="17"/>
      <c r="Q434" s="18"/>
    </row>
    <row r="435" spans="3:17">
      <c r="C435" s="15"/>
      <c r="D435" s="16"/>
      <c r="E435" s="16"/>
      <c r="F435" s="16"/>
      <c r="G435" s="16"/>
      <c r="H435" s="16"/>
      <c r="I435" s="17"/>
      <c r="J435" s="16"/>
      <c r="K435" s="16"/>
      <c r="L435" s="16"/>
      <c r="M435" s="16"/>
      <c r="N435" s="17"/>
      <c r="O435" s="17"/>
      <c r="P435" s="17"/>
      <c r="Q435" s="18"/>
    </row>
    <row r="436" spans="3:17">
      <c r="C436" s="15"/>
      <c r="D436" s="16"/>
      <c r="E436" s="16"/>
      <c r="F436" s="16"/>
      <c r="G436" s="16"/>
      <c r="H436" s="16"/>
      <c r="I436" s="17"/>
      <c r="J436" s="16"/>
      <c r="K436" s="16"/>
      <c r="L436" s="16"/>
      <c r="M436" s="16"/>
      <c r="N436" s="17"/>
      <c r="O436" s="17"/>
      <c r="P436" s="17"/>
      <c r="Q436" s="18"/>
    </row>
    <row r="437" spans="3:17">
      <c r="C437" s="15"/>
      <c r="D437" s="16"/>
      <c r="E437" s="16"/>
      <c r="F437" s="16"/>
      <c r="G437" s="16"/>
      <c r="H437" s="16"/>
      <c r="I437" s="17"/>
      <c r="J437" s="16"/>
      <c r="K437" s="16"/>
      <c r="L437" s="16"/>
      <c r="M437" s="16"/>
      <c r="N437" s="17"/>
      <c r="O437" s="17"/>
      <c r="P437" s="17"/>
      <c r="Q437" s="18"/>
    </row>
    <row r="438" spans="3:17">
      <c r="C438" s="15"/>
      <c r="D438" s="16"/>
      <c r="E438" s="16"/>
      <c r="F438" s="16"/>
      <c r="G438" s="16"/>
      <c r="H438" s="16"/>
      <c r="I438" s="17"/>
      <c r="J438" s="16"/>
      <c r="K438" s="16"/>
      <c r="L438" s="16"/>
      <c r="M438" s="16"/>
      <c r="N438" s="17"/>
      <c r="O438" s="17"/>
      <c r="P438" s="17"/>
      <c r="Q438" s="18"/>
    </row>
    <row r="439" spans="3:17">
      <c r="C439" s="15"/>
      <c r="D439" s="16"/>
      <c r="E439" s="16"/>
      <c r="F439" s="16"/>
      <c r="G439" s="16"/>
      <c r="H439" s="16"/>
      <c r="I439" s="17"/>
      <c r="J439" s="16"/>
      <c r="K439" s="16"/>
      <c r="L439" s="16"/>
      <c r="M439" s="16"/>
      <c r="N439" s="17"/>
      <c r="O439" s="17"/>
      <c r="P439" s="17"/>
      <c r="Q439" s="18"/>
    </row>
    <row r="440" spans="3:17">
      <c r="C440" s="15"/>
      <c r="D440" s="16"/>
      <c r="E440" s="16"/>
      <c r="F440" s="16"/>
      <c r="G440" s="16"/>
      <c r="H440" s="16"/>
      <c r="I440" s="17"/>
      <c r="J440" s="16"/>
      <c r="K440" s="16"/>
      <c r="L440" s="16"/>
      <c r="M440" s="16"/>
      <c r="N440" s="17"/>
      <c r="O440" s="17"/>
      <c r="P440" s="17"/>
      <c r="Q440" s="18"/>
    </row>
    <row r="441" spans="3:17">
      <c r="C441" s="15"/>
      <c r="D441" s="16"/>
      <c r="E441" s="16"/>
      <c r="F441" s="16"/>
      <c r="G441" s="16"/>
      <c r="H441" s="16"/>
      <c r="I441" s="17"/>
      <c r="J441" s="16"/>
      <c r="K441" s="16"/>
      <c r="L441" s="16"/>
      <c r="M441" s="16"/>
      <c r="N441" s="17"/>
      <c r="O441" s="17"/>
      <c r="P441" s="17"/>
      <c r="Q441" s="18"/>
    </row>
    <row r="442" spans="3:17">
      <c r="C442" s="15"/>
      <c r="D442" s="16"/>
      <c r="E442" s="16"/>
      <c r="F442" s="16"/>
      <c r="G442" s="16"/>
      <c r="H442" s="16"/>
      <c r="I442" s="17"/>
      <c r="J442" s="16"/>
      <c r="K442" s="16"/>
      <c r="L442" s="16"/>
      <c r="M442" s="16"/>
      <c r="N442" s="17"/>
      <c r="O442" s="17"/>
      <c r="P442" s="17"/>
      <c r="Q442" s="18"/>
    </row>
    <row r="443" spans="3:17">
      <c r="C443" s="15"/>
      <c r="D443" s="16"/>
      <c r="E443" s="16"/>
      <c r="F443" s="16"/>
      <c r="G443" s="16"/>
      <c r="H443" s="16"/>
      <c r="I443" s="17"/>
      <c r="J443" s="16"/>
      <c r="K443" s="16"/>
      <c r="L443" s="16"/>
      <c r="M443" s="16"/>
      <c r="N443" s="17"/>
      <c r="O443" s="17"/>
      <c r="P443" s="17"/>
      <c r="Q443" s="18"/>
    </row>
    <row r="444" spans="3:17">
      <c r="C444" s="15"/>
      <c r="D444" s="16"/>
      <c r="E444" s="16"/>
      <c r="F444" s="16"/>
      <c r="G444" s="16"/>
      <c r="H444" s="16"/>
      <c r="I444" s="17"/>
      <c r="J444" s="16"/>
      <c r="K444" s="16"/>
      <c r="L444" s="16"/>
      <c r="M444" s="16"/>
      <c r="N444" s="17"/>
      <c r="O444" s="17"/>
      <c r="P444" s="17"/>
      <c r="Q444" s="18"/>
    </row>
    <row r="445" spans="3:17">
      <c r="C445" s="15"/>
      <c r="D445" s="16"/>
      <c r="E445" s="16"/>
      <c r="F445" s="16"/>
      <c r="G445" s="16"/>
      <c r="H445" s="16"/>
      <c r="I445" s="17"/>
      <c r="J445" s="16"/>
      <c r="K445" s="16"/>
      <c r="L445" s="16"/>
      <c r="M445" s="16"/>
      <c r="N445" s="17"/>
      <c r="O445" s="17"/>
      <c r="P445" s="17"/>
      <c r="Q445" s="18"/>
    </row>
    <row r="446" spans="3:17">
      <c r="C446" s="15"/>
      <c r="D446" s="16"/>
      <c r="E446" s="16"/>
      <c r="F446" s="16"/>
      <c r="G446" s="16"/>
      <c r="H446" s="16"/>
      <c r="I446" s="17"/>
      <c r="J446" s="16"/>
      <c r="K446" s="16"/>
      <c r="L446" s="16"/>
      <c r="M446" s="16"/>
      <c r="N446" s="17"/>
      <c r="O446" s="17"/>
      <c r="P446" s="17"/>
      <c r="Q446" s="18"/>
    </row>
    <row r="447" spans="3:17">
      <c r="C447" s="15"/>
      <c r="D447" s="16"/>
      <c r="E447" s="16"/>
      <c r="F447" s="16"/>
      <c r="G447" s="16"/>
      <c r="H447" s="16"/>
      <c r="I447" s="17"/>
      <c r="J447" s="16"/>
      <c r="K447" s="16"/>
      <c r="L447" s="16"/>
      <c r="M447" s="16"/>
      <c r="N447" s="17"/>
      <c r="O447" s="17"/>
      <c r="P447" s="17"/>
      <c r="Q447" s="18"/>
    </row>
    <row r="448" spans="3:17">
      <c r="C448" s="15"/>
      <c r="D448" s="16"/>
      <c r="E448" s="16"/>
      <c r="F448" s="16"/>
      <c r="G448" s="16"/>
      <c r="H448" s="16"/>
      <c r="I448" s="17"/>
      <c r="J448" s="16"/>
      <c r="K448" s="16"/>
      <c r="L448" s="16"/>
      <c r="M448" s="16"/>
      <c r="N448" s="17"/>
      <c r="O448" s="17"/>
      <c r="P448" s="17"/>
      <c r="Q448" s="18"/>
    </row>
    <row r="449" spans="3:17">
      <c r="C449" s="15"/>
      <c r="D449" s="16"/>
      <c r="E449" s="16"/>
      <c r="F449" s="16"/>
      <c r="G449" s="16"/>
      <c r="H449" s="16"/>
      <c r="I449" s="17"/>
      <c r="J449" s="16"/>
      <c r="K449" s="16"/>
      <c r="L449" s="16"/>
      <c r="M449" s="16"/>
      <c r="N449" s="17"/>
      <c r="O449" s="17"/>
      <c r="P449" s="17"/>
      <c r="Q449" s="18"/>
    </row>
    <row r="450" spans="3:17">
      <c r="C450" s="15"/>
      <c r="D450" s="16"/>
      <c r="E450" s="16"/>
      <c r="F450" s="16"/>
      <c r="G450" s="16"/>
      <c r="H450" s="16"/>
      <c r="I450" s="17"/>
      <c r="J450" s="16"/>
      <c r="K450" s="16"/>
      <c r="L450" s="16"/>
      <c r="M450" s="16"/>
      <c r="N450" s="17"/>
      <c r="O450" s="17"/>
      <c r="P450" s="17"/>
      <c r="Q450" s="18"/>
    </row>
    <row r="451" spans="3:17">
      <c r="C451" s="15"/>
      <c r="D451" s="16"/>
      <c r="E451" s="16"/>
      <c r="F451" s="16"/>
      <c r="G451" s="16"/>
      <c r="H451" s="16"/>
      <c r="I451" s="17"/>
      <c r="J451" s="16"/>
      <c r="K451" s="16"/>
      <c r="L451" s="16"/>
      <c r="M451" s="16"/>
      <c r="N451" s="17"/>
      <c r="O451" s="17"/>
      <c r="P451" s="17"/>
      <c r="Q451" s="18"/>
    </row>
    <row r="452" spans="3:17">
      <c r="C452" s="15"/>
      <c r="D452" s="16"/>
      <c r="E452" s="16"/>
      <c r="F452" s="16"/>
      <c r="G452" s="16"/>
      <c r="H452" s="16"/>
      <c r="I452" s="17"/>
      <c r="J452" s="16"/>
      <c r="K452" s="16"/>
      <c r="L452" s="16"/>
      <c r="M452" s="16"/>
      <c r="N452" s="17"/>
      <c r="O452" s="17"/>
      <c r="P452" s="17"/>
      <c r="Q452" s="18"/>
    </row>
    <row r="453" spans="3:17">
      <c r="C453" s="15"/>
      <c r="D453" s="16"/>
      <c r="E453" s="16"/>
      <c r="F453" s="16"/>
      <c r="G453" s="16"/>
      <c r="H453" s="16"/>
      <c r="I453" s="17"/>
      <c r="J453" s="16"/>
      <c r="K453" s="16"/>
      <c r="L453" s="16"/>
      <c r="M453" s="16"/>
      <c r="N453" s="17"/>
      <c r="O453" s="17"/>
      <c r="P453" s="17"/>
      <c r="Q453" s="18"/>
    </row>
    <row r="454" spans="3:17">
      <c r="C454" s="15"/>
      <c r="D454" s="16"/>
      <c r="E454" s="16"/>
      <c r="F454" s="16"/>
      <c r="G454" s="16"/>
      <c r="H454" s="16"/>
      <c r="I454" s="17"/>
      <c r="J454" s="16"/>
      <c r="K454" s="16"/>
      <c r="L454" s="16"/>
      <c r="M454" s="16"/>
      <c r="N454" s="17"/>
      <c r="O454" s="17"/>
      <c r="P454" s="17"/>
      <c r="Q454" s="18"/>
    </row>
    <row r="455" spans="3:17">
      <c r="C455" s="15"/>
      <c r="D455" s="16"/>
      <c r="E455" s="16"/>
      <c r="F455" s="16"/>
      <c r="G455" s="16"/>
      <c r="H455" s="16"/>
      <c r="I455" s="17"/>
      <c r="J455" s="16"/>
      <c r="K455" s="16"/>
      <c r="L455" s="16"/>
      <c r="M455" s="16"/>
      <c r="N455" s="17"/>
      <c r="O455" s="17"/>
      <c r="P455" s="17"/>
      <c r="Q455" s="18"/>
    </row>
    <row r="456" spans="3:17">
      <c r="C456" s="15"/>
      <c r="D456" s="16"/>
      <c r="E456" s="16"/>
      <c r="F456" s="16"/>
      <c r="G456" s="16"/>
      <c r="H456" s="16"/>
      <c r="I456" s="17"/>
      <c r="J456" s="16"/>
      <c r="K456" s="16"/>
      <c r="L456" s="16"/>
      <c r="M456" s="16"/>
      <c r="N456" s="17"/>
      <c r="O456" s="17"/>
      <c r="P456" s="17"/>
      <c r="Q456" s="18"/>
    </row>
    <row r="457" spans="3:17">
      <c r="C457" s="15"/>
      <c r="D457" s="16"/>
      <c r="E457" s="16"/>
      <c r="F457" s="16"/>
      <c r="G457" s="16"/>
      <c r="H457" s="16"/>
      <c r="I457" s="17"/>
      <c r="J457" s="16"/>
      <c r="K457" s="16"/>
      <c r="L457" s="16"/>
      <c r="M457" s="16"/>
      <c r="N457" s="17"/>
      <c r="O457" s="17"/>
      <c r="P457" s="17"/>
      <c r="Q457" s="18"/>
    </row>
    <row r="458" spans="3:17">
      <c r="C458" s="15"/>
      <c r="D458" s="16"/>
      <c r="E458" s="16"/>
      <c r="F458" s="16"/>
      <c r="G458" s="16"/>
      <c r="H458" s="16"/>
      <c r="I458" s="17"/>
      <c r="J458" s="16"/>
      <c r="K458" s="16"/>
      <c r="L458" s="16"/>
      <c r="M458" s="16"/>
      <c r="N458" s="17"/>
      <c r="O458" s="17"/>
      <c r="P458" s="17"/>
      <c r="Q458" s="18"/>
    </row>
    <row r="459" spans="3:17">
      <c r="C459" s="15"/>
      <c r="D459" s="16"/>
      <c r="E459" s="16"/>
      <c r="F459" s="16"/>
      <c r="G459" s="16"/>
      <c r="H459" s="16"/>
      <c r="I459" s="17"/>
      <c r="J459" s="16"/>
      <c r="K459" s="16"/>
      <c r="L459" s="16"/>
      <c r="M459" s="16"/>
      <c r="N459" s="17"/>
      <c r="O459" s="17"/>
      <c r="P459" s="17"/>
      <c r="Q459" s="18"/>
    </row>
    <row r="460" spans="3:17">
      <c r="C460" s="15"/>
      <c r="D460" s="16"/>
      <c r="E460" s="16"/>
      <c r="F460" s="16"/>
      <c r="G460" s="16"/>
      <c r="H460" s="16"/>
      <c r="I460" s="17"/>
      <c r="J460" s="16"/>
      <c r="K460" s="16"/>
      <c r="L460" s="16"/>
      <c r="M460" s="16"/>
      <c r="N460" s="17"/>
      <c r="O460" s="17"/>
      <c r="P460" s="17"/>
      <c r="Q460" s="18"/>
    </row>
    <row r="461" spans="3:17">
      <c r="C461" s="15"/>
      <c r="D461" s="16"/>
      <c r="E461" s="16"/>
      <c r="F461" s="16"/>
      <c r="G461" s="16"/>
      <c r="H461" s="16"/>
      <c r="I461" s="17"/>
      <c r="J461" s="16"/>
      <c r="K461" s="16"/>
      <c r="L461" s="16"/>
      <c r="M461" s="16"/>
      <c r="N461" s="17"/>
      <c r="O461" s="17"/>
      <c r="P461" s="17"/>
      <c r="Q461" s="18"/>
    </row>
    <row r="462" spans="3:17">
      <c r="C462" s="15"/>
      <c r="D462" s="16"/>
      <c r="E462" s="16"/>
      <c r="F462" s="16"/>
      <c r="G462" s="16"/>
      <c r="H462" s="16"/>
      <c r="I462" s="17"/>
      <c r="J462" s="16"/>
      <c r="K462" s="16"/>
      <c r="L462" s="16"/>
      <c r="M462" s="16"/>
      <c r="N462" s="17"/>
      <c r="O462" s="17"/>
      <c r="P462" s="17"/>
      <c r="Q462" s="18"/>
    </row>
    <row r="463" spans="3:17">
      <c r="C463" s="15"/>
      <c r="D463" s="16"/>
      <c r="E463" s="16"/>
      <c r="F463" s="16"/>
      <c r="G463" s="16"/>
      <c r="H463" s="16"/>
      <c r="I463" s="17"/>
      <c r="J463" s="16"/>
      <c r="K463" s="16"/>
      <c r="L463" s="16"/>
      <c r="M463" s="16"/>
      <c r="N463" s="17"/>
      <c r="O463" s="17"/>
      <c r="P463" s="17"/>
      <c r="Q463" s="18"/>
    </row>
    <row r="464" spans="3:17">
      <c r="C464" s="15"/>
      <c r="D464" s="16"/>
      <c r="E464" s="16"/>
      <c r="F464" s="16"/>
      <c r="G464" s="16"/>
      <c r="H464" s="16"/>
      <c r="I464" s="17"/>
      <c r="J464" s="16"/>
      <c r="K464" s="16"/>
      <c r="L464" s="16"/>
      <c r="M464" s="16"/>
      <c r="N464" s="17"/>
      <c r="O464" s="17"/>
      <c r="P464" s="17"/>
      <c r="Q464" s="18"/>
    </row>
    <row r="465" spans="3:17">
      <c r="C465" s="15"/>
      <c r="D465" s="16"/>
      <c r="E465" s="16"/>
      <c r="F465" s="16"/>
      <c r="G465" s="16"/>
      <c r="H465" s="16"/>
      <c r="I465" s="17"/>
      <c r="J465" s="16"/>
      <c r="K465" s="16"/>
      <c r="L465" s="16"/>
      <c r="M465" s="16"/>
      <c r="N465" s="17"/>
      <c r="O465" s="17"/>
      <c r="P465" s="17"/>
      <c r="Q465" s="18"/>
    </row>
    <row r="466" spans="3:17">
      <c r="C466" s="15"/>
      <c r="D466" s="16"/>
      <c r="E466" s="16"/>
      <c r="F466" s="16"/>
      <c r="G466" s="16"/>
      <c r="H466" s="16"/>
      <c r="I466" s="17"/>
      <c r="J466" s="16"/>
      <c r="K466" s="16"/>
      <c r="L466" s="16"/>
      <c r="M466" s="16"/>
      <c r="N466" s="17"/>
      <c r="O466" s="17"/>
      <c r="P466" s="17"/>
      <c r="Q466" s="18"/>
    </row>
    <row r="467" spans="3:17">
      <c r="C467" s="15"/>
      <c r="D467" s="16"/>
      <c r="E467" s="16"/>
      <c r="F467" s="16"/>
      <c r="G467" s="16"/>
      <c r="H467" s="16"/>
      <c r="I467" s="17"/>
      <c r="J467" s="16"/>
      <c r="K467" s="16"/>
      <c r="L467" s="16"/>
      <c r="M467" s="16"/>
      <c r="N467" s="17"/>
      <c r="O467" s="17"/>
      <c r="P467" s="17"/>
      <c r="Q467" s="18"/>
    </row>
    <row r="468" spans="3:17">
      <c r="C468" s="15"/>
      <c r="D468" s="16"/>
      <c r="E468" s="16"/>
      <c r="F468" s="16"/>
      <c r="G468" s="16"/>
      <c r="H468" s="16"/>
      <c r="I468" s="17"/>
      <c r="J468" s="16"/>
      <c r="K468" s="16"/>
      <c r="L468" s="16"/>
      <c r="M468" s="16"/>
      <c r="N468" s="17"/>
      <c r="O468" s="17"/>
      <c r="P468" s="17"/>
      <c r="Q468" s="18"/>
    </row>
    <row r="469" spans="3:17">
      <c r="C469" s="15"/>
      <c r="D469" s="16"/>
      <c r="E469" s="16"/>
      <c r="F469" s="16"/>
      <c r="G469" s="16"/>
      <c r="H469" s="16"/>
      <c r="I469" s="17"/>
      <c r="J469" s="16"/>
      <c r="K469" s="16"/>
      <c r="L469" s="16"/>
      <c r="M469" s="16"/>
      <c r="N469" s="17"/>
      <c r="O469" s="17"/>
      <c r="P469" s="17"/>
      <c r="Q469" s="18"/>
    </row>
    <row r="470" spans="3:17">
      <c r="C470" s="15"/>
      <c r="D470" s="16"/>
      <c r="E470" s="16"/>
      <c r="F470" s="16"/>
      <c r="G470" s="16"/>
      <c r="H470" s="16"/>
      <c r="I470" s="17"/>
      <c r="J470" s="16"/>
      <c r="K470" s="16"/>
      <c r="L470" s="16"/>
      <c r="M470" s="16"/>
      <c r="N470" s="17"/>
      <c r="O470" s="17"/>
      <c r="P470" s="17"/>
      <c r="Q470" s="18"/>
    </row>
    <row r="471" spans="3:17">
      <c r="C471" s="15"/>
      <c r="D471" s="16"/>
      <c r="E471" s="16"/>
      <c r="F471" s="16"/>
      <c r="G471" s="16"/>
      <c r="H471" s="16"/>
      <c r="I471" s="17"/>
      <c r="J471" s="16"/>
      <c r="K471" s="16"/>
      <c r="L471" s="16"/>
      <c r="M471" s="16"/>
      <c r="N471" s="17"/>
      <c r="O471" s="17"/>
      <c r="P471" s="17"/>
      <c r="Q471" s="18"/>
    </row>
    <row r="472" spans="3:17">
      <c r="C472" s="15"/>
      <c r="D472" s="16"/>
      <c r="E472" s="16"/>
      <c r="F472" s="16"/>
      <c r="G472" s="16"/>
      <c r="H472" s="16"/>
      <c r="I472" s="17"/>
      <c r="J472" s="16"/>
      <c r="K472" s="16"/>
      <c r="L472" s="16"/>
      <c r="M472" s="16"/>
      <c r="N472" s="17"/>
      <c r="O472" s="17"/>
      <c r="P472" s="17"/>
      <c r="Q472" s="18"/>
    </row>
    <row r="473" spans="3:17">
      <c r="C473" s="15"/>
      <c r="D473" s="16"/>
      <c r="E473" s="16"/>
      <c r="F473" s="16"/>
      <c r="G473" s="16"/>
      <c r="H473" s="16"/>
      <c r="I473" s="17"/>
      <c r="J473" s="16"/>
      <c r="K473" s="16"/>
      <c r="L473" s="16"/>
      <c r="M473" s="16"/>
      <c r="N473" s="17"/>
      <c r="O473" s="17"/>
      <c r="P473" s="17"/>
      <c r="Q473" s="18"/>
    </row>
    <row r="474" spans="3:17">
      <c r="C474" s="15"/>
      <c r="D474" s="16"/>
      <c r="E474" s="16"/>
      <c r="F474" s="16"/>
      <c r="G474" s="16"/>
      <c r="H474" s="16"/>
      <c r="I474" s="17"/>
      <c r="J474" s="16"/>
      <c r="K474" s="16"/>
      <c r="L474" s="16"/>
      <c r="M474" s="16"/>
      <c r="N474" s="17"/>
      <c r="O474" s="17"/>
      <c r="P474" s="17"/>
      <c r="Q474" s="18"/>
    </row>
    <row r="475" spans="3:17">
      <c r="C475" s="15"/>
      <c r="D475" s="16"/>
      <c r="E475" s="16"/>
      <c r="F475" s="16"/>
      <c r="G475" s="16"/>
      <c r="H475" s="16"/>
      <c r="I475" s="17"/>
      <c r="J475" s="16"/>
      <c r="K475" s="16"/>
      <c r="L475" s="16"/>
      <c r="M475" s="16"/>
      <c r="N475" s="17"/>
      <c r="O475" s="17"/>
      <c r="P475" s="17"/>
      <c r="Q475" s="18"/>
    </row>
    <row r="476" spans="3:17">
      <c r="C476" s="15"/>
      <c r="D476" s="16"/>
      <c r="E476" s="16"/>
      <c r="F476" s="16"/>
      <c r="G476" s="16"/>
      <c r="H476" s="16"/>
      <c r="I476" s="17"/>
      <c r="J476" s="16"/>
      <c r="K476" s="16"/>
      <c r="L476" s="16"/>
      <c r="M476" s="16"/>
      <c r="N476" s="17"/>
      <c r="O476" s="17"/>
      <c r="P476" s="17"/>
      <c r="Q476" s="18"/>
    </row>
    <row r="477" spans="3:17">
      <c r="C477" s="15"/>
      <c r="D477" s="16"/>
      <c r="E477" s="16"/>
      <c r="F477" s="16"/>
      <c r="G477" s="16"/>
      <c r="H477" s="16"/>
      <c r="I477" s="17"/>
      <c r="J477" s="16"/>
      <c r="K477" s="16"/>
      <c r="L477" s="16"/>
      <c r="M477" s="16"/>
      <c r="N477" s="17"/>
      <c r="O477" s="17"/>
      <c r="P477" s="17"/>
      <c r="Q477" s="18"/>
    </row>
    <row r="478" spans="3:17">
      <c r="C478" s="15"/>
      <c r="D478" s="16"/>
      <c r="E478" s="16"/>
      <c r="F478" s="16"/>
      <c r="G478" s="16"/>
      <c r="H478" s="16"/>
      <c r="I478" s="17"/>
      <c r="J478" s="16"/>
      <c r="K478" s="16"/>
      <c r="L478" s="16"/>
      <c r="M478" s="16"/>
      <c r="N478" s="17"/>
      <c r="O478" s="17"/>
      <c r="P478" s="17"/>
      <c r="Q478" s="18"/>
    </row>
    <row r="479" spans="3:17">
      <c r="C479" s="15"/>
      <c r="D479" s="16"/>
      <c r="E479" s="16"/>
      <c r="F479" s="16"/>
      <c r="G479" s="16"/>
      <c r="H479" s="16"/>
      <c r="I479" s="17"/>
      <c r="J479" s="16"/>
      <c r="K479" s="16"/>
      <c r="L479" s="16"/>
      <c r="M479" s="16"/>
      <c r="N479" s="17"/>
      <c r="O479" s="17"/>
      <c r="P479" s="17"/>
      <c r="Q479" s="18"/>
    </row>
    <row r="480" spans="3:17">
      <c r="C480" s="15"/>
      <c r="D480" s="16"/>
      <c r="E480" s="16"/>
      <c r="F480" s="16"/>
      <c r="G480" s="16"/>
      <c r="H480" s="16"/>
      <c r="I480" s="17"/>
      <c r="J480" s="16"/>
      <c r="K480" s="16"/>
      <c r="L480" s="16"/>
      <c r="M480" s="16"/>
      <c r="N480" s="17"/>
      <c r="O480" s="17"/>
      <c r="P480" s="17"/>
      <c r="Q480" s="18"/>
    </row>
    <row r="481" spans="3:17">
      <c r="C481" s="15"/>
      <c r="D481" s="16"/>
      <c r="E481" s="16"/>
      <c r="F481" s="16"/>
      <c r="G481" s="16"/>
      <c r="H481" s="16"/>
      <c r="I481" s="17"/>
      <c r="J481" s="16"/>
      <c r="K481" s="16"/>
      <c r="L481" s="16"/>
      <c r="M481" s="16"/>
      <c r="N481" s="17"/>
      <c r="O481" s="17"/>
      <c r="P481" s="17"/>
      <c r="Q481" s="18"/>
    </row>
    <row r="482" spans="3:17">
      <c r="C482" s="15"/>
      <c r="D482" s="16"/>
      <c r="E482" s="16"/>
      <c r="F482" s="16"/>
      <c r="G482" s="16"/>
      <c r="H482" s="16"/>
      <c r="I482" s="17"/>
      <c r="J482" s="16"/>
      <c r="K482" s="16"/>
      <c r="L482" s="16"/>
      <c r="M482" s="16"/>
      <c r="N482" s="17"/>
      <c r="O482" s="17"/>
      <c r="P482" s="17"/>
      <c r="Q482" s="18"/>
    </row>
    <row r="483" spans="3:17">
      <c r="C483" s="15"/>
      <c r="D483" s="16"/>
      <c r="E483" s="16"/>
      <c r="F483" s="16"/>
      <c r="G483" s="16"/>
      <c r="H483" s="16"/>
      <c r="I483" s="17"/>
      <c r="J483" s="16"/>
      <c r="K483" s="16"/>
      <c r="L483" s="16"/>
      <c r="M483" s="16"/>
      <c r="N483" s="17"/>
      <c r="O483" s="17"/>
      <c r="P483" s="17"/>
      <c r="Q483" s="18"/>
    </row>
    <row r="484" spans="3:17">
      <c r="C484" s="15"/>
      <c r="D484" s="16"/>
      <c r="E484" s="16"/>
      <c r="F484" s="16"/>
      <c r="G484" s="16"/>
      <c r="H484" s="16"/>
      <c r="I484" s="17"/>
      <c r="J484" s="16"/>
      <c r="K484" s="16"/>
      <c r="L484" s="16"/>
      <c r="M484" s="16"/>
      <c r="N484" s="17"/>
      <c r="O484" s="17"/>
      <c r="P484" s="17"/>
      <c r="Q484" s="18"/>
    </row>
    <row r="485" spans="3:17">
      <c r="C485" s="15"/>
      <c r="D485" s="16"/>
      <c r="E485" s="16"/>
      <c r="F485" s="16"/>
      <c r="G485" s="16"/>
      <c r="H485" s="16"/>
      <c r="I485" s="17"/>
      <c r="J485" s="16"/>
      <c r="K485" s="16"/>
      <c r="L485" s="16"/>
      <c r="M485" s="16"/>
      <c r="N485" s="17"/>
      <c r="O485" s="17"/>
      <c r="P485" s="17"/>
      <c r="Q485" s="18"/>
    </row>
    <row r="486" spans="3:17">
      <c r="C486" s="15"/>
      <c r="D486" s="16"/>
      <c r="E486" s="16"/>
      <c r="F486" s="16"/>
      <c r="G486" s="16"/>
      <c r="H486" s="16"/>
      <c r="I486" s="17"/>
      <c r="J486" s="16"/>
      <c r="K486" s="16"/>
      <c r="L486" s="16"/>
      <c r="M486" s="16"/>
      <c r="N486" s="17"/>
      <c r="O486" s="17"/>
      <c r="P486" s="17"/>
      <c r="Q486" s="18"/>
    </row>
    <row r="487" spans="3:17">
      <c r="C487" s="15"/>
      <c r="D487" s="16"/>
      <c r="E487" s="16"/>
      <c r="F487" s="16"/>
      <c r="G487" s="16"/>
      <c r="H487" s="16"/>
      <c r="I487" s="17"/>
      <c r="J487" s="16"/>
      <c r="K487" s="16"/>
      <c r="L487" s="16"/>
      <c r="M487" s="16"/>
      <c r="N487" s="17"/>
      <c r="O487" s="17"/>
      <c r="P487" s="17"/>
      <c r="Q487" s="18"/>
    </row>
    <row r="488" spans="3:17">
      <c r="C488" s="15"/>
      <c r="D488" s="16"/>
      <c r="E488" s="16"/>
      <c r="F488" s="16"/>
      <c r="G488" s="16"/>
      <c r="H488" s="16"/>
      <c r="I488" s="17"/>
      <c r="J488" s="16"/>
      <c r="K488" s="16"/>
      <c r="L488" s="16"/>
      <c r="M488" s="16"/>
      <c r="N488" s="17"/>
      <c r="O488" s="17"/>
      <c r="P488" s="17"/>
      <c r="Q488" s="18"/>
    </row>
    <row r="489" spans="3:17">
      <c r="C489" s="15"/>
      <c r="D489" s="16"/>
      <c r="E489" s="16"/>
      <c r="F489" s="16"/>
      <c r="G489" s="16"/>
      <c r="H489" s="16"/>
      <c r="I489" s="17"/>
      <c r="J489" s="16"/>
      <c r="K489" s="16"/>
      <c r="L489" s="16"/>
      <c r="M489" s="16"/>
      <c r="N489" s="17"/>
      <c r="O489" s="17"/>
      <c r="P489" s="17"/>
      <c r="Q489" s="18"/>
    </row>
    <row r="490" spans="3:17">
      <c r="C490" s="15"/>
      <c r="D490" s="16"/>
      <c r="E490" s="16"/>
      <c r="F490" s="16"/>
      <c r="G490" s="16"/>
      <c r="H490" s="16"/>
      <c r="I490" s="17"/>
      <c r="J490" s="16"/>
      <c r="K490" s="16"/>
      <c r="L490" s="16"/>
      <c r="M490" s="16"/>
      <c r="N490" s="17"/>
      <c r="O490" s="17"/>
      <c r="P490" s="17"/>
      <c r="Q490" s="18"/>
    </row>
    <row r="491" spans="3:17">
      <c r="C491" s="15"/>
      <c r="D491" s="16"/>
      <c r="E491" s="16"/>
      <c r="F491" s="16"/>
      <c r="G491" s="16"/>
      <c r="H491" s="16"/>
      <c r="I491" s="17"/>
      <c r="J491" s="16"/>
      <c r="K491" s="16"/>
      <c r="L491" s="16"/>
      <c r="M491" s="16"/>
      <c r="N491" s="17"/>
      <c r="O491" s="17"/>
      <c r="P491" s="17"/>
      <c r="Q491" s="18"/>
    </row>
    <row r="492" spans="3:17">
      <c r="C492" s="15"/>
      <c r="D492" s="16"/>
      <c r="E492" s="16"/>
      <c r="F492" s="16"/>
      <c r="G492" s="16"/>
      <c r="H492" s="16"/>
      <c r="I492" s="17"/>
      <c r="J492" s="16"/>
      <c r="K492" s="16"/>
      <c r="L492" s="16"/>
      <c r="M492" s="16"/>
      <c r="N492" s="17"/>
      <c r="O492" s="17"/>
      <c r="P492" s="17"/>
      <c r="Q492" s="18"/>
    </row>
    <row r="493" spans="3:17">
      <c r="C493" s="15"/>
      <c r="D493" s="16"/>
      <c r="E493" s="16"/>
      <c r="F493" s="16"/>
      <c r="G493" s="16"/>
      <c r="H493" s="16"/>
      <c r="I493" s="17"/>
      <c r="J493" s="16"/>
      <c r="K493" s="16"/>
      <c r="L493" s="16"/>
      <c r="M493" s="16"/>
      <c r="N493" s="17"/>
      <c r="O493" s="17"/>
      <c r="P493" s="17"/>
      <c r="Q493" s="18"/>
    </row>
    <row r="494" spans="3:17">
      <c r="C494" s="15"/>
      <c r="D494" s="16"/>
      <c r="E494" s="16"/>
      <c r="F494" s="16"/>
      <c r="G494" s="16"/>
      <c r="H494" s="16"/>
      <c r="I494" s="17"/>
      <c r="J494" s="16"/>
      <c r="K494" s="16"/>
      <c r="L494" s="16"/>
      <c r="M494" s="16"/>
      <c r="N494" s="17"/>
      <c r="O494" s="17"/>
      <c r="P494" s="17"/>
      <c r="Q494" s="18"/>
    </row>
    <row r="495" spans="3:17">
      <c r="C495" s="15"/>
      <c r="D495" s="16"/>
      <c r="E495" s="16"/>
      <c r="F495" s="16"/>
      <c r="G495" s="16"/>
      <c r="H495" s="16"/>
      <c r="I495" s="17"/>
      <c r="J495" s="16"/>
      <c r="K495" s="16"/>
      <c r="L495" s="16"/>
      <c r="M495" s="16"/>
      <c r="N495" s="17"/>
      <c r="O495" s="17"/>
      <c r="P495" s="17"/>
      <c r="Q495" s="18"/>
    </row>
    <row r="496" spans="3:17">
      <c r="C496" s="15"/>
      <c r="D496" s="16"/>
      <c r="E496" s="16"/>
      <c r="F496" s="16"/>
      <c r="G496" s="16"/>
      <c r="H496" s="16"/>
      <c r="I496" s="17"/>
      <c r="J496" s="16"/>
      <c r="K496" s="16"/>
      <c r="L496" s="16"/>
      <c r="M496" s="16"/>
      <c r="N496" s="17"/>
      <c r="O496" s="17"/>
      <c r="P496" s="17"/>
      <c r="Q496" s="18"/>
    </row>
    <row r="497" spans="3:17">
      <c r="C497" s="15"/>
      <c r="D497" s="16"/>
      <c r="E497" s="16"/>
      <c r="F497" s="16"/>
      <c r="G497" s="16"/>
      <c r="H497" s="16"/>
      <c r="I497" s="17"/>
      <c r="J497" s="16"/>
      <c r="K497" s="16"/>
      <c r="L497" s="16"/>
      <c r="M497" s="16"/>
      <c r="N497" s="17"/>
      <c r="O497" s="17"/>
      <c r="P497" s="17"/>
      <c r="Q497" s="18"/>
    </row>
    <row r="498" spans="3:17">
      <c r="C498" s="15"/>
      <c r="D498" s="16"/>
      <c r="E498" s="16"/>
      <c r="F498" s="16"/>
      <c r="G498" s="16"/>
      <c r="H498" s="16"/>
      <c r="I498" s="17"/>
      <c r="J498" s="16"/>
      <c r="K498" s="16"/>
      <c r="L498" s="16"/>
      <c r="M498" s="16"/>
      <c r="N498" s="17"/>
      <c r="O498" s="17"/>
      <c r="P498" s="17"/>
      <c r="Q498" s="18"/>
    </row>
    <row r="499" spans="3:17">
      <c r="C499" s="15"/>
      <c r="D499" s="16"/>
      <c r="E499" s="16"/>
      <c r="F499" s="16"/>
      <c r="G499" s="16"/>
      <c r="H499" s="16"/>
      <c r="I499" s="17"/>
      <c r="J499" s="16"/>
      <c r="K499" s="16"/>
      <c r="L499" s="16"/>
      <c r="M499" s="16"/>
      <c r="N499" s="17"/>
      <c r="O499" s="17"/>
      <c r="P499" s="17"/>
      <c r="Q499" s="18"/>
    </row>
    <row r="500" spans="3:17">
      <c r="C500" s="15"/>
      <c r="D500" s="16"/>
      <c r="E500" s="16"/>
      <c r="F500" s="16"/>
      <c r="G500" s="16"/>
      <c r="H500" s="16"/>
      <c r="I500" s="17"/>
      <c r="J500" s="16"/>
      <c r="K500" s="16"/>
      <c r="L500" s="16"/>
      <c r="M500" s="16"/>
      <c r="N500" s="17"/>
      <c r="O500" s="17"/>
      <c r="P500" s="17"/>
      <c r="Q500" s="18"/>
    </row>
    <row r="501" spans="3:17">
      <c r="C501" s="15"/>
      <c r="D501" s="16"/>
      <c r="E501" s="16"/>
      <c r="F501" s="16"/>
      <c r="G501" s="16"/>
      <c r="H501" s="16"/>
      <c r="I501" s="17"/>
      <c r="J501" s="16"/>
      <c r="K501" s="16"/>
      <c r="L501" s="16"/>
      <c r="M501" s="16"/>
      <c r="N501" s="17"/>
      <c r="O501" s="17"/>
      <c r="P501" s="17"/>
      <c r="Q501" s="18"/>
    </row>
    <row r="502" spans="3:17">
      <c r="C502" s="15"/>
      <c r="D502" s="16"/>
      <c r="E502" s="16"/>
      <c r="F502" s="16"/>
      <c r="G502" s="16"/>
      <c r="H502" s="16"/>
      <c r="I502" s="17"/>
      <c r="J502" s="16"/>
      <c r="K502" s="16"/>
      <c r="L502" s="16"/>
      <c r="M502" s="16"/>
      <c r="N502" s="17"/>
      <c r="O502" s="17"/>
      <c r="P502" s="17"/>
      <c r="Q502" s="18"/>
    </row>
    <row r="503" spans="3:17">
      <c r="C503" s="15"/>
      <c r="D503" s="16"/>
      <c r="E503" s="16"/>
      <c r="F503" s="16"/>
      <c r="G503" s="16"/>
      <c r="H503" s="16"/>
      <c r="I503" s="17"/>
      <c r="J503" s="16"/>
      <c r="K503" s="16"/>
      <c r="L503" s="16"/>
      <c r="M503" s="16"/>
      <c r="N503" s="17"/>
      <c r="O503" s="17"/>
      <c r="P503" s="17"/>
      <c r="Q503" s="18"/>
    </row>
    <row r="504" spans="3:17">
      <c r="C504" s="15"/>
      <c r="D504" s="16"/>
      <c r="E504" s="16"/>
      <c r="F504" s="16"/>
      <c r="G504" s="16"/>
      <c r="H504" s="16"/>
      <c r="I504" s="17"/>
      <c r="J504" s="16"/>
      <c r="K504" s="16"/>
      <c r="L504" s="16"/>
      <c r="M504" s="16"/>
      <c r="N504" s="17"/>
      <c r="O504" s="17"/>
      <c r="P504" s="17"/>
      <c r="Q504" s="18"/>
    </row>
    <row r="505" spans="3:17">
      <c r="C505" s="15"/>
      <c r="D505" s="16"/>
      <c r="E505" s="16"/>
      <c r="F505" s="16"/>
      <c r="G505" s="16"/>
      <c r="H505" s="16"/>
      <c r="I505" s="17"/>
      <c r="J505" s="16"/>
      <c r="K505" s="16"/>
      <c r="L505" s="16"/>
      <c r="M505" s="16"/>
      <c r="N505" s="17"/>
      <c r="O505" s="17"/>
      <c r="P505" s="17"/>
      <c r="Q505" s="18"/>
    </row>
    <row r="506" spans="3:17">
      <c r="C506" s="15"/>
      <c r="D506" s="16"/>
      <c r="E506" s="16"/>
      <c r="F506" s="16"/>
      <c r="G506" s="16"/>
      <c r="H506" s="16"/>
      <c r="I506" s="17"/>
      <c r="J506" s="16"/>
      <c r="K506" s="16"/>
      <c r="L506" s="16"/>
      <c r="M506" s="16"/>
      <c r="N506" s="17"/>
      <c r="O506" s="17"/>
      <c r="P506" s="17"/>
      <c r="Q506" s="18"/>
    </row>
    <row r="507" spans="3:17">
      <c r="C507" s="15"/>
      <c r="D507" s="16"/>
      <c r="E507" s="16"/>
      <c r="F507" s="16"/>
      <c r="G507" s="16"/>
      <c r="H507" s="16"/>
      <c r="I507" s="17"/>
      <c r="J507" s="16"/>
      <c r="K507" s="16"/>
      <c r="L507" s="16"/>
      <c r="M507" s="16"/>
      <c r="N507" s="17"/>
      <c r="O507" s="17"/>
      <c r="P507" s="17"/>
      <c r="Q507" s="18"/>
    </row>
    <row r="508" spans="3:17">
      <c r="C508" s="15"/>
      <c r="D508" s="16"/>
      <c r="E508" s="16"/>
      <c r="F508" s="16"/>
      <c r="G508" s="16"/>
      <c r="H508" s="16"/>
      <c r="I508" s="17"/>
      <c r="J508" s="16"/>
      <c r="K508" s="16"/>
      <c r="L508" s="16"/>
      <c r="M508" s="16"/>
      <c r="N508" s="17"/>
      <c r="O508" s="17"/>
      <c r="P508" s="17"/>
      <c r="Q508" s="18"/>
    </row>
    <row r="509" spans="3:17">
      <c r="C509" s="15"/>
      <c r="D509" s="16"/>
      <c r="E509" s="16"/>
      <c r="F509" s="16"/>
      <c r="G509" s="16"/>
      <c r="H509" s="16"/>
      <c r="I509" s="17"/>
      <c r="J509" s="16"/>
      <c r="K509" s="16"/>
      <c r="L509" s="16"/>
      <c r="M509" s="16"/>
      <c r="N509" s="17"/>
      <c r="O509" s="17"/>
      <c r="P509" s="17"/>
      <c r="Q509" s="18"/>
    </row>
    <row r="510" spans="3:17">
      <c r="C510" s="15"/>
      <c r="D510" s="16"/>
      <c r="E510" s="16"/>
      <c r="F510" s="16"/>
      <c r="G510" s="16"/>
      <c r="H510" s="16"/>
      <c r="I510" s="17"/>
      <c r="J510" s="16"/>
      <c r="K510" s="16"/>
      <c r="L510" s="16"/>
      <c r="M510" s="16"/>
      <c r="N510" s="17"/>
      <c r="O510" s="17"/>
      <c r="P510" s="17"/>
      <c r="Q510" s="18"/>
    </row>
    <row r="511" spans="3:17">
      <c r="C511" s="15"/>
      <c r="D511" s="16"/>
      <c r="E511" s="16"/>
      <c r="F511" s="16"/>
      <c r="G511" s="16"/>
      <c r="H511" s="16"/>
      <c r="I511" s="17"/>
      <c r="J511" s="16"/>
      <c r="K511" s="16"/>
      <c r="L511" s="16"/>
      <c r="M511" s="16"/>
      <c r="N511" s="17"/>
      <c r="O511" s="17"/>
      <c r="P511" s="17"/>
      <c r="Q511" s="18"/>
    </row>
    <row r="512" spans="3:17">
      <c r="C512" s="15"/>
      <c r="D512" s="16"/>
      <c r="E512" s="16"/>
      <c r="F512" s="16"/>
      <c r="G512" s="16"/>
      <c r="H512" s="16"/>
      <c r="I512" s="17"/>
      <c r="J512" s="16"/>
      <c r="K512" s="16"/>
      <c r="L512" s="16"/>
      <c r="M512" s="16"/>
      <c r="N512" s="17"/>
      <c r="O512" s="17"/>
      <c r="P512" s="17"/>
      <c r="Q512" s="18"/>
    </row>
    <row r="513" spans="3:17">
      <c r="C513" s="15"/>
      <c r="D513" s="16"/>
      <c r="E513" s="16"/>
      <c r="F513" s="16"/>
      <c r="G513" s="16"/>
      <c r="H513" s="16"/>
      <c r="I513" s="17"/>
      <c r="J513" s="16"/>
      <c r="K513" s="16"/>
      <c r="L513" s="16"/>
      <c r="M513" s="16"/>
      <c r="N513" s="17"/>
      <c r="O513" s="17"/>
      <c r="P513" s="17"/>
      <c r="Q513" s="18"/>
    </row>
    <row r="514" spans="3:17">
      <c r="C514" s="15"/>
      <c r="D514" s="16"/>
      <c r="E514" s="16"/>
      <c r="F514" s="16"/>
      <c r="G514" s="16"/>
      <c r="H514" s="16"/>
      <c r="I514" s="17"/>
      <c r="J514" s="16"/>
      <c r="K514" s="16"/>
      <c r="L514" s="16"/>
      <c r="M514" s="16"/>
      <c r="N514" s="17"/>
      <c r="O514" s="17"/>
      <c r="P514" s="17"/>
      <c r="Q514" s="18"/>
    </row>
    <row r="515" spans="3:17">
      <c r="C515" s="15"/>
      <c r="D515" s="16"/>
      <c r="E515" s="16"/>
      <c r="F515" s="16"/>
      <c r="G515" s="16"/>
      <c r="H515" s="16"/>
      <c r="I515" s="17"/>
      <c r="J515" s="16"/>
      <c r="K515" s="16"/>
      <c r="L515" s="16"/>
      <c r="M515" s="16"/>
      <c r="N515" s="17"/>
      <c r="O515" s="17"/>
      <c r="P515" s="17"/>
      <c r="Q515" s="18"/>
    </row>
    <row r="516" spans="3:17">
      <c r="C516" s="15"/>
      <c r="D516" s="16"/>
      <c r="E516" s="16"/>
      <c r="F516" s="16"/>
      <c r="G516" s="16"/>
      <c r="H516" s="16"/>
      <c r="I516" s="17"/>
      <c r="J516" s="16"/>
      <c r="K516" s="16"/>
      <c r="L516" s="16"/>
      <c r="M516" s="16"/>
      <c r="N516" s="17"/>
      <c r="O516" s="17"/>
      <c r="P516" s="17"/>
      <c r="Q516" s="18"/>
    </row>
    <row r="517" spans="3:17">
      <c r="C517" s="15"/>
      <c r="D517" s="16"/>
      <c r="E517" s="16"/>
      <c r="F517" s="16"/>
      <c r="G517" s="16"/>
      <c r="H517" s="16"/>
      <c r="I517" s="17"/>
      <c r="J517" s="16"/>
      <c r="K517" s="16"/>
      <c r="L517" s="16"/>
      <c r="M517" s="16"/>
      <c r="N517" s="17"/>
      <c r="O517" s="17"/>
      <c r="P517" s="17"/>
      <c r="Q517" s="18"/>
    </row>
    <row r="518" spans="3:17">
      <c r="C518" s="15"/>
      <c r="D518" s="16"/>
      <c r="E518" s="16"/>
      <c r="F518" s="16"/>
      <c r="G518" s="16"/>
      <c r="H518" s="16"/>
      <c r="I518" s="17"/>
      <c r="J518" s="16"/>
      <c r="K518" s="16"/>
      <c r="L518" s="16"/>
      <c r="M518" s="16"/>
      <c r="N518" s="17"/>
      <c r="O518" s="17"/>
      <c r="P518" s="17"/>
      <c r="Q518" s="18"/>
    </row>
    <row r="519" spans="3:17">
      <c r="C519" s="15"/>
      <c r="D519" s="16"/>
      <c r="E519" s="16"/>
      <c r="F519" s="16"/>
      <c r="G519" s="16"/>
      <c r="H519" s="16"/>
      <c r="I519" s="17"/>
      <c r="J519" s="16"/>
      <c r="K519" s="16"/>
      <c r="L519" s="16"/>
      <c r="M519" s="16"/>
      <c r="N519" s="17"/>
      <c r="O519" s="17"/>
      <c r="P519" s="17"/>
      <c r="Q519" s="18"/>
    </row>
    <row r="520" spans="3:17">
      <c r="C520" s="15"/>
      <c r="D520" s="16"/>
      <c r="E520" s="16"/>
      <c r="F520" s="16"/>
      <c r="G520" s="16"/>
      <c r="H520" s="16"/>
      <c r="I520" s="17"/>
      <c r="J520" s="16"/>
      <c r="K520" s="16"/>
      <c r="L520" s="16"/>
      <c r="M520" s="16"/>
      <c r="N520" s="17"/>
      <c r="O520" s="17"/>
      <c r="P520" s="17"/>
      <c r="Q520" s="18"/>
    </row>
    <row r="521" spans="3:17">
      <c r="C521" s="15"/>
      <c r="D521" s="16"/>
      <c r="E521" s="16"/>
      <c r="F521" s="16"/>
      <c r="G521" s="16"/>
      <c r="H521" s="16"/>
      <c r="I521" s="17"/>
      <c r="J521" s="16"/>
      <c r="K521" s="16"/>
      <c r="L521" s="16"/>
      <c r="M521" s="16"/>
      <c r="N521" s="17"/>
      <c r="O521" s="17"/>
      <c r="P521" s="17"/>
      <c r="Q521" s="18"/>
    </row>
    <row r="522" spans="3:17">
      <c r="C522" s="15"/>
      <c r="D522" s="16"/>
      <c r="E522" s="16"/>
      <c r="F522" s="16"/>
      <c r="G522" s="16"/>
      <c r="H522" s="16"/>
      <c r="I522" s="17"/>
      <c r="J522" s="16"/>
      <c r="K522" s="16"/>
      <c r="L522" s="16"/>
      <c r="M522" s="16"/>
      <c r="N522" s="17"/>
      <c r="O522" s="17"/>
      <c r="P522" s="17"/>
      <c r="Q522" s="18"/>
    </row>
    <row r="523" spans="3:17">
      <c r="C523" s="15"/>
      <c r="D523" s="16"/>
      <c r="E523" s="16"/>
      <c r="F523" s="16"/>
      <c r="G523" s="16"/>
      <c r="H523" s="16"/>
      <c r="I523" s="17"/>
      <c r="J523" s="16"/>
      <c r="K523" s="16"/>
      <c r="L523" s="16"/>
      <c r="M523" s="16"/>
      <c r="N523" s="17"/>
      <c r="O523" s="17"/>
      <c r="P523" s="17"/>
      <c r="Q523" s="18"/>
    </row>
    <row r="524" spans="3:17">
      <c r="C524" s="15"/>
      <c r="D524" s="16"/>
      <c r="E524" s="16"/>
      <c r="F524" s="16"/>
      <c r="G524" s="16"/>
      <c r="H524" s="16"/>
      <c r="I524" s="17"/>
      <c r="J524" s="16"/>
      <c r="K524" s="16"/>
      <c r="L524" s="16"/>
      <c r="M524" s="16"/>
      <c r="N524" s="17"/>
      <c r="O524" s="17"/>
      <c r="P524" s="17"/>
      <c r="Q524" s="18"/>
    </row>
    <row r="525" spans="3:17">
      <c r="C525" s="15"/>
      <c r="D525" s="16"/>
      <c r="E525" s="16"/>
      <c r="F525" s="16"/>
      <c r="G525" s="16"/>
      <c r="H525" s="16"/>
      <c r="I525" s="17"/>
      <c r="J525" s="16"/>
      <c r="K525" s="16"/>
      <c r="L525" s="16"/>
      <c r="M525" s="16"/>
      <c r="N525" s="17"/>
      <c r="O525" s="17"/>
      <c r="P525" s="17"/>
      <c r="Q525" s="18"/>
    </row>
    <row r="526" spans="3:17">
      <c r="C526" s="15"/>
      <c r="D526" s="16"/>
      <c r="E526" s="16"/>
      <c r="F526" s="16"/>
      <c r="G526" s="16"/>
      <c r="H526" s="16"/>
      <c r="I526" s="17"/>
      <c r="J526" s="16"/>
      <c r="K526" s="16"/>
      <c r="L526" s="16"/>
      <c r="M526" s="16"/>
      <c r="N526" s="17"/>
      <c r="O526" s="17"/>
      <c r="P526" s="17"/>
      <c r="Q526" s="18"/>
    </row>
    <row r="527" spans="3:17">
      <c r="C527" s="15"/>
      <c r="D527" s="16"/>
      <c r="E527" s="16"/>
      <c r="F527" s="16"/>
      <c r="G527" s="16"/>
      <c r="H527" s="16"/>
      <c r="I527" s="17"/>
      <c r="J527" s="16"/>
      <c r="K527" s="16"/>
      <c r="L527" s="16"/>
      <c r="M527" s="16"/>
      <c r="N527" s="17"/>
      <c r="O527" s="17"/>
      <c r="P527" s="17"/>
      <c r="Q527" s="18"/>
    </row>
    <row r="528" spans="3:17">
      <c r="C528" s="15"/>
      <c r="D528" s="16"/>
      <c r="E528" s="16"/>
      <c r="F528" s="16"/>
      <c r="G528" s="16"/>
      <c r="H528" s="16"/>
      <c r="I528" s="17"/>
      <c r="J528" s="16"/>
      <c r="K528" s="16"/>
      <c r="L528" s="16"/>
      <c r="M528" s="16"/>
      <c r="N528" s="17"/>
      <c r="O528" s="17"/>
      <c r="P528" s="17"/>
      <c r="Q528" s="18"/>
    </row>
    <row r="529" spans="3:17">
      <c r="C529" s="15"/>
      <c r="D529" s="16"/>
      <c r="E529" s="16"/>
      <c r="F529" s="16"/>
      <c r="G529" s="16"/>
      <c r="H529" s="16"/>
      <c r="I529" s="17"/>
      <c r="J529" s="16"/>
      <c r="K529" s="16"/>
      <c r="L529" s="16"/>
      <c r="M529" s="16"/>
      <c r="N529" s="17"/>
      <c r="O529" s="17"/>
      <c r="P529" s="17"/>
      <c r="Q529" s="18"/>
    </row>
    <row r="530" spans="3:17">
      <c r="C530" s="15"/>
      <c r="D530" s="16"/>
      <c r="E530" s="16"/>
      <c r="F530" s="16"/>
      <c r="G530" s="16"/>
      <c r="H530" s="16"/>
      <c r="I530" s="17"/>
      <c r="J530" s="16"/>
      <c r="K530" s="16"/>
      <c r="L530" s="16"/>
      <c r="M530" s="16"/>
      <c r="N530" s="17"/>
      <c r="O530" s="17"/>
      <c r="P530" s="17"/>
      <c r="Q530" s="18"/>
    </row>
    <row r="531" spans="3:17">
      <c r="C531" s="15"/>
      <c r="D531" s="16"/>
      <c r="E531" s="16"/>
      <c r="F531" s="16"/>
      <c r="G531" s="16"/>
      <c r="H531" s="16"/>
      <c r="I531" s="17"/>
      <c r="J531" s="16"/>
      <c r="K531" s="16"/>
      <c r="L531" s="16"/>
      <c r="M531" s="16"/>
      <c r="N531" s="17"/>
      <c r="O531" s="17"/>
      <c r="P531" s="17"/>
      <c r="Q531" s="18"/>
    </row>
    <row r="532" spans="3:17">
      <c r="C532" s="15"/>
      <c r="D532" s="16"/>
      <c r="E532" s="16"/>
      <c r="F532" s="16"/>
      <c r="G532" s="16"/>
      <c r="H532" s="16"/>
      <c r="I532" s="17"/>
      <c r="J532" s="16"/>
      <c r="K532" s="16"/>
      <c r="L532" s="16"/>
      <c r="M532" s="16"/>
      <c r="N532" s="17"/>
      <c r="O532" s="17"/>
      <c r="P532" s="17"/>
      <c r="Q532" s="18"/>
    </row>
    <row r="533" spans="3:17">
      <c r="C533" s="15"/>
      <c r="D533" s="16"/>
      <c r="E533" s="16"/>
      <c r="F533" s="16"/>
      <c r="G533" s="16"/>
      <c r="H533" s="16"/>
      <c r="I533" s="17"/>
      <c r="J533" s="16"/>
      <c r="K533" s="16"/>
      <c r="L533" s="16"/>
      <c r="M533" s="16"/>
      <c r="N533" s="17"/>
      <c r="O533" s="17"/>
      <c r="P533" s="17"/>
      <c r="Q533" s="18"/>
    </row>
    <row r="534" spans="3:17">
      <c r="C534" s="15"/>
      <c r="D534" s="16"/>
      <c r="E534" s="16"/>
      <c r="F534" s="16"/>
      <c r="G534" s="16"/>
      <c r="H534" s="16"/>
      <c r="I534" s="17"/>
      <c r="J534" s="16"/>
      <c r="K534" s="16"/>
      <c r="L534" s="16"/>
      <c r="M534" s="16"/>
      <c r="N534" s="17"/>
      <c r="O534" s="17"/>
      <c r="P534" s="17"/>
      <c r="Q534" s="18"/>
    </row>
    <row r="535" spans="3:17">
      <c r="C535" s="15"/>
      <c r="D535" s="16"/>
      <c r="E535" s="16"/>
      <c r="F535" s="16"/>
      <c r="G535" s="16"/>
      <c r="H535" s="16"/>
      <c r="I535" s="17"/>
      <c r="J535" s="16"/>
      <c r="K535" s="16"/>
      <c r="L535" s="16"/>
      <c r="M535" s="16"/>
      <c r="N535" s="17"/>
      <c r="O535" s="17"/>
      <c r="P535" s="17"/>
      <c r="Q535" s="18"/>
    </row>
    <row r="536" spans="3:17">
      <c r="C536" s="15"/>
      <c r="D536" s="16"/>
      <c r="E536" s="16"/>
      <c r="F536" s="16"/>
      <c r="G536" s="16"/>
      <c r="H536" s="16"/>
      <c r="I536" s="17"/>
      <c r="J536" s="16"/>
      <c r="K536" s="16"/>
      <c r="L536" s="16"/>
      <c r="M536" s="16"/>
      <c r="N536" s="17"/>
      <c r="O536" s="17"/>
      <c r="P536" s="17"/>
      <c r="Q536" s="18"/>
    </row>
    <row r="537" spans="3:17">
      <c r="C537" s="15"/>
      <c r="D537" s="16"/>
      <c r="E537" s="16"/>
      <c r="F537" s="16"/>
      <c r="G537" s="16"/>
      <c r="H537" s="16"/>
      <c r="I537" s="17"/>
      <c r="J537" s="16"/>
      <c r="K537" s="16"/>
      <c r="L537" s="16"/>
      <c r="M537" s="16"/>
      <c r="N537" s="17"/>
      <c r="O537" s="17"/>
      <c r="P537" s="17"/>
      <c r="Q537" s="18"/>
    </row>
    <row r="538" spans="3:17">
      <c r="C538" s="15"/>
      <c r="D538" s="16"/>
      <c r="E538" s="16"/>
      <c r="F538" s="16"/>
      <c r="G538" s="16"/>
      <c r="H538" s="16"/>
      <c r="I538" s="17"/>
      <c r="J538" s="16"/>
      <c r="K538" s="16"/>
      <c r="L538" s="16"/>
      <c r="M538" s="16"/>
      <c r="N538" s="17"/>
      <c r="O538" s="17"/>
      <c r="P538" s="17"/>
      <c r="Q538" s="18"/>
    </row>
    <row r="539" spans="3:17">
      <c r="C539" s="15"/>
      <c r="D539" s="16"/>
      <c r="E539" s="16"/>
      <c r="F539" s="16"/>
      <c r="G539" s="16"/>
      <c r="H539" s="16"/>
      <c r="I539" s="17"/>
      <c r="J539" s="16"/>
      <c r="K539" s="16"/>
      <c r="L539" s="16"/>
      <c r="M539" s="16"/>
      <c r="N539" s="17"/>
      <c r="O539" s="17"/>
      <c r="P539" s="17"/>
      <c r="Q539" s="18"/>
    </row>
    <row r="540" spans="3:17">
      <c r="C540" s="15"/>
      <c r="D540" s="16"/>
      <c r="E540" s="16"/>
      <c r="F540" s="16"/>
      <c r="G540" s="16"/>
      <c r="H540" s="16"/>
      <c r="I540" s="17"/>
      <c r="J540" s="16"/>
      <c r="K540" s="16"/>
      <c r="L540" s="16"/>
      <c r="M540" s="16"/>
      <c r="N540" s="17"/>
      <c r="O540" s="17"/>
      <c r="P540" s="17"/>
      <c r="Q540" s="18"/>
    </row>
    <row r="541" spans="3:17">
      <c r="C541" s="15"/>
      <c r="D541" s="16"/>
      <c r="E541" s="16"/>
      <c r="F541" s="16"/>
      <c r="G541" s="16"/>
      <c r="H541" s="16"/>
      <c r="I541" s="17"/>
      <c r="J541" s="16"/>
      <c r="K541" s="16"/>
      <c r="L541" s="16"/>
      <c r="M541" s="16"/>
      <c r="N541" s="17"/>
      <c r="O541" s="17"/>
      <c r="P541" s="17"/>
      <c r="Q541" s="18"/>
    </row>
    <row r="542" spans="3:17">
      <c r="C542" s="15"/>
      <c r="D542" s="16"/>
      <c r="E542" s="16"/>
      <c r="F542" s="16"/>
      <c r="G542" s="16"/>
      <c r="H542" s="16"/>
      <c r="I542" s="17"/>
      <c r="J542" s="16"/>
      <c r="K542" s="16"/>
      <c r="L542" s="16"/>
      <c r="M542" s="16"/>
      <c r="N542" s="17"/>
      <c r="O542" s="17"/>
      <c r="P542" s="17"/>
      <c r="Q542" s="18"/>
    </row>
    <row r="543" spans="3:17">
      <c r="C543" s="15"/>
      <c r="D543" s="16"/>
      <c r="E543" s="16"/>
      <c r="F543" s="16"/>
      <c r="G543" s="16"/>
      <c r="H543" s="16"/>
      <c r="I543" s="17"/>
      <c r="J543" s="16"/>
      <c r="K543" s="16"/>
      <c r="L543" s="16"/>
      <c r="M543" s="16"/>
      <c r="N543" s="17"/>
      <c r="O543" s="17"/>
      <c r="P543" s="17"/>
      <c r="Q543" s="18"/>
    </row>
    <row r="544" spans="3:17">
      <c r="C544" s="15"/>
      <c r="D544" s="16"/>
      <c r="E544" s="16"/>
      <c r="F544" s="16"/>
      <c r="G544" s="16"/>
      <c r="H544" s="16"/>
      <c r="I544" s="17"/>
      <c r="J544" s="16"/>
      <c r="K544" s="16"/>
      <c r="L544" s="16"/>
      <c r="M544" s="16"/>
      <c r="N544" s="17"/>
      <c r="O544" s="17"/>
      <c r="P544" s="17"/>
      <c r="Q544" s="18"/>
    </row>
    <row r="545" spans="3:17">
      <c r="C545" s="15"/>
      <c r="D545" s="16"/>
      <c r="E545" s="16"/>
      <c r="F545" s="16"/>
      <c r="G545" s="16"/>
      <c r="H545" s="16"/>
      <c r="I545" s="17"/>
      <c r="J545" s="16"/>
      <c r="K545" s="16"/>
      <c r="L545" s="16"/>
      <c r="M545" s="16"/>
      <c r="N545" s="17"/>
      <c r="O545" s="17"/>
      <c r="P545" s="17"/>
      <c r="Q545" s="18"/>
    </row>
    <row r="546" spans="3:17">
      <c r="C546" s="15"/>
      <c r="D546" s="16"/>
      <c r="E546" s="16"/>
      <c r="F546" s="16"/>
      <c r="G546" s="16"/>
      <c r="H546" s="16"/>
      <c r="I546" s="17"/>
      <c r="J546" s="16"/>
      <c r="K546" s="16"/>
      <c r="L546" s="16"/>
      <c r="M546" s="16"/>
      <c r="N546" s="17"/>
      <c r="O546" s="17"/>
      <c r="P546" s="17"/>
      <c r="Q546" s="18"/>
    </row>
    <row r="547" spans="3:17">
      <c r="C547" s="15"/>
      <c r="D547" s="16"/>
      <c r="E547" s="16"/>
      <c r="F547" s="16"/>
      <c r="G547" s="16"/>
      <c r="H547" s="16"/>
      <c r="I547" s="17"/>
      <c r="J547" s="16"/>
      <c r="K547" s="16"/>
      <c r="L547" s="16"/>
      <c r="M547" s="16"/>
      <c r="N547" s="17"/>
      <c r="O547" s="17"/>
      <c r="P547" s="17"/>
      <c r="Q547" s="18"/>
    </row>
    <row r="548" spans="3:17">
      <c r="C548" s="15"/>
      <c r="D548" s="16"/>
      <c r="E548" s="16"/>
      <c r="F548" s="16"/>
      <c r="G548" s="16"/>
      <c r="H548" s="16"/>
      <c r="I548" s="17"/>
      <c r="J548" s="16"/>
      <c r="K548" s="16"/>
      <c r="L548" s="16"/>
      <c r="M548" s="16"/>
      <c r="N548" s="17"/>
      <c r="O548" s="17"/>
      <c r="P548" s="17"/>
      <c r="Q548" s="18"/>
    </row>
    <row r="549" spans="3:17">
      <c r="C549" s="15"/>
      <c r="D549" s="16"/>
      <c r="E549" s="16"/>
      <c r="F549" s="16"/>
      <c r="G549" s="16"/>
      <c r="H549" s="16"/>
      <c r="I549" s="17"/>
      <c r="J549" s="16"/>
      <c r="K549" s="16"/>
      <c r="L549" s="16"/>
      <c r="M549" s="16"/>
      <c r="N549" s="17"/>
      <c r="O549" s="17"/>
      <c r="P549" s="17"/>
      <c r="Q549" s="18"/>
    </row>
    <row r="550" spans="3:17">
      <c r="C550" s="15"/>
      <c r="D550" s="16"/>
      <c r="E550" s="16"/>
      <c r="F550" s="16"/>
      <c r="G550" s="16"/>
      <c r="H550" s="16"/>
      <c r="I550" s="17"/>
      <c r="J550" s="16"/>
      <c r="K550" s="16"/>
      <c r="L550" s="16"/>
      <c r="M550" s="16"/>
      <c r="N550" s="17"/>
      <c r="O550" s="17"/>
      <c r="P550" s="17"/>
      <c r="Q550" s="18"/>
    </row>
    <row r="551" spans="3:17">
      <c r="C551" s="15"/>
      <c r="D551" s="16"/>
      <c r="E551" s="16"/>
      <c r="F551" s="16"/>
      <c r="G551" s="16"/>
      <c r="H551" s="16"/>
      <c r="I551" s="17"/>
      <c r="J551" s="16"/>
      <c r="K551" s="16"/>
      <c r="L551" s="16"/>
      <c r="M551" s="16"/>
      <c r="N551" s="17"/>
      <c r="O551" s="17"/>
      <c r="P551" s="17"/>
      <c r="Q551" s="18"/>
    </row>
    <row r="552" spans="3:17">
      <c r="C552" s="15"/>
      <c r="D552" s="16"/>
      <c r="E552" s="16"/>
      <c r="F552" s="16"/>
      <c r="G552" s="16"/>
      <c r="H552" s="16"/>
      <c r="I552" s="17"/>
      <c r="J552" s="16"/>
      <c r="K552" s="16"/>
      <c r="L552" s="16"/>
      <c r="M552" s="16"/>
      <c r="N552" s="17"/>
      <c r="O552" s="17"/>
      <c r="P552" s="17"/>
      <c r="Q552" s="18"/>
    </row>
    <row r="553" spans="3:17">
      <c r="C553" s="15"/>
      <c r="D553" s="16"/>
      <c r="E553" s="16"/>
      <c r="F553" s="16"/>
      <c r="G553" s="16"/>
      <c r="H553" s="16"/>
      <c r="I553" s="17"/>
      <c r="J553" s="16"/>
      <c r="K553" s="16"/>
      <c r="L553" s="16"/>
      <c r="M553" s="16"/>
      <c r="N553" s="17"/>
      <c r="O553" s="17"/>
      <c r="P553" s="17"/>
      <c r="Q553" s="18"/>
    </row>
    <row r="554" spans="3:17">
      <c r="C554" s="15"/>
      <c r="D554" s="16"/>
      <c r="E554" s="16"/>
      <c r="F554" s="16"/>
      <c r="G554" s="16"/>
      <c r="H554" s="16"/>
      <c r="I554" s="17"/>
      <c r="J554" s="16"/>
      <c r="K554" s="16"/>
      <c r="L554" s="16"/>
      <c r="M554" s="16"/>
      <c r="N554" s="17"/>
      <c r="O554" s="17"/>
      <c r="P554" s="17"/>
      <c r="Q554" s="18"/>
    </row>
    <row r="555" spans="3:17">
      <c r="C555" s="15"/>
      <c r="D555" s="16"/>
      <c r="E555" s="16"/>
      <c r="F555" s="16"/>
      <c r="G555" s="16"/>
      <c r="H555" s="16"/>
      <c r="I555" s="17"/>
      <c r="J555" s="16"/>
      <c r="K555" s="16"/>
      <c r="L555" s="16"/>
      <c r="M555" s="16"/>
      <c r="N555" s="17"/>
      <c r="O555" s="17"/>
      <c r="P555" s="17"/>
      <c r="Q555" s="18"/>
    </row>
    <row r="556" spans="3:17">
      <c r="C556" s="15"/>
      <c r="D556" s="16"/>
      <c r="E556" s="16"/>
      <c r="F556" s="16"/>
      <c r="G556" s="16"/>
      <c r="H556" s="16"/>
      <c r="I556" s="17"/>
      <c r="J556" s="16"/>
      <c r="K556" s="16"/>
      <c r="L556" s="16"/>
      <c r="M556" s="16"/>
      <c r="N556" s="17"/>
      <c r="O556" s="17"/>
      <c r="P556" s="17"/>
      <c r="Q556" s="18"/>
    </row>
    <row r="557" spans="3:17">
      <c r="C557" s="15"/>
      <c r="D557" s="16"/>
      <c r="E557" s="16"/>
      <c r="F557" s="16"/>
      <c r="G557" s="16"/>
      <c r="H557" s="16"/>
      <c r="I557" s="17"/>
      <c r="J557" s="16"/>
      <c r="K557" s="16"/>
      <c r="L557" s="16"/>
      <c r="M557" s="16"/>
      <c r="N557" s="17"/>
      <c r="O557" s="17"/>
      <c r="P557" s="17"/>
      <c r="Q557" s="18"/>
    </row>
    <row r="558" spans="3:17">
      <c r="C558" s="15"/>
      <c r="D558" s="16"/>
      <c r="E558" s="16"/>
      <c r="F558" s="16"/>
      <c r="G558" s="16"/>
      <c r="H558" s="16"/>
      <c r="I558" s="17"/>
      <c r="J558" s="16"/>
      <c r="K558" s="16"/>
      <c r="L558" s="16"/>
      <c r="M558" s="16"/>
      <c r="N558" s="17"/>
      <c r="O558" s="17"/>
      <c r="P558" s="17"/>
      <c r="Q558" s="18"/>
    </row>
    <row r="559" spans="3:17">
      <c r="C559" s="15"/>
      <c r="D559" s="16"/>
      <c r="E559" s="16"/>
      <c r="F559" s="16"/>
      <c r="G559" s="16"/>
      <c r="H559" s="16"/>
      <c r="I559" s="17"/>
      <c r="J559" s="16"/>
      <c r="K559" s="16"/>
      <c r="L559" s="16"/>
      <c r="M559" s="16"/>
      <c r="N559" s="17"/>
      <c r="O559" s="17"/>
      <c r="P559" s="17"/>
      <c r="Q559" s="18"/>
    </row>
    <row r="560" spans="3:17">
      <c r="C560" s="15"/>
      <c r="D560" s="16"/>
      <c r="E560" s="16"/>
      <c r="F560" s="16"/>
      <c r="G560" s="16"/>
      <c r="H560" s="16"/>
      <c r="I560" s="17"/>
      <c r="J560" s="16"/>
      <c r="K560" s="16"/>
      <c r="L560" s="16"/>
      <c r="M560" s="16"/>
      <c r="N560" s="17"/>
      <c r="O560" s="17"/>
      <c r="P560" s="17"/>
      <c r="Q560" s="18"/>
    </row>
    <row r="561" spans="3:17">
      <c r="C561" s="15"/>
      <c r="D561" s="16"/>
      <c r="E561" s="16"/>
      <c r="F561" s="16"/>
      <c r="G561" s="16"/>
      <c r="H561" s="16"/>
      <c r="I561" s="17"/>
      <c r="J561" s="16"/>
      <c r="K561" s="16"/>
      <c r="L561" s="16"/>
      <c r="M561" s="16"/>
      <c r="N561" s="17"/>
      <c r="O561" s="17"/>
      <c r="P561" s="17"/>
      <c r="Q561" s="18"/>
    </row>
    <row r="562" spans="3:17">
      <c r="C562" s="15"/>
      <c r="D562" s="16"/>
      <c r="E562" s="16"/>
      <c r="F562" s="16"/>
      <c r="G562" s="16"/>
      <c r="H562" s="16"/>
      <c r="I562" s="17"/>
      <c r="J562" s="16"/>
      <c r="K562" s="16"/>
      <c r="L562" s="16"/>
      <c r="M562" s="16"/>
      <c r="N562" s="17"/>
      <c r="O562" s="17"/>
      <c r="P562" s="17"/>
      <c r="Q562" s="18"/>
    </row>
    <row r="563" spans="3:17">
      <c r="C563" s="15"/>
      <c r="D563" s="16"/>
      <c r="E563" s="16"/>
      <c r="F563" s="16"/>
      <c r="G563" s="16"/>
      <c r="H563" s="16"/>
      <c r="I563" s="17"/>
      <c r="J563" s="16"/>
      <c r="K563" s="16"/>
      <c r="L563" s="16"/>
      <c r="M563" s="16"/>
      <c r="N563" s="17"/>
      <c r="O563" s="17"/>
      <c r="P563" s="17"/>
      <c r="Q563" s="18"/>
    </row>
    <row r="564" spans="3:17">
      <c r="C564" s="15"/>
      <c r="D564" s="16"/>
      <c r="E564" s="16"/>
      <c r="F564" s="16"/>
      <c r="G564" s="16"/>
      <c r="H564" s="16"/>
      <c r="I564" s="17"/>
      <c r="J564" s="16"/>
      <c r="K564" s="16"/>
      <c r="L564" s="16"/>
      <c r="M564" s="16"/>
      <c r="N564" s="17"/>
      <c r="O564" s="17"/>
      <c r="P564" s="17"/>
      <c r="Q564" s="18"/>
    </row>
    <row r="565" spans="3:17">
      <c r="C565" s="15"/>
      <c r="D565" s="16"/>
      <c r="E565" s="16"/>
      <c r="F565" s="16"/>
      <c r="G565" s="16"/>
      <c r="H565" s="16"/>
      <c r="I565" s="17"/>
      <c r="J565" s="16"/>
      <c r="K565" s="16"/>
      <c r="L565" s="16"/>
      <c r="M565" s="16"/>
      <c r="N565" s="17"/>
      <c r="O565" s="17"/>
      <c r="P565" s="17"/>
      <c r="Q565" s="18"/>
    </row>
    <row r="566" spans="3:17">
      <c r="C566" s="15"/>
      <c r="D566" s="16"/>
      <c r="E566" s="16"/>
      <c r="F566" s="16"/>
      <c r="G566" s="16"/>
      <c r="H566" s="16"/>
      <c r="I566" s="17"/>
      <c r="J566" s="16"/>
      <c r="K566" s="16"/>
      <c r="L566" s="16"/>
      <c r="M566" s="16"/>
      <c r="N566" s="17"/>
      <c r="O566" s="17"/>
      <c r="P566" s="17"/>
      <c r="Q566" s="18"/>
    </row>
    <row r="567" spans="3:17">
      <c r="C567" s="15"/>
      <c r="D567" s="16"/>
      <c r="E567" s="16"/>
      <c r="F567" s="16"/>
      <c r="G567" s="16"/>
      <c r="H567" s="16"/>
      <c r="I567" s="17"/>
      <c r="J567" s="16"/>
      <c r="K567" s="16"/>
      <c r="L567" s="16"/>
      <c r="M567" s="16"/>
      <c r="N567" s="17"/>
      <c r="O567" s="17"/>
      <c r="P567" s="17"/>
      <c r="Q567" s="18"/>
    </row>
    <row r="568" spans="3:17">
      <c r="C568" s="15"/>
      <c r="D568" s="16"/>
      <c r="E568" s="16"/>
      <c r="F568" s="16"/>
      <c r="G568" s="16"/>
      <c r="H568" s="16"/>
      <c r="I568" s="17"/>
      <c r="J568" s="16"/>
      <c r="K568" s="16"/>
      <c r="L568" s="16"/>
      <c r="M568" s="16"/>
      <c r="N568" s="17"/>
      <c r="O568" s="17"/>
      <c r="P568" s="17"/>
      <c r="Q568" s="18"/>
    </row>
    <row r="569" spans="3:17">
      <c r="C569" s="15"/>
      <c r="D569" s="16"/>
      <c r="E569" s="16"/>
      <c r="F569" s="16"/>
      <c r="G569" s="16"/>
      <c r="H569" s="16"/>
      <c r="I569" s="17"/>
      <c r="J569" s="16"/>
      <c r="K569" s="16"/>
      <c r="L569" s="16"/>
      <c r="M569" s="16"/>
      <c r="N569" s="17"/>
      <c r="O569" s="17"/>
      <c r="P569" s="17"/>
      <c r="Q569" s="18"/>
    </row>
    <row r="570" spans="3:17">
      <c r="C570" s="15"/>
      <c r="D570" s="16"/>
      <c r="E570" s="16"/>
      <c r="F570" s="16"/>
      <c r="G570" s="16"/>
      <c r="H570" s="16"/>
      <c r="I570" s="17"/>
      <c r="J570" s="16"/>
      <c r="K570" s="16"/>
      <c r="L570" s="16"/>
      <c r="M570" s="16"/>
      <c r="N570" s="17"/>
      <c r="O570" s="17"/>
      <c r="P570" s="17"/>
      <c r="Q570" s="18"/>
    </row>
    <row r="571" spans="3:17">
      <c r="C571" s="15"/>
      <c r="D571" s="16"/>
      <c r="E571" s="16"/>
      <c r="F571" s="16"/>
      <c r="G571" s="16"/>
      <c r="H571" s="16"/>
      <c r="I571" s="17"/>
      <c r="J571" s="16"/>
      <c r="K571" s="16"/>
      <c r="L571" s="16"/>
      <c r="M571" s="16"/>
      <c r="N571" s="17"/>
      <c r="O571" s="17"/>
      <c r="P571" s="17"/>
      <c r="Q571" s="18"/>
    </row>
    <row r="572" spans="3:17">
      <c r="C572" s="15"/>
      <c r="D572" s="16"/>
      <c r="E572" s="16"/>
      <c r="F572" s="16"/>
      <c r="G572" s="16"/>
      <c r="H572" s="16"/>
      <c r="I572" s="17"/>
      <c r="J572" s="16"/>
      <c r="K572" s="16"/>
      <c r="L572" s="16"/>
      <c r="M572" s="16"/>
      <c r="N572" s="17"/>
      <c r="O572" s="17"/>
      <c r="P572" s="17"/>
      <c r="Q572" s="18"/>
    </row>
    <row r="573" spans="3:17">
      <c r="C573" s="15"/>
      <c r="D573" s="16"/>
      <c r="E573" s="16"/>
      <c r="F573" s="16"/>
      <c r="G573" s="16"/>
      <c r="H573" s="16"/>
      <c r="I573" s="17"/>
      <c r="J573" s="16"/>
      <c r="K573" s="16"/>
      <c r="L573" s="16"/>
      <c r="M573" s="16"/>
      <c r="N573" s="17"/>
      <c r="O573" s="17"/>
      <c r="P573" s="17"/>
      <c r="Q573" s="18"/>
    </row>
    <row r="574" spans="3:17">
      <c r="C574" s="15"/>
      <c r="D574" s="16"/>
      <c r="E574" s="16"/>
      <c r="F574" s="16"/>
      <c r="G574" s="16"/>
      <c r="H574" s="16"/>
      <c r="I574" s="17"/>
      <c r="J574" s="16"/>
      <c r="K574" s="16"/>
      <c r="L574" s="16"/>
      <c r="M574" s="16"/>
      <c r="N574" s="17"/>
      <c r="O574" s="17"/>
      <c r="P574" s="17"/>
      <c r="Q574" s="18"/>
    </row>
    <row r="575" spans="3:17">
      <c r="C575" s="15"/>
      <c r="D575" s="16"/>
      <c r="E575" s="16"/>
      <c r="F575" s="16"/>
      <c r="G575" s="16"/>
      <c r="H575" s="16"/>
      <c r="I575" s="17"/>
      <c r="J575" s="16"/>
      <c r="K575" s="16"/>
      <c r="L575" s="16"/>
      <c r="M575" s="16"/>
      <c r="N575" s="17"/>
      <c r="O575" s="17"/>
      <c r="P575" s="17"/>
      <c r="Q575" s="18"/>
    </row>
    <row r="576" spans="3:17">
      <c r="C576" s="15"/>
      <c r="D576" s="16"/>
      <c r="E576" s="16"/>
      <c r="F576" s="16"/>
      <c r="G576" s="16"/>
      <c r="H576" s="16"/>
      <c r="I576" s="17"/>
      <c r="J576" s="16"/>
      <c r="K576" s="16"/>
      <c r="L576" s="16"/>
      <c r="M576" s="16"/>
      <c r="N576" s="17"/>
      <c r="O576" s="17"/>
      <c r="P576" s="17"/>
      <c r="Q576" s="18"/>
    </row>
    <row r="577" spans="3:17">
      <c r="C577" s="15"/>
      <c r="D577" s="16"/>
      <c r="E577" s="16"/>
      <c r="F577" s="16"/>
      <c r="G577" s="16"/>
      <c r="H577" s="16"/>
      <c r="I577" s="17"/>
      <c r="J577" s="16"/>
      <c r="K577" s="16"/>
      <c r="L577" s="16"/>
      <c r="M577" s="16"/>
      <c r="N577" s="17"/>
      <c r="O577" s="17"/>
      <c r="P577" s="17"/>
      <c r="Q577" s="18"/>
    </row>
    <row r="578" spans="3:17">
      <c r="C578" s="15"/>
      <c r="D578" s="16"/>
      <c r="E578" s="16"/>
      <c r="F578" s="16"/>
      <c r="G578" s="16"/>
      <c r="H578" s="16"/>
      <c r="I578" s="17"/>
      <c r="J578" s="16"/>
      <c r="K578" s="16"/>
      <c r="L578" s="16"/>
      <c r="M578" s="16"/>
      <c r="N578" s="17"/>
      <c r="O578" s="17"/>
      <c r="P578" s="17"/>
      <c r="Q578" s="18"/>
    </row>
    <row r="579" spans="3:17">
      <c r="C579" s="15"/>
      <c r="D579" s="16"/>
      <c r="E579" s="16"/>
      <c r="F579" s="16"/>
      <c r="G579" s="16"/>
      <c r="H579" s="16"/>
      <c r="I579" s="17"/>
      <c r="J579" s="16"/>
      <c r="K579" s="16"/>
      <c r="L579" s="16"/>
      <c r="M579" s="16"/>
      <c r="N579" s="17"/>
      <c r="O579" s="17"/>
      <c r="P579" s="17"/>
      <c r="Q579" s="18"/>
    </row>
    <row r="580" spans="3:17">
      <c r="C580" s="15"/>
      <c r="D580" s="16"/>
      <c r="E580" s="16"/>
      <c r="F580" s="16"/>
      <c r="G580" s="16"/>
      <c r="H580" s="16"/>
      <c r="I580" s="17"/>
      <c r="J580" s="16"/>
      <c r="K580" s="16"/>
      <c r="L580" s="16"/>
      <c r="M580" s="16"/>
      <c r="N580" s="17"/>
      <c r="O580" s="17"/>
      <c r="P580" s="17"/>
      <c r="Q580" s="18"/>
    </row>
    <row r="581" spans="3:17">
      <c r="C581" s="15"/>
      <c r="D581" s="16"/>
      <c r="E581" s="16"/>
      <c r="F581" s="16"/>
      <c r="G581" s="16"/>
      <c r="H581" s="16"/>
      <c r="I581" s="17"/>
      <c r="J581" s="16"/>
      <c r="K581" s="16"/>
      <c r="L581" s="16"/>
      <c r="M581" s="16"/>
      <c r="N581" s="17"/>
      <c r="O581" s="17"/>
      <c r="P581" s="17"/>
      <c r="Q581" s="18"/>
    </row>
    <row r="582" spans="3:17">
      <c r="C582" s="15"/>
      <c r="D582" s="16"/>
      <c r="E582" s="16"/>
      <c r="F582" s="16"/>
      <c r="G582" s="16"/>
      <c r="H582" s="16"/>
      <c r="I582" s="17"/>
      <c r="J582" s="16"/>
      <c r="K582" s="16"/>
      <c r="L582" s="16"/>
      <c r="M582" s="16"/>
      <c r="N582" s="17"/>
      <c r="O582" s="17"/>
      <c r="P582" s="17"/>
      <c r="Q582" s="18"/>
    </row>
    <row r="583" spans="3:17">
      <c r="C583" s="15"/>
      <c r="D583" s="16"/>
      <c r="E583" s="16"/>
      <c r="F583" s="16"/>
      <c r="G583" s="16"/>
      <c r="H583" s="16"/>
      <c r="I583" s="17"/>
      <c r="J583" s="16"/>
      <c r="K583" s="16"/>
      <c r="L583" s="16"/>
      <c r="M583" s="16"/>
      <c r="N583" s="17"/>
      <c r="O583" s="17"/>
      <c r="P583" s="17"/>
      <c r="Q583" s="18"/>
    </row>
    <row r="584" spans="3:17">
      <c r="C584" s="15"/>
      <c r="D584" s="16"/>
      <c r="E584" s="16"/>
      <c r="F584" s="16"/>
      <c r="G584" s="16"/>
      <c r="H584" s="16"/>
      <c r="I584" s="17"/>
      <c r="J584" s="16"/>
      <c r="K584" s="16"/>
      <c r="L584" s="16"/>
      <c r="M584" s="16"/>
      <c r="N584" s="17"/>
      <c r="O584" s="17"/>
      <c r="P584" s="17"/>
      <c r="Q584" s="18"/>
    </row>
    <row r="585" spans="3:17">
      <c r="C585" s="15"/>
      <c r="D585" s="16"/>
      <c r="E585" s="16"/>
      <c r="F585" s="16"/>
      <c r="G585" s="16"/>
      <c r="H585" s="16"/>
      <c r="I585" s="17"/>
      <c r="J585" s="16"/>
      <c r="K585" s="16"/>
      <c r="L585" s="16"/>
      <c r="M585" s="16"/>
      <c r="N585" s="17"/>
      <c r="O585" s="17"/>
      <c r="P585" s="17"/>
      <c r="Q585" s="18"/>
    </row>
    <row r="586" spans="3:17">
      <c r="C586" s="15"/>
      <c r="D586" s="16"/>
      <c r="E586" s="16"/>
      <c r="F586" s="16"/>
      <c r="G586" s="16"/>
      <c r="H586" s="16"/>
      <c r="I586" s="17"/>
      <c r="J586" s="16"/>
      <c r="K586" s="16"/>
      <c r="L586" s="16"/>
      <c r="M586" s="16"/>
      <c r="N586" s="17"/>
      <c r="O586" s="17"/>
      <c r="P586" s="17"/>
      <c r="Q586" s="18"/>
    </row>
    <row r="587" spans="3:17">
      <c r="C587" s="15"/>
      <c r="D587" s="16"/>
      <c r="E587" s="16"/>
      <c r="F587" s="16"/>
      <c r="G587" s="16"/>
      <c r="H587" s="16"/>
      <c r="I587" s="17"/>
      <c r="J587" s="16"/>
      <c r="K587" s="16"/>
      <c r="L587" s="16"/>
      <c r="M587" s="16"/>
      <c r="N587" s="17"/>
      <c r="O587" s="17"/>
      <c r="P587" s="17"/>
      <c r="Q587" s="18"/>
    </row>
    <row r="588" spans="3:17">
      <c r="C588" s="15"/>
      <c r="D588" s="16"/>
      <c r="E588" s="16"/>
      <c r="F588" s="16"/>
      <c r="G588" s="16"/>
      <c r="H588" s="16"/>
      <c r="I588" s="17"/>
      <c r="J588" s="16"/>
      <c r="K588" s="16"/>
      <c r="L588" s="16"/>
      <c r="M588" s="16"/>
      <c r="N588" s="17"/>
      <c r="O588" s="17"/>
      <c r="P588" s="17"/>
      <c r="Q588" s="18"/>
    </row>
    <row r="589" spans="3:17">
      <c r="C589" s="15"/>
      <c r="D589" s="16"/>
      <c r="E589" s="16"/>
      <c r="F589" s="16"/>
      <c r="G589" s="16"/>
      <c r="H589" s="16"/>
      <c r="I589" s="17"/>
      <c r="J589" s="16"/>
      <c r="K589" s="16"/>
      <c r="L589" s="16"/>
      <c r="M589" s="16"/>
      <c r="N589" s="17"/>
      <c r="O589" s="17"/>
      <c r="P589" s="17"/>
      <c r="Q589" s="18"/>
    </row>
    <row r="590" spans="3:17">
      <c r="C590" s="15"/>
      <c r="D590" s="16"/>
      <c r="E590" s="16"/>
      <c r="F590" s="16"/>
      <c r="G590" s="16"/>
      <c r="H590" s="16"/>
      <c r="I590" s="17"/>
      <c r="J590" s="16"/>
      <c r="K590" s="16"/>
      <c r="L590" s="16"/>
      <c r="M590" s="16"/>
      <c r="N590" s="17"/>
      <c r="O590" s="17"/>
      <c r="P590" s="17"/>
      <c r="Q590" s="18"/>
    </row>
    <row r="591" spans="3:17">
      <c r="C591" s="15"/>
      <c r="D591" s="16"/>
      <c r="E591" s="16"/>
      <c r="F591" s="16"/>
      <c r="G591" s="16"/>
      <c r="H591" s="16"/>
      <c r="I591" s="17"/>
      <c r="J591" s="16"/>
      <c r="K591" s="16"/>
      <c r="L591" s="16"/>
      <c r="M591" s="16"/>
      <c r="N591" s="17"/>
      <c r="O591" s="17"/>
      <c r="P591" s="17"/>
      <c r="Q591" s="18"/>
    </row>
    <row r="592" spans="3:17">
      <c r="C592" s="15"/>
      <c r="D592" s="16"/>
      <c r="E592" s="16"/>
      <c r="F592" s="16"/>
      <c r="G592" s="16"/>
      <c r="H592" s="16"/>
      <c r="I592" s="17"/>
      <c r="J592" s="16"/>
      <c r="K592" s="16"/>
      <c r="L592" s="16"/>
      <c r="M592" s="16"/>
      <c r="N592" s="17"/>
      <c r="O592" s="17"/>
      <c r="P592" s="17"/>
      <c r="Q592" s="18"/>
    </row>
    <row r="593" spans="3:17">
      <c r="C593" s="15"/>
      <c r="D593" s="16"/>
      <c r="E593" s="16"/>
      <c r="F593" s="16"/>
      <c r="G593" s="16"/>
      <c r="H593" s="16"/>
      <c r="I593" s="17"/>
      <c r="J593" s="16"/>
      <c r="K593" s="16"/>
      <c r="L593" s="16"/>
      <c r="M593" s="16"/>
      <c r="N593" s="17"/>
      <c r="O593" s="17"/>
      <c r="P593" s="17"/>
      <c r="Q593" s="18"/>
    </row>
    <row r="594" spans="3:17">
      <c r="C594" s="15"/>
      <c r="D594" s="16"/>
      <c r="E594" s="16"/>
      <c r="F594" s="16"/>
      <c r="G594" s="16"/>
      <c r="H594" s="16"/>
      <c r="I594" s="17"/>
      <c r="J594" s="16"/>
      <c r="K594" s="16"/>
      <c r="L594" s="16"/>
      <c r="M594" s="16"/>
      <c r="N594" s="17"/>
      <c r="O594" s="17"/>
      <c r="P594" s="17"/>
      <c r="Q594" s="18"/>
    </row>
    <row r="595" spans="3:17">
      <c r="C595" s="15"/>
      <c r="D595" s="16"/>
      <c r="E595" s="16"/>
      <c r="F595" s="16"/>
      <c r="G595" s="16"/>
      <c r="H595" s="16"/>
      <c r="I595" s="17"/>
      <c r="J595" s="16"/>
      <c r="K595" s="16"/>
      <c r="L595" s="16"/>
      <c r="M595" s="16"/>
      <c r="N595" s="17"/>
      <c r="O595" s="17"/>
      <c r="P595" s="17"/>
      <c r="Q595" s="18"/>
    </row>
    <row r="596" spans="3:17">
      <c r="C596" s="15"/>
      <c r="D596" s="16"/>
      <c r="E596" s="16"/>
      <c r="F596" s="16"/>
      <c r="G596" s="16"/>
      <c r="H596" s="16"/>
      <c r="I596" s="17"/>
      <c r="J596" s="16"/>
      <c r="K596" s="16"/>
      <c r="L596" s="16"/>
      <c r="M596" s="16"/>
      <c r="N596" s="17"/>
      <c r="O596" s="17"/>
      <c r="P596" s="17"/>
      <c r="Q596" s="18"/>
    </row>
    <row r="597" spans="3:17">
      <c r="C597" s="15"/>
      <c r="D597" s="16"/>
      <c r="E597" s="16"/>
      <c r="F597" s="16"/>
      <c r="G597" s="16"/>
      <c r="H597" s="16"/>
      <c r="I597" s="17"/>
      <c r="J597" s="16"/>
      <c r="K597" s="16"/>
      <c r="L597" s="16"/>
      <c r="M597" s="16"/>
      <c r="N597" s="17"/>
      <c r="O597" s="17"/>
      <c r="P597" s="17"/>
      <c r="Q597" s="18"/>
    </row>
    <row r="598" spans="3:17">
      <c r="C598" s="15"/>
      <c r="D598" s="16"/>
      <c r="E598" s="16"/>
      <c r="F598" s="16"/>
      <c r="G598" s="16"/>
      <c r="H598" s="16"/>
      <c r="I598" s="17"/>
      <c r="J598" s="16"/>
      <c r="K598" s="16"/>
      <c r="L598" s="16"/>
      <c r="M598" s="16"/>
      <c r="N598" s="17"/>
      <c r="O598" s="17"/>
      <c r="P598" s="17"/>
      <c r="Q598" s="18"/>
    </row>
    <row r="599" spans="3:17">
      <c r="C599" s="15"/>
      <c r="D599" s="16"/>
      <c r="E599" s="16"/>
      <c r="F599" s="16"/>
      <c r="G599" s="16"/>
      <c r="H599" s="16"/>
      <c r="I599" s="17"/>
      <c r="J599" s="16"/>
      <c r="K599" s="16"/>
      <c r="L599" s="16"/>
      <c r="M599" s="16"/>
      <c r="N599" s="17"/>
      <c r="O599" s="17"/>
      <c r="P599" s="17"/>
      <c r="Q599" s="18"/>
    </row>
    <row r="600" spans="3:17">
      <c r="C600" s="15"/>
      <c r="D600" s="16"/>
      <c r="E600" s="16"/>
      <c r="F600" s="16"/>
      <c r="G600" s="16"/>
      <c r="H600" s="16"/>
      <c r="I600" s="17"/>
      <c r="J600" s="16"/>
      <c r="K600" s="16"/>
      <c r="L600" s="16"/>
      <c r="M600" s="16"/>
      <c r="N600" s="17"/>
      <c r="O600" s="17"/>
      <c r="P600" s="17"/>
      <c r="Q600" s="18"/>
    </row>
    <row r="601" spans="3:17">
      <c r="C601" s="15"/>
      <c r="D601" s="16"/>
      <c r="E601" s="16"/>
      <c r="F601" s="16"/>
      <c r="G601" s="16"/>
      <c r="H601" s="16"/>
      <c r="I601" s="17"/>
      <c r="J601" s="16"/>
      <c r="K601" s="16"/>
      <c r="L601" s="16"/>
      <c r="M601" s="16"/>
      <c r="N601" s="17"/>
      <c r="O601" s="17"/>
      <c r="P601" s="17"/>
      <c r="Q601" s="18"/>
    </row>
    <row r="602" spans="3:17">
      <c r="C602" s="15"/>
      <c r="D602" s="16"/>
      <c r="E602" s="16"/>
      <c r="F602" s="16"/>
      <c r="G602" s="16"/>
      <c r="H602" s="16"/>
      <c r="I602" s="17"/>
      <c r="J602" s="16"/>
      <c r="K602" s="16"/>
      <c r="L602" s="16"/>
      <c r="M602" s="16"/>
      <c r="N602" s="17"/>
      <c r="O602" s="17"/>
      <c r="P602" s="17"/>
      <c r="Q602" s="18"/>
    </row>
    <row r="603" spans="3:17">
      <c r="C603" s="15"/>
      <c r="D603" s="16"/>
      <c r="E603" s="16"/>
      <c r="F603" s="16"/>
      <c r="G603" s="16"/>
      <c r="H603" s="16"/>
      <c r="I603" s="17"/>
      <c r="J603" s="16"/>
      <c r="K603" s="16"/>
      <c r="L603" s="16"/>
      <c r="M603" s="16"/>
      <c r="N603" s="17"/>
      <c r="O603" s="17"/>
      <c r="P603" s="17"/>
      <c r="Q603" s="18"/>
    </row>
    <row r="604" spans="3:17">
      <c r="C604" s="15"/>
      <c r="D604" s="16"/>
      <c r="E604" s="16"/>
      <c r="F604" s="16"/>
      <c r="G604" s="16"/>
      <c r="H604" s="16"/>
      <c r="I604" s="17"/>
      <c r="J604" s="16"/>
      <c r="K604" s="16"/>
      <c r="L604" s="16"/>
      <c r="M604" s="16"/>
      <c r="N604" s="17"/>
      <c r="O604" s="17"/>
      <c r="P604" s="17"/>
      <c r="Q604" s="18"/>
    </row>
    <row r="605" spans="3:17">
      <c r="C605" s="15"/>
      <c r="D605" s="16"/>
      <c r="E605" s="16"/>
      <c r="F605" s="16"/>
      <c r="G605" s="16"/>
      <c r="H605" s="16"/>
      <c r="I605" s="17"/>
      <c r="J605" s="16"/>
      <c r="K605" s="16"/>
      <c r="L605" s="16"/>
      <c r="M605" s="16"/>
      <c r="N605" s="17"/>
      <c r="O605" s="17"/>
      <c r="P605" s="17"/>
      <c r="Q605" s="18"/>
    </row>
    <row r="606" spans="3:17">
      <c r="C606" s="15"/>
      <c r="D606" s="16"/>
      <c r="E606" s="16"/>
      <c r="F606" s="16"/>
      <c r="G606" s="16"/>
      <c r="H606" s="16"/>
      <c r="I606" s="17"/>
      <c r="J606" s="16"/>
      <c r="K606" s="16"/>
      <c r="L606" s="16"/>
      <c r="M606" s="16"/>
      <c r="N606" s="17"/>
      <c r="O606" s="17"/>
      <c r="P606" s="17"/>
      <c r="Q606" s="18"/>
    </row>
    <row r="607" spans="3:17">
      <c r="C607" s="15"/>
      <c r="D607" s="16"/>
      <c r="E607" s="16"/>
      <c r="F607" s="16"/>
      <c r="G607" s="16"/>
      <c r="H607" s="16"/>
      <c r="I607" s="17"/>
      <c r="J607" s="16"/>
      <c r="K607" s="16"/>
      <c r="L607" s="16"/>
      <c r="M607" s="16"/>
      <c r="N607" s="17"/>
      <c r="O607" s="17"/>
      <c r="P607" s="17"/>
      <c r="Q607" s="18"/>
    </row>
    <row r="608" spans="3:17">
      <c r="C608" s="15"/>
      <c r="D608" s="16"/>
      <c r="E608" s="16"/>
      <c r="F608" s="16"/>
      <c r="G608" s="16"/>
      <c r="H608" s="16"/>
      <c r="I608" s="17"/>
      <c r="J608" s="16"/>
      <c r="K608" s="16"/>
      <c r="L608" s="16"/>
      <c r="M608" s="16"/>
      <c r="N608" s="17"/>
      <c r="O608" s="17"/>
      <c r="P608" s="17"/>
      <c r="Q608" s="18"/>
    </row>
    <row r="609" spans="3:17">
      <c r="C609" s="15"/>
      <c r="D609" s="16"/>
      <c r="E609" s="16"/>
      <c r="F609" s="16"/>
      <c r="G609" s="16"/>
      <c r="H609" s="16"/>
      <c r="I609" s="17"/>
      <c r="J609" s="16"/>
      <c r="K609" s="16"/>
      <c r="L609" s="16"/>
      <c r="M609" s="16"/>
      <c r="N609" s="17"/>
      <c r="O609" s="17"/>
      <c r="P609" s="17"/>
      <c r="Q609" s="18"/>
    </row>
    <row r="610" spans="3:17">
      <c r="C610" s="15"/>
      <c r="D610" s="16"/>
      <c r="E610" s="16"/>
      <c r="F610" s="16"/>
      <c r="G610" s="16"/>
      <c r="H610" s="16"/>
      <c r="I610" s="17"/>
      <c r="J610" s="16"/>
      <c r="K610" s="16"/>
      <c r="L610" s="16"/>
      <c r="M610" s="16"/>
      <c r="N610" s="17"/>
      <c r="O610" s="17"/>
      <c r="P610" s="17"/>
      <c r="Q610" s="18"/>
    </row>
    <row r="611" spans="3:17">
      <c r="C611" s="15"/>
      <c r="D611" s="16"/>
      <c r="E611" s="16"/>
      <c r="F611" s="16"/>
      <c r="G611" s="16"/>
      <c r="H611" s="16"/>
      <c r="I611" s="17"/>
      <c r="J611" s="16"/>
      <c r="K611" s="16"/>
      <c r="L611" s="16"/>
      <c r="M611" s="16"/>
      <c r="N611" s="17"/>
      <c r="O611" s="17"/>
      <c r="P611" s="17"/>
      <c r="Q611" s="18"/>
    </row>
    <row r="612" spans="3:17">
      <c r="C612" s="15"/>
      <c r="D612" s="16"/>
      <c r="E612" s="16"/>
      <c r="F612" s="16"/>
      <c r="G612" s="16"/>
      <c r="H612" s="16"/>
      <c r="I612" s="17"/>
      <c r="J612" s="16"/>
      <c r="K612" s="16"/>
      <c r="L612" s="16"/>
      <c r="M612" s="16"/>
      <c r="N612" s="17"/>
      <c r="O612" s="17"/>
      <c r="P612" s="17"/>
      <c r="Q612" s="18"/>
    </row>
    <row r="613" spans="3:17">
      <c r="C613" s="15"/>
      <c r="D613" s="16"/>
      <c r="E613" s="16"/>
      <c r="F613" s="16"/>
      <c r="G613" s="16"/>
      <c r="H613" s="16"/>
      <c r="I613" s="17"/>
      <c r="J613" s="16"/>
      <c r="K613" s="16"/>
      <c r="L613" s="16"/>
      <c r="M613" s="16"/>
      <c r="N613" s="17"/>
      <c r="O613" s="17"/>
      <c r="P613" s="17"/>
      <c r="Q613" s="18"/>
    </row>
    <row r="614" spans="3:17">
      <c r="C614" s="15"/>
      <c r="D614" s="16"/>
      <c r="E614" s="16"/>
      <c r="F614" s="16"/>
      <c r="G614" s="16"/>
      <c r="H614" s="16"/>
      <c r="I614" s="17"/>
      <c r="J614" s="16"/>
      <c r="K614" s="16"/>
      <c r="L614" s="16"/>
      <c r="M614" s="16"/>
      <c r="N614" s="17"/>
      <c r="O614" s="17"/>
      <c r="P614" s="17"/>
      <c r="Q614" s="18"/>
    </row>
    <row r="615" spans="3:17">
      <c r="C615" s="15"/>
      <c r="D615" s="16"/>
      <c r="E615" s="16"/>
      <c r="F615" s="16"/>
      <c r="G615" s="16"/>
      <c r="H615" s="16"/>
      <c r="I615" s="17"/>
      <c r="J615" s="16"/>
      <c r="K615" s="16"/>
      <c r="L615" s="16"/>
      <c r="M615" s="16"/>
      <c r="N615" s="17"/>
      <c r="O615" s="17"/>
      <c r="P615" s="17"/>
      <c r="Q615" s="18"/>
    </row>
    <row r="616" spans="3:17">
      <c r="C616" s="15"/>
      <c r="D616" s="16"/>
      <c r="E616" s="16"/>
      <c r="F616" s="16"/>
      <c r="G616" s="16"/>
      <c r="H616" s="16"/>
      <c r="I616" s="17"/>
      <c r="J616" s="16"/>
      <c r="K616" s="16"/>
      <c r="L616" s="16"/>
      <c r="M616" s="16"/>
      <c r="N616" s="17"/>
      <c r="O616" s="17"/>
      <c r="P616" s="17"/>
      <c r="Q616" s="18"/>
    </row>
    <row r="617" spans="3:17">
      <c r="C617" s="15"/>
      <c r="D617" s="16"/>
      <c r="E617" s="16"/>
      <c r="F617" s="16"/>
      <c r="G617" s="16"/>
      <c r="H617" s="16"/>
      <c r="I617" s="17"/>
      <c r="J617" s="16"/>
      <c r="K617" s="16"/>
      <c r="L617" s="16"/>
      <c r="M617" s="16"/>
      <c r="N617" s="17"/>
      <c r="O617" s="17"/>
      <c r="P617" s="17"/>
      <c r="Q617" s="18"/>
    </row>
    <row r="618" spans="3:17">
      <c r="C618" s="15"/>
      <c r="D618" s="16"/>
      <c r="E618" s="16"/>
      <c r="F618" s="16"/>
      <c r="G618" s="16"/>
      <c r="H618" s="16"/>
      <c r="I618" s="17"/>
      <c r="J618" s="16"/>
      <c r="K618" s="16"/>
      <c r="L618" s="16"/>
      <c r="M618" s="16"/>
      <c r="N618" s="17"/>
      <c r="O618" s="17"/>
      <c r="P618" s="17"/>
      <c r="Q618" s="18"/>
    </row>
    <row r="619" spans="3:17">
      <c r="C619" s="15"/>
      <c r="D619" s="16"/>
      <c r="E619" s="16"/>
      <c r="F619" s="16"/>
      <c r="G619" s="16"/>
      <c r="H619" s="16"/>
      <c r="I619" s="17"/>
      <c r="J619" s="16"/>
      <c r="K619" s="16"/>
      <c r="L619" s="16"/>
      <c r="M619" s="16"/>
      <c r="N619" s="17"/>
      <c r="O619" s="17"/>
      <c r="P619" s="17"/>
      <c r="Q619" s="18"/>
    </row>
    <row r="620" spans="3:17">
      <c r="C620" s="15"/>
      <c r="D620" s="16"/>
      <c r="E620" s="16"/>
      <c r="F620" s="16"/>
      <c r="G620" s="16"/>
      <c r="H620" s="16"/>
      <c r="I620" s="17"/>
      <c r="J620" s="16"/>
      <c r="K620" s="16"/>
      <c r="L620" s="16"/>
      <c r="M620" s="16"/>
      <c r="N620" s="17"/>
      <c r="O620" s="17"/>
      <c r="P620" s="17"/>
      <c r="Q620" s="18"/>
    </row>
    <row r="621" spans="3:17">
      <c r="C621" s="15"/>
      <c r="D621" s="16"/>
      <c r="E621" s="16"/>
      <c r="F621" s="16"/>
      <c r="G621" s="16"/>
      <c r="H621" s="16"/>
      <c r="I621" s="17"/>
      <c r="J621" s="16"/>
      <c r="K621" s="16"/>
      <c r="L621" s="16"/>
      <c r="M621" s="16"/>
      <c r="N621" s="17"/>
      <c r="O621" s="17"/>
      <c r="P621" s="17"/>
      <c r="Q621" s="18"/>
    </row>
    <row r="622" spans="3:17">
      <c r="C622" s="15"/>
      <c r="D622" s="16"/>
      <c r="E622" s="16"/>
      <c r="F622" s="16"/>
      <c r="G622" s="16"/>
      <c r="H622" s="16"/>
      <c r="I622" s="17"/>
      <c r="J622" s="16"/>
      <c r="K622" s="16"/>
      <c r="L622" s="16"/>
      <c r="M622" s="16"/>
      <c r="N622" s="17"/>
      <c r="O622" s="17"/>
      <c r="P622" s="17"/>
      <c r="Q622" s="18"/>
    </row>
    <row r="623" spans="3:17">
      <c r="C623" s="15"/>
      <c r="D623" s="16"/>
      <c r="E623" s="16"/>
      <c r="F623" s="16"/>
      <c r="G623" s="16"/>
      <c r="H623" s="16"/>
      <c r="I623" s="17"/>
      <c r="J623" s="16"/>
      <c r="K623" s="16"/>
      <c r="L623" s="16"/>
      <c r="M623" s="16"/>
      <c r="N623" s="17"/>
      <c r="O623" s="17"/>
      <c r="P623" s="17"/>
      <c r="Q623" s="18"/>
    </row>
    <row r="624" spans="3:17">
      <c r="C624" s="15"/>
      <c r="D624" s="16"/>
      <c r="E624" s="16"/>
      <c r="F624" s="16"/>
      <c r="G624" s="16"/>
      <c r="H624" s="16"/>
      <c r="I624" s="17"/>
      <c r="J624" s="16"/>
      <c r="K624" s="16"/>
      <c r="L624" s="16"/>
      <c r="M624" s="16"/>
      <c r="N624" s="17"/>
      <c r="O624" s="17"/>
      <c r="P624" s="17"/>
      <c r="Q624" s="18"/>
    </row>
    <row r="625" spans="3:17">
      <c r="C625" s="15"/>
      <c r="D625" s="16"/>
      <c r="E625" s="16"/>
      <c r="F625" s="16"/>
      <c r="G625" s="16"/>
      <c r="H625" s="16"/>
      <c r="I625" s="17"/>
      <c r="J625" s="16"/>
      <c r="K625" s="16"/>
      <c r="L625" s="16"/>
      <c r="M625" s="16"/>
      <c r="N625" s="17"/>
      <c r="O625" s="17"/>
      <c r="P625" s="17"/>
      <c r="Q625" s="18"/>
    </row>
    <row r="626" spans="3:17">
      <c r="C626" s="15"/>
      <c r="D626" s="16"/>
      <c r="E626" s="16"/>
      <c r="F626" s="16"/>
      <c r="G626" s="16"/>
      <c r="H626" s="16"/>
      <c r="I626" s="17"/>
      <c r="J626" s="16"/>
      <c r="K626" s="16"/>
      <c r="L626" s="16"/>
      <c r="M626" s="16"/>
      <c r="N626" s="17"/>
      <c r="O626" s="17"/>
      <c r="P626" s="17"/>
      <c r="Q626" s="18"/>
    </row>
    <row r="627" spans="3:17">
      <c r="C627" s="15"/>
      <c r="D627" s="16"/>
      <c r="E627" s="16"/>
      <c r="F627" s="16"/>
      <c r="G627" s="16"/>
      <c r="H627" s="16"/>
      <c r="I627" s="17"/>
      <c r="J627" s="16"/>
      <c r="K627" s="16"/>
      <c r="L627" s="16"/>
      <c r="M627" s="16"/>
      <c r="N627" s="17"/>
      <c r="O627" s="17"/>
      <c r="P627" s="17"/>
      <c r="Q627" s="18"/>
    </row>
    <row r="628" spans="3:17">
      <c r="C628" s="15"/>
      <c r="D628" s="16"/>
      <c r="E628" s="16"/>
      <c r="F628" s="16"/>
      <c r="G628" s="16"/>
      <c r="H628" s="16"/>
      <c r="I628" s="17"/>
      <c r="J628" s="16"/>
      <c r="K628" s="16"/>
      <c r="L628" s="16"/>
      <c r="M628" s="16"/>
      <c r="N628" s="17"/>
      <c r="O628" s="17"/>
      <c r="P628" s="17"/>
      <c r="Q628" s="18"/>
    </row>
    <row r="629" spans="3:17">
      <c r="C629" s="15"/>
      <c r="D629" s="16"/>
      <c r="E629" s="16"/>
      <c r="F629" s="16"/>
      <c r="G629" s="16"/>
      <c r="H629" s="16"/>
      <c r="I629" s="17"/>
      <c r="J629" s="16"/>
      <c r="K629" s="16"/>
      <c r="L629" s="16"/>
      <c r="M629" s="16"/>
      <c r="N629" s="17"/>
      <c r="O629" s="17"/>
      <c r="P629" s="17"/>
      <c r="Q629" s="18"/>
    </row>
    <row r="630" spans="3:17">
      <c r="C630" s="15"/>
      <c r="D630" s="16"/>
      <c r="E630" s="16"/>
      <c r="F630" s="16"/>
      <c r="G630" s="16"/>
      <c r="H630" s="16"/>
      <c r="I630" s="17"/>
      <c r="J630" s="16"/>
      <c r="K630" s="16"/>
      <c r="L630" s="16"/>
      <c r="M630" s="16"/>
      <c r="N630" s="17"/>
      <c r="O630" s="17"/>
      <c r="P630" s="17"/>
      <c r="Q630" s="18"/>
    </row>
    <row r="631" spans="3:17">
      <c r="C631" s="15"/>
      <c r="D631" s="16"/>
      <c r="E631" s="16"/>
      <c r="F631" s="16"/>
      <c r="G631" s="16"/>
      <c r="H631" s="16"/>
      <c r="I631" s="17"/>
      <c r="J631" s="16"/>
      <c r="K631" s="16"/>
      <c r="L631" s="16"/>
      <c r="M631" s="16"/>
      <c r="N631" s="17"/>
      <c r="O631" s="17"/>
      <c r="P631" s="17"/>
      <c r="Q631" s="18"/>
    </row>
    <row r="632" spans="3:17">
      <c r="C632" s="15"/>
      <c r="D632" s="16"/>
      <c r="E632" s="16"/>
      <c r="F632" s="16"/>
      <c r="G632" s="16"/>
      <c r="H632" s="16"/>
      <c r="I632" s="17"/>
      <c r="J632" s="16"/>
      <c r="K632" s="16"/>
      <c r="L632" s="16"/>
      <c r="M632" s="16"/>
      <c r="N632" s="17"/>
      <c r="O632" s="17"/>
      <c r="P632" s="17"/>
      <c r="Q632" s="18"/>
    </row>
    <row r="633" spans="3:17">
      <c r="C633" s="15"/>
      <c r="D633" s="16"/>
      <c r="E633" s="16"/>
      <c r="F633" s="16"/>
      <c r="G633" s="16"/>
      <c r="H633" s="16"/>
      <c r="I633" s="17"/>
      <c r="J633" s="16"/>
      <c r="K633" s="16"/>
      <c r="L633" s="16"/>
      <c r="M633" s="16"/>
      <c r="N633" s="17"/>
      <c r="O633" s="17"/>
      <c r="P633" s="17"/>
      <c r="Q633" s="18"/>
    </row>
    <row r="634" spans="3:17">
      <c r="C634" s="15"/>
      <c r="D634" s="16"/>
      <c r="E634" s="16"/>
      <c r="F634" s="16"/>
      <c r="G634" s="16"/>
      <c r="H634" s="16"/>
      <c r="I634" s="17"/>
      <c r="J634" s="16"/>
      <c r="K634" s="16"/>
      <c r="L634" s="16"/>
      <c r="M634" s="16"/>
      <c r="N634" s="17"/>
      <c r="O634" s="17"/>
      <c r="P634" s="17"/>
      <c r="Q634" s="18"/>
    </row>
    <row r="635" spans="3:17">
      <c r="C635" s="15"/>
      <c r="D635" s="16"/>
      <c r="E635" s="16"/>
      <c r="F635" s="16"/>
      <c r="G635" s="16"/>
      <c r="H635" s="16"/>
      <c r="I635" s="17"/>
      <c r="J635" s="16"/>
      <c r="K635" s="16"/>
      <c r="L635" s="16"/>
      <c r="M635" s="16"/>
      <c r="N635" s="17"/>
      <c r="O635" s="17"/>
      <c r="P635" s="17"/>
      <c r="Q635" s="18"/>
    </row>
    <row r="636" spans="3:17">
      <c r="C636" s="15"/>
      <c r="D636" s="16"/>
      <c r="E636" s="16"/>
      <c r="F636" s="16"/>
      <c r="G636" s="16"/>
      <c r="H636" s="16"/>
      <c r="I636" s="17"/>
      <c r="J636" s="16"/>
      <c r="K636" s="16"/>
      <c r="L636" s="16"/>
      <c r="M636" s="16"/>
      <c r="N636" s="17"/>
      <c r="O636" s="17"/>
      <c r="P636" s="17"/>
      <c r="Q636" s="18"/>
    </row>
    <row r="637" spans="3:17">
      <c r="C637" s="15"/>
      <c r="D637" s="16"/>
      <c r="E637" s="16"/>
      <c r="F637" s="16"/>
      <c r="G637" s="16"/>
      <c r="H637" s="16"/>
      <c r="I637" s="17"/>
      <c r="J637" s="16"/>
      <c r="K637" s="16"/>
      <c r="L637" s="16"/>
      <c r="M637" s="16"/>
      <c r="N637" s="17"/>
      <c r="O637" s="17"/>
      <c r="P637" s="17"/>
      <c r="Q637" s="18"/>
    </row>
    <row r="638" spans="3:17">
      <c r="C638" s="15"/>
      <c r="D638" s="16"/>
      <c r="E638" s="16"/>
      <c r="F638" s="16"/>
      <c r="G638" s="16"/>
      <c r="H638" s="16"/>
      <c r="I638" s="17"/>
      <c r="J638" s="16"/>
      <c r="K638" s="16"/>
      <c r="L638" s="16"/>
      <c r="M638" s="16"/>
      <c r="N638" s="17"/>
      <c r="O638" s="17"/>
      <c r="P638" s="17"/>
      <c r="Q638" s="18"/>
    </row>
    <row r="639" spans="3:17">
      <c r="C639" s="15"/>
      <c r="D639" s="16"/>
      <c r="E639" s="16"/>
      <c r="F639" s="16"/>
      <c r="G639" s="16"/>
      <c r="H639" s="16"/>
      <c r="I639" s="17"/>
      <c r="J639" s="16"/>
      <c r="K639" s="16"/>
      <c r="L639" s="16"/>
      <c r="M639" s="16"/>
      <c r="N639" s="17"/>
      <c r="O639" s="17"/>
      <c r="P639" s="17"/>
      <c r="Q639" s="18"/>
    </row>
    <row r="640" spans="3:17">
      <c r="C640" s="15"/>
      <c r="D640" s="16"/>
      <c r="E640" s="16"/>
      <c r="F640" s="16"/>
      <c r="G640" s="16"/>
      <c r="H640" s="16"/>
      <c r="I640" s="17"/>
      <c r="J640" s="16"/>
      <c r="K640" s="16"/>
      <c r="L640" s="16"/>
      <c r="M640" s="16"/>
      <c r="N640" s="17"/>
      <c r="O640" s="17"/>
      <c r="P640" s="17"/>
      <c r="Q640" s="18"/>
    </row>
    <row r="641" spans="3:17">
      <c r="C641" s="15"/>
      <c r="D641" s="16"/>
      <c r="E641" s="16"/>
      <c r="F641" s="16"/>
      <c r="G641" s="16"/>
      <c r="H641" s="16"/>
      <c r="I641" s="17"/>
      <c r="J641" s="16"/>
      <c r="K641" s="16"/>
      <c r="L641" s="16"/>
      <c r="M641" s="16"/>
      <c r="N641" s="17"/>
      <c r="O641" s="17"/>
      <c r="P641" s="17"/>
      <c r="Q641" s="18"/>
    </row>
    <row r="642" spans="3:17">
      <c r="C642" s="15"/>
      <c r="D642" s="16"/>
      <c r="E642" s="16"/>
      <c r="F642" s="16"/>
      <c r="G642" s="16"/>
      <c r="H642" s="16"/>
      <c r="I642" s="17"/>
      <c r="J642" s="16"/>
      <c r="K642" s="16"/>
      <c r="L642" s="16"/>
      <c r="M642" s="16"/>
      <c r="N642" s="17"/>
      <c r="O642" s="17"/>
      <c r="P642" s="17"/>
      <c r="Q642" s="18"/>
    </row>
    <row r="643" spans="3:17">
      <c r="C643" s="15"/>
      <c r="D643" s="16"/>
      <c r="E643" s="16"/>
      <c r="F643" s="16"/>
      <c r="G643" s="16"/>
      <c r="H643" s="16"/>
      <c r="I643" s="17"/>
      <c r="J643" s="16"/>
      <c r="K643" s="16"/>
      <c r="L643" s="16"/>
      <c r="M643" s="16"/>
      <c r="N643" s="17"/>
      <c r="O643" s="17"/>
      <c r="P643" s="17"/>
      <c r="Q643" s="18"/>
    </row>
    <row r="644" spans="3:17">
      <c r="C644" s="15"/>
      <c r="D644" s="16"/>
      <c r="E644" s="16"/>
      <c r="F644" s="16"/>
      <c r="G644" s="16"/>
      <c r="H644" s="16"/>
      <c r="I644" s="17"/>
      <c r="J644" s="16"/>
      <c r="K644" s="16"/>
      <c r="L644" s="16"/>
      <c r="M644" s="16"/>
      <c r="N644" s="17"/>
      <c r="O644" s="17"/>
      <c r="P644" s="17"/>
      <c r="Q644" s="18"/>
    </row>
    <row r="645" spans="3:17">
      <c r="C645" s="15"/>
      <c r="D645" s="16"/>
      <c r="E645" s="16"/>
      <c r="F645" s="16"/>
      <c r="G645" s="16"/>
      <c r="H645" s="16"/>
      <c r="I645" s="17"/>
      <c r="J645" s="16"/>
      <c r="K645" s="16"/>
      <c r="L645" s="16"/>
      <c r="M645" s="16"/>
      <c r="N645" s="17"/>
      <c r="O645" s="17"/>
      <c r="P645" s="17"/>
      <c r="Q645" s="18"/>
    </row>
    <row r="646" spans="3:17">
      <c r="C646" s="15"/>
      <c r="D646" s="16"/>
      <c r="E646" s="16"/>
      <c r="F646" s="16"/>
      <c r="G646" s="16"/>
      <c r="H646" s="16"/>
      <c r="I646" s="17"/>
      <c r="J646" s="16"/>
      <c r="K646" s="16"/>
      <c r="L646" s="16"/>
      <c r="M646" s="16"/>
      <c r="N646" s="17"/>
      <c r="O646" s="17"/>
      <c r="P646" s="17"/>
      <c r="Q646" s="18"/>
    </row>
    <row r="647" spans="3:17">
      <c r="C647" s="15"/>
      <c r="D647" s="16"/>
      <c r="E647" s="16"/>
      <c r="F647" s="16"/>
      <c r="G647" s="16"/>
      <c r="H647" s="16"/>
      <c r="I647" s="17"/>
      <c r="J647" s="16"/>
      <c r="K647" s="16"/>
      <c r="L647" s="16"/>
      <c r="M647" s="16"/>
      <c r="N647" s="17"/>
      <c r="O647" s="17"/>
      <c r="P647" s="17"/>
      <c r="Q647" s="18"/>
    </row>
    <row r="648" spans="3:17">
      <c r="C648" s="15"/>
      <c r="D648" s="16"/>
      <c r="E648" s="16"/>
      <c r="F648" s="16"/>
      <c r="G648" s="16"/>
      <c r="H648" s="16"/>
      <c r="I648" s="17"/>
      <c r="J648" s="16"/>
      <c r="K648" s="16"/>
      <c r="L648" s="16"/>
      <c r="M648" s="16"/>
      <c r="N648" s="17"/>
      <c r="O648" s="17"/>
      <c r="P648" s="17"/>
      <c r="Q648" s="18"/>
    </row>
    <row r="649" spans="3:17">
      <c r="C649" s="15"/>
      <c r="D649" s="16"/>
      <c r="E649" s="16"/>
      <c r="F649" s="16"/>
      <c r="G649" s="16"/>
      <c r="H649" s="16"/>
      <c r="I649" s="17"/>
      <c r="J649" s="16"/>
      <c r="K649" s="16"/>
      <c r="L649" s="16"/>
      <c r="M649" s="16"/>
      <c r="N649" s="17"/>
      <c r="O649" s="17"/>
      <c r="P649" s="17"/>
      <c r="Q649" s="18"/>
    </row>
    <row r="650" spans="3:17">
      <c r="C650" s="15"/>
      <c r="D650" s="16"/>
      <c r="E650" s="16"/>
      <c r="F650" s="16"/>
      <c r="G650" s="16"/>
      <c r="H650" s="16"/>
      <c r="I650" s="17"/>
      <c r="J650" s="16"/>
      <c r="K650" s="16"/>
      <c r="L650" s="16"/>
      <c r="M650" s="16"/>
      <c r="N650" s="17"/>
      <c r="O650" s="17"/>
      <c r="P650" s="17"/>
      <c r="Q650" s="18"/>
    </row>
    <row r="651" spans="3:17">
      <c r="C651" s="15"/>
      <c r="D651" s="16"/>
      <c r="E651" s="16"/>
      <c r="F651" s="16"/>
      <c r="G651" s="16"/>
      <c r="H651" s="16"/>
      <c r="I651" s="17"/>
      <c r="J651" s="16"/>
      <c r="K651" s="16"/>
      <c r="L651" s="16"/>
      <c r="M651" s="16"/>
      <c r="N651" s="17"/>
      <c r="O651" s="17"/>
      <c r="P651" s="17"/>
      <c r="Q651" s="18"/>
    </row>
    <row r="652" spans="3:17">
      <c r="C652" s="15"/>
      <c r="D652" s="16"/>
      <c r="E652" s="16"/>
      <c r="F652" s="16"/>
      <c r="G652" s="16"/>
      <c r="H652" s="16"/>
      <c r="I652" s="17"/>
      <c r="J652" s="16"/>
      <c r="K652" s="16"/>
      <c r="L652" s="16"/>
      <c r="M652" s="16"/>
      <c r="N652" s="17"/>
      <c r="O652" s="17"/>
      <c r="P652" s="17"/>
      <c r="Q652" s="18"/>
    </row>
    <row r="653" spans="3:17">
      <c r="C653" s="15"/>
      <c r="D653" s="16"/>
      <c r="E653" s="16"/>
      <c r="F653" s="16"/>
      <c r="G653" s="16"/>
      <c r="H653" s="16"/>
      <c r="I653" s="17"/>
      <c r="J653" s="16"/>
      <c r="K653" s="16"/>
      <c r="L653" s="16"/>
      <c r="M653" s="16"/>
      <c r="N653" s="17"/>
      <c r="O653" s="17"/>
      <c r="P653" s="17"/>
      <c r="Q653" s="18"/>
    </row>
    <row r="654" spans="3:17">
      <c r="C654" s="15"/>
      <c r="D654" s="16"/>
      <c r="E654" s="16"/>
      <c r="F654" s="16"/>
      <c r="G654" s="16"/>
      <c r="H654" s="16"/>
      <c r="I654" s="17"/>
      <c r="J654" s="16"/>
      <c r="K654" s="16"/>
      <c r="L654" s="16"/>
      <c r="M654" s="16"/>
      <c r="N654" s="17"/>
      <c r="O654" s="17"/>
      <c r="P654" s="17"/>
      <c r="Q654" s="18"/>
    </row>
    <row r="655" spans="3:17">
      <c r="C655" s="15"/>
      <c r="D655" s="16"/>
      <c r="E655" s="16"/>
      <c r="F655" s="16"/>
      <c r="G655" s="16"/>
      <c r="H655" s="16"/>
      <c r="I655" s="17"/>
      <c r="J655" s="16"/>
      <c r="K655" s="16"/>
      <c r="L655" s="16"/>
      <c r="M655" s="16"/>
      <c r="N655" s="17"/>
      <c r="O655" s="17"/>
      <c r="P655" s="17"/>
      <c r="Q655" s="18"/>
    </row>
    <row r="656" spans="3:17">
      <c r="C656" s="15"/>
      <c r="D656" s="16"/>
      <c r="E656" s="16"/>
      <c r="F656" s="16"/>
      <c r="G656" s="16"/>
      <c r="H656" s="16"/>
      <c r="I656" s="17"/>
      <c r="J656" s="16"/>
      <c r="K656" s="16"/>
      <c r="L656" s="16"/>
      <c r="M656" s="16"/>
      <c r="N656" s="17"/>
      <c r="O656" s="17"/>
      <c r="P656" s="17"/>
      <c r="Q656" s="18"/>
    </row>
    <row r="657" spans="3:17">
      <c r="C657" s="15"/>
      <c r="D657" s="16"/>
      <c r="E657" s="16"/>
      <c r="F657" s="16"/>
      <c r="G657" s="16"/>
      <c r="H657" s="16"/>
      <c r="I657" s="17"/>
      <c r="J657" s="16"/>
      <c r="K657" s="16"/>
      <c r="L657" s="16"/>
      <c r="M657" s="16"/>
      <c r="N657" s="17"/>
      <c r="O657" s="17"/>
      <c r="P657" s="17"/>
      <c r="Q657" s="18"/>
    </row>
    <row r="658" spans="3:17">
      <c r="C658" s="15"/>
      <c r="D658" s="16"/>
      <c r="E658" s="16"/>
      <c r="F658" s="16"/>
      <c r="G658" s="16"/>
      <c r="H658" s="16"/>
      <c r="I658" s="17"/>
      <c r="J658" s="16"/>
      <c r="K658" s="16"/>
      <c r="L658" s="16"/>
      <c r="M658" s="16"/>
      <c r="N658" s="17"/>
      <c r="O658" s="17"/>
      <c r="P658" s="17"/>
      <c r="Q658" s="18"/>
    </row>
    <row r="659" spans="3:17">
      <c r="C659" s="15"/>
      <c r="D659" s="16"/>
      <c r="E659" s="16"/>
      <c r="F659" s="16"/>
      <c r="G659" s="16"/>
      <c r="H659" s="16"/>
      <c r="I659" s="17"/>
      <c r="J659" s="16"/>
      <c r="K659" s="16"/>
      <c r="L659" s="16"/>
      <c r="M659" s="16"/>
      <c r="N659" s="17"/>
      <c r="O659" s="17"/>
      <c r="P659" s="17"/>
      <c r="Q659" s="18"/>
    </row>
    <row r="660" spans="3:17">
      <c r="C660" s="15"/>
      <c r="D660" s="16"/>
      <c r="E660" s="16"/>
      <c r="F660" s="16"/>
      <c r="G660" s="16"/>
      <c r="H660" s="16"/>
      <c r="I660" s="17"/>
      <c r="J660" s="16"/>
      <c r="K660" s="16"/>
      <c r="L660" s="16"/>
      <c r="M660" s="16"/>
      <c r="N660" s="17"/>
      <c r="O660" s="17"/>
      <c r="P660" s="17"/>
      <c r="Q660" s="18"/>
    </row>
    <row r="661" spans="3:17">
      <c r="C661" s="15"/>
      <c r="D661" s="16"/>
      <c r="E661" s="16"/>
      <c r="F661" s="16"/>
      <c r="G661" s="16"/>
      <c r="H661" s="16"/>
      <c r="I661" s="17"/>
      <c r="J661" s="16"/>
      <c r="K661" s="16"/>
      <c r="L661" s="16"/>
      <c r="M661" s="16"/>
      <c r="N661" s="17"/>
      <c r="O661" s="17"/>
      <c r="P661" s="17"/>
      <c r="Q661" s="18"/>
    </row>
    <row r="662" spans="3:17">
      <c r="C662" s="15"/>
      <c r="D662" s="16"/>
      <c r="E662" s="16"/>
      <c r="F662" s="16"/>
      <c r="G662" s="16"/>
      <c r="H662" s="16"/>
      <c r="I662" s="17"/>
      <c r="J662" s="16"/>
      <c r="K662" s="16"/>
      <c r="L662" s="16"/>
      <c r="M662" s="16"/>
      <c r="N662" s="17"/>
      <c r="O662" s="17"/>
      <c r="P662" s="17"/>
      <c r="Q662" s="18"/>
    </row>
    <row r="663" spans="3:17">
      <c r="C663" s="15"/>
      <c r="D663" s="16"/>
      <c r="E663" s="16"/>
      <c r="F663" s="16"/>
      <c r="G663" s="16"/>
      <c r="H663" s="16"/>
      <c r="I663" s="17"/>
      <c r="J663" s="16"/>
      <c r="K663" s="16"/>
      <c r="L663" s="16"/>
      <c r="M663" s="16"/>
      <c r="N663" s="17"/>
      <c r="O663" s="17"/>
      <c r="P663" s="17"/>
      <c r="Q663" s="18"/>
    </row>
    <row r="664" spans="3:17">
      <c r="C664" s="15"/>
      <c r="D664" s="16"/>
      <c r="E664" s="16"/>
      <c r="F664" s="16"/>
      <c r="G664" s="16"/>
      <c r="H664" s="16"/>
      <c r="I664" s="17"/>
      <c r="J664" s="16"/>
      <c r="K664" s="16"/>
      <c r="L664" s="16"/>
      <c r="M664" s="16"/>
      <c r="N664" s="17"/>
      <c r="O664" s="17"/>
      <c r="P664" s="17"/>
      <c r="Q664" s="18"/>
    </row>
    <row r="665" spans="3:17">
      <c r="C665" s="15"/>
      <c r="D665" s="16"/>
      <c r="E665" s="16"/>
      <c r="F665" s="16"/>
      <c r="G665" s="16"/>
      <c r="H665" s="16"/>
      <c r="I665" s="17"/>
      <c r="J665" s="16"/>
      <c r="K665" s="16"/>
      <c r="L665" s="16"/>
      <c r="M665" s="16"/>
      <c r="N665" s="17"/>
      <c r="O665" s="17"/>
      <c r="P665" s="17"/>
      <c r="Q665" s="18"/>
    </row>
    <row r="666" spans="3:17">
      <c r="C666" s="15"/>
      <c r="D666" s="16"/>
      <c r="E666" s="16"/>
      <c r="F666" s="16"/>
      <c r="G666" s="16"/>
      <c r="H666" s="16"/>
      <c r="I666" s="17"/>
      <c r="J666" s="16"/>
      <c r="K666" s="16"/>
      <c r="L666" s="16"/>
      <c r="M666" s="16"/>
      <c r="N666" s="17"/>
      <c r="O666" s="17"/>
      <c r="P666" s="17"/>
      <c r="Q666" s="18"/>
    </row>
    <row r="667" spans="3:17">
      <c r="C667" s="15"/>
      <c r="D667" s="16"/>
      <c r="E667" s="16"/>
      <c r="F667" s="16"/>
      <c r="G667" s="16"/>
      <c r="H667" s="16"/>
      <c r="I667" s="17"/>
      <c r="J667" s="16"/>
      <c r="K667" s="16"/>
      <c r="L667" s="16"/>
      <c r="M667" s="16"/>
      <c r="N667" s="17"/>
      <c r="O667" s="17"/>
      <c r="P667" s="17"/>
      <c r="Q667" s="18"/>
    </row>
    <row r="668" spans="3:17">
      <c r="C668" s="15"/>
      <c r="D668" s="16"/>
      <c r="E668" s="16"/>
      <c r="F668" s="16"/>
      <c r="G668" s="16"/>
      <c r="H668" s="16"/>
      <c r="I668" s="17"/>
      <c r="J668" s="16"/>
      <c r="K668" s="16"/>
      <c r="L668" s="16"/>
      <c r="M668" s="16"/>
      <c r="N668" s="17"/>
      <c r="O668" s="17"/>
      <c r="P668" s="17"/>
      <c r="Q668" s="18"/>
    </row>
    <row r="669" spans="3:17">
      <c r="C669" s="15"/>
      <c r="D669" s="16"/>
      <c r="E669" s="16"/>
      <c r="F669" s="16"/>
      <c r="G669" s="16"/>
      <c r="H669" s="16"/>
      <c r="I669" s="17"/>
      <c r="J669" s="16"/>
      <c r="K669" s="16"/>
      <c r="L669" s="16"/>
      <c r="M669" s="16"/>
      <c r="N669" s="17"/>
      <c r="O669" s="17"/>
      <c r="P669" s="17"/>
      <c r="Q669" s="18"/>
    </row>
    <row r="670" spans="3:17">
      <c r="C670" s="15"/>
      <c r="D670" s="16"/>
      <c r="E670" s="16"/>
      <c r="F670" s="16"/>
      <c r="G670" s="16"/>
      <c r="H670" s="16"/>
      <c r="I670" s="17"/>
      <c r="J670" s="16"/>
      <c r="K670" s="16"/>
      <c r="L670" s="16"/>
      <c r="M670" s="16"/>
      <c r="N670" s="17"/>
      <c r="O670" s="17"/>
      <c r="P670" s="17"/>
      <c r="Q670" s="18"/>
    </row>
    <row r="671" spans="3:17">
      <c r="C671" s="15"/>
      <c r="D671" s="16"/>
      <c r="E671" s="16"/>
      <c r="F671" s="16"/>
      <c r="G671" s="16"/>
      <c r="H671" s="16"/>
      <c r="I671" s="17"/>
      <c r="J671" s="16"/>
      <c r="K671" s="16"/>
      <c r="L671" s="16"/>
      <c r="M671" s="16"/>
      <c r="N671" s="17"/>
      <c r="O671" s="17"/>
      <c r="P671" s="17"/>
      <c r="Q671" s="18"/>
    </row>
    <row r="672" spans="3:17">
      <c r="C672" s="15"/>
      <c r="D672" s="16"/>
      <c r="E672" s="16"/>
      <c r="F672" s="16"/>
      <c r="G672" s="16"/>
      <c r="H672" s="16"/>
      <c r="I672" s="17"/>
      <c r="J672" s="16"/>
      <c r="K672" s="16"/>
      <c r="L672" s="16"/>
      <c r="M672" s="16"/>
      <c r="N672" s="17"/>
      <c r="O672" s="17"/>
      <c r="P672" s="17"/>
      <c r="Q672" s="18"/>
    </row>
    <row r="673" spans="3:17">
      <c r="C673" s="15"/>
      <c r="D673" s="16"/>
      <c r="E673" s="16"/>
      <c r="F673" s="16"/>
      <c r="G673" s="16"/>
      <c r="H673" s="16"/>
      <c r="I673" s="17"/>
      <c r="J673" s="16"/>
      <c r="K673" s="16"/>
      <c r="L673" s="16"/>
      <c r="M673" s="16"/>
      <c r="N673" s="17"/>
      <c r="O673" s="17"/>
      <c r="P673" s="17"/>
      <c r="Q673" s="18"/>
    </row>
    <row r="674" spans="3:17">
      <c r="C674" s="15"/>
      <c r="D674" s="16"/>
      <c r="E674" s="16"/>
      <c r="F674" s="16"/>
      <c r="G674" s="16"/>
      <c r="H674" s="16"/>
      <c r="I674" s="17"/>
      <c r="J674" s="16"/>
      <c r="K674" s="16"/>
      <c r="L674" s="16"/>
      <c r="M674" s="16"/>
      <c r="N674" s="17"/>
      <c r="O674" s="17"/>
      <c r="P674" s="17"/>
      <c r="Q674" s="18"/>
    </row>
    <row r="675" spans="3:17">
      <c r="C675" s="15"/>
      <c r="D675" s="16"/>
      <c r="E675" s="16"/>
      <c r="F675" s="16"/>
      <c r="G675" s="16"/>
      <c r="H675" s="16"/>
      <c r="I675" s="17"/>
      <c r="J675" s="16"/>
      <c r="K675" s="16"/>
      <c r="L675" s="16"/>
      <c r="M675" s="16"/>
      <c r="N675" s="17"/>
      <c r="O675" s="17"/>
      <c r="P675" s="17"/>
      <c r="Q675" s="18"/>
    </row>
    <row r="676" spans="3:17">
      <c r="C676" s="15"/>
      <c r="D676" s="16"/>
      <c r="E676" s="16"/>
      <c r="F676" s="16"/>
      <c r="G676" s="16"/>
      <c r="H676" s="16"/>
      <c r="I676" s="17"/>
      <c r="J676" s="16"/>
      <c r="K676" s="16"/>
      <c r="L676" s="16"/>
      <c r="M676" s="16"/>
      <c r="N676" s="17"/>
      <c r="O676" s="17"/>
      <c r="P676" s="17"/>
      <c r="Q676" s="18"/>
    </row>
    <row r="677" spans="3:17">
      <c r="C677" s="15"/>
      <c r="D677" s="16"/>
      <c r="E677" s="16"/>
      <c r="F677" s="16"/>
      <c r="G677" s="16"/>
      <c r="H677" s="16"/>
      <c r="I677" s="17"/>
      <c r="J677" s="16"/>
      <c r="K677" s="16"/>
      <c r="L677" s="16"/>
      <c r="M677" s="16"/>
      <c r="N677" s="17"/>
      <c r="O677" s="17"/>
      <c r="P677" s="17"/>
      <c r="Q677" s="18"/>
    </row>
    <row r="678" spans="3:17">
      <c r="C678" s="15"/>
      <c r="D678" s="16"/>
      <c r="E678" s="16"/>
      <c r="F678" s="16"/>
      <c r="G678" s="16"/>
      <c r="H678" s="16"/>
      <c r="I678" s="17"/>
      <c r="J678" s="16"/>
      <c r="K678" s="16"/>
      <c r="L678" s="16"/>
      <c r="M678" s="16"/>
      <c r="N678" s="17"/>
      <c r="O678" s="17"/>
      <c r="P678" s="17"/>
      <c r="Q678" s="18"/>
    </row>
    <row r="679" spans="3:17">
      <c r="C679" s="15"/>
      <c r="D679" s="16"/>
      <c r="E679" s="16"/>
      <c r="F679" s="16"/>
      <c r="G679" s="16"/>
      <c r="H679" s="16"/>
      <c r="I679" s="17"/>
      <c r="J679" s="16"/>
      <c r="K679" s="16"/>
      <c r="L679" s="16"/>
      <c r="M679" s="16"/>
      <c r="N679" s="17"/>
      <c r="O679" s="17"/>
      <c r="P679" s="17"/>
      <c r="Q679" s="18"/>
    </row>
    <row r="680" spans="3:17">
      <c r="C680" s="15"/>
      <c r="D680" s="16"/>
      <c r="E680" s="16"/>
      <c r="F680" s="16"/>
      <c r="G680" s="16"/>
      <c r="H680" s="16"/>
      <c r="I680" s="17"/>
      <c r="J680" s="16"/>
      <c r="K680" s="16"/>
      <c r="L680" s="16"/>
      <c r="M680" s="16"/>
      <c r="N680" s="17"/>
      <c r="O680" s="17"/>
      <c r="P680" s="17"/>
      <c r="Q680" s="18"/>
    </row>
    <row r="681" spans="3:17">
      <c r="C681" s="15"/>
      <c r="D681" s="16"/>
      <c r="E681" s="16"/>
      <c r="F681" s="16"/>
      <c r="G681" s="16"/>
      <c r="H681" s="16"/>
      <c r="I681" s="17"/>
      <c r="J681" s="16"/>
      <c r="K681" s="16"/>
      <c r="L681" s="16"/>
      <c r="M681" s="16"/>
      <c r="N681" s="17"/>
      <c r="O681" s="17"/>
      <c r="P681" s="17"/>
      <c r="Q681" s="18"/>
    </row>
    <row r="682" spans="3:17">
      <c r="C682" s="15"/>
      <c r="D682" s="16"/>
      <c r="E682" s="16"/>
      <c r="F682" s="16"/>
      <c r="G682" s="16"/>
      <c r="H682" s="16"/>
      <c r="I682" s="17"/>
      <c r="J682" s="16"/>
      <c r="K682" s="16"/>
      <c r="L682" s="16"/>
      <c r="M682" s="16"/>
      <c r="N682" s="17"/>
      <c r="O682" s="17"/>
      <c r="P682" s="17"/>
      <c r="Q682" s="18"/>
    </row>
    <row r="683" spans="3:17">
      <c r="C683" s="15"/>
      <c r="D683" s="16"/>
      <c r="E683" s="16"/>
      <c r="F683" s="16"/>
      <c r="G683" s="16"/>
      <c r="H683" s="16"/>
      <c r="I683" s="17"/>
      <c r="J683" s="16"/>
      <c r="K683" s="16"/>
      <c r="L683" s="16"/>
      <c r="M683" s="16"/>
      <c r="N683" s="17"/>
      <c r="O683" s="17"/>
      <c r="P683" s="17"/>
      <c r="Q683" s="18"/>
    </row>
    <row r="684" spans="3:17">
      <c r="C684" s="15"/>
      <c r="D684" s="16"/>
      <c r="E684" s="16"/>
      <c r="F684" s="16"/>
      <c r="G684" s="16"/>
      <c r="H684" s="16"/>
      <c r="I684" s="17"/>
      <c r="J684" s="16"/>
      <c r="K684" s="16"/>
      <c r="L684" s="16"/>
      <c r="M684" s="16"/>
      <c r="N684" s="17"/>
      <c r="O684" s="17"/>
      <c r="P684" s="17"/>
      <c r="Q684" s="18"/>
    </row>
    <row r="685" spans="3:17">
      <c r="C685" s="15"/>
      <c r="D685" s="16"/>
      <c r="E685" s="16"/>
      <c r="F685" s="16"/>
      <c r="G685" s="16"/>
      <c r="H685" s="16"/>
      <c r="I685" s="17"/>
      <c r="J685" s="16"/>
      <c r="K685" s="16"/>
      <c r="L685" s="16"/>
      <c r="M685" s="16"/>
      <c r="N685" s="17"/>
      <c r="O685" s="17"/>
      <c r="P685" s="17"/>
      <c r="Q685" s="18"/>
    </row>
    <row r="686" spans="3:17">
      <c r="C686" s="15"/>
      <c r="D686" s="16"/>
      <c r="E686" s="16"/>
      <c r="F686" s="16"/>
      <c r="G686" s="16"/>
      <c r="H686" s="16"/>
      <c r="I686" s="17"/>
      <c r="J686" s="16"/>
      <c r="K686" s="16"/>
      <c r="L686" s="16"/>
      <c r="M686" s="16"/>
      <c r="N686" s="17"/>
      <c r="O686" s="17"/>
      <c r="P686" s="17"/>
      <c r="Q686" s="18"/>
    </row>
    <row r="687" spans="3:17">
      <c r="C687" s="15"/>
      <c r="D687" s="16"/>
      <c r="E687" s="16"/>
      <c r="F687" s="16"/>
      <c r="G687" s="16"/>
      <c r="H687" s="16"/>
      <c r="I687" s="17"/>
      <c r="J687" s="16"/>
      <c r="K687" s="16"/>
      <c r="L687" s="16"/>
      <c r="M687" s="16"/>
      <c r="N687" s="17"/>
      <c r="O687" s="17"/>
      <c r="P687" s="17"/>
      <c r="Q687" s="18"/>
    </row>
    <row r="688" spans="3:17">
      <c r="C688" s="15"/>
      <c r="D688" s="16"/>
      <c r="E688" s="16"/>
      <c r="F688" s="16"/>
      <c r="G688" s="16"/>
      <c r="H688" s="16"/>
      <c r="I688" s="17"/>
      <c r="J688" s="16"/>
      <c r="K688" s="16"/>
      <c r="L688" s="16"/>
      <c r="M688" s="16"/>
      <c r="N688" s="17"/>
      <c r="O688" s="17"/>
      <c r="P688" s="17"/>
      <c r="Q688" s="18"/>
    </row>
    <row r="689" spans="3:17">
      <c r="C689" s="15"/>
      <c r="D689" s="16"/>
      <c r="E689" s="16"/>
      <c r="F689" s="16"/>
      <c r="G689" s="16"/>
      <c r="H689" s="16"/>
      <c r="I689" s="17"/>
      <c r="J689" s="16"/>
      <c r="K689" s="16"/>
      <c r="L689" s="16"/>
      <c r="M689" s="16"/>
      <c r="N689" s="17"/>
      <c r="O689" s="17"/>
      <c r="P689" s="17"/>
      <c r="Q689" s="18"/>
    </row>
    <row r="690" spans="3:17">
      <c r="C690" s="15"/>
      <c r="D690" s="16"/>
      <c r="E690" s="16"/>
      <c r="F690" s="16"/>
      <c r="G690" s="16"/>
      <c r="H690" s="16"/>
      <c r="I690" s="17"/>
      <c r="J690" s="16"/>
      <c r="K690" s="16"/>
      <c r="L690" s="16"/>
      <c r="M690" s="16"/>
      <c r="N690" s="17"/>
      <c r="O690" s="17"/>
      <c r="P690" s="17"/>
      <c r="Q690" s="18"/>
    </row>
    <row r="691" spans="3:17">
      <c r="C691" s="15"/>
      <c r="D691" s="16"/>
      <c r="E691" s="16"/>
      <c r="F691" s="16"/>
      <c r="G691" s="16"/>
      <c r="H691" s="16"/>
      <c r="I691" s="17"/>
      <c r="J691" s="16"/>
      <c r="K691" s="16"/>
      <c r="L691" s="16"/>
      <c r="M691" s="16"/>
      <c r="N691" s="17"/>
      <c r="O691" s="17"/>
      <c r="P691" s="17"/>
      <c r="Q691" s="18"/>
    </row>
    <row r="692" spans="3:17">
      <c r="C692" s="15"/>
      <c r="D692" s="16"/>
      <c r="E692" s="16"/>
      <c r="F692" s="16"/>
      <c r="G692" s="16"/>
      <c r="H692" s="16"/>
      <c r="I692" s="17"/>
      <c r="J692" s="16"/>
      <c r="K692" s="16"/>
      <c r="L692" s="16"/>
      <c r="M692" s="16"/>
      <c r="N692" s="17"/>
      <c r="O692" s="17"/>
      <c r="P692" s="17"/>
      <c r="Q692" s="18"/>
    </row>
    <row r="693" spans="3:17">
      <c r="C693" s="15"/>
      <c r="D693" s="16"/>
      <c r="E693" s="16"/>
      <c r="F693" s="16"/>
      <c r="G693" s="16"/>
      <c r="H693" s="16"/>
      <c r="I693" s="17"/>
      <c r="J693" s="16"/>
      <c r="K693" s="16"/>
      <c r="L693" s="16"/>
      <c r="M693" s="16"/>
      <c r="N693" s="17"/>
      <c r="O693" s="17"/>
      <c r="P693" s="17"/>
      <c r="Q693" s="18"/>
    </row>
    <row r="694" spans="3:17">
      <c r="C694" s="15"/>
      <c r="D694" s="16"/>
      <c r="E694" s="16"/>
      <c r="F694" s="16"/>
      <c r="G694" s="16"/>
      <c r="H694" s="16"/>
      <c r="I694" s="17"/>
      <c r="J694" s="16"/>
      <c r="K694" s="16"/>
      <c r="L694" s="16"/>
      <c r="M694" s="16"/>
      <c r="N694" s="17"/>
      <c r="O694" s="17"/>
      <c r="P694" s="17"/>
      <c r="Q694" s="18"/>
    </row>
    <row r="695" spans="3:17">
      <c r="C695" s="15"/>
      <c r="D695" s="16"/>
      <c r="E695" s="16"/>
      <c r="F695" s="16"/>
      <c r="G695" s="16"/>
      <c r="H695" s="16"/>
      <c r="I695" s="17"/>
      <c r="J695" s="16"/>
      <c r="K695" s="16"/>
      <c r="L695" s="16"/>
      <c r="M695" s="16"/>
      <c r="N695" s="17"/>
      <c r="O695" s="17"/>
      <c r="P695" s="17"/>
      <c r="Q695" s="18"/>
    </row>
    <row r="696" spans="3:17">
      <c r="C696" s="15"/>
      <c r="D696" s="16"/>
      <c r="E696" s="16"/>
      <c r="F696" s="16"/>
      <c r="G696" s="16"/>
      <c r="H696" s="16"/>
      <c r="I696" s="17"/>
      <c r="J696" s="16"/>
      <c r="K696" s="16"/>
      <c r="L696" s="16"/>
      <c r="M696" s="16"/>
      <c r="N696" s="17"/>
      <c r="O696" s="17"/>
      <c r="P696" s="17"/>
      <c r="Q696" s="18"/>
    </row>
    <row r="697" spans="3:17">
      <c r="C697" s="15"/>
      <c r="D697" s="16"/>
      <c r="E697" s="16"/>
      <c r="F697" s="16"/>
      <c r="G697" s="16"/>
      <c r="H697" s="16"/>
      <c r="I697" s="17"/>
      <c r="J697" s="16"/>
      <c r="K697" s="16"/>
      <c r="L697" s="16"/>
      <c r="M697" s="16"/>
      <c r="N697" s="17"/>
      <c r="O697" s="17"/>
      <c r="P697" s="17"/>
      <c r="Q697" s="18"/>
    </row>
    <row r="698" spans="3:17">
      <c r="C698" s="15"/>
      <c r="D698" s="16"/>
      <c r="E698" s="16"/>
      <c r="F698" s="16"/>
      <c r="G698" s="16"/>
      <c r="H698" s="16"/>
      <c r="I698" s="17"/>
      <c r="J698" s="16"/>
      <c r="K698" s="16"/>
      <c r="L698" s="16"/>
      <c r="M698" s="16"/>
      <c r="N698" s="17"/>
      <c r="O698" s="17"/>
      <c r="P698" s="17"/>
      <c r="Q698" s="18"/>
    </row>
    <row r="699" spans="3:17">
      <c r="C699" s="15"/>
      <c r="D699" s="16"/>
      <c r="E699" s="16"/>
      <c r="F699" s="16"/>
      <c r="G699" s="16"/>
      <c r="H699" s="16"/>
      <c r="I699" s="17"/>
      <c r="J699" s="16"/>
      <c r="K699" s="16"/>
      <c r="L699" s="16"/>
      <c r="M699" s="16"/>
      <c r="N699" s="17"/>
      <c r="O699" s="17"/>
      <c r="P699" s="17"/>
      <c r="Q699" s="18"/>
    </row>
    <row r="700" spans="3:17">
      <c r="C700" s="15"/>
      <c r="D700" s="16"/>
      <c r="E700" s="16"/>
      <c r="F700" s="16"/>
      <c r="G700" s="16"/>
      <c r="H700" s="16"/>
      <c r="I700" s="17"/>
      <c r="J700" s="16"/>
      <c r="K700" s="16"/>
      <c r="L700" s="16"/>
      <c r="M700" s="16"/>
      <c r="N700" s="17"/>
      <c r="O700" s="17"/>
      <c r="P700" s="17"/>
      <c r="Q700" s="18"/>
    </row>
    <row r="701" spans="3:17">
      <c r="C701" s="15"/>
      <c r="D701" s="16"/>
      <c r="E701" s="16"/>
      <c r="F701" s="16"/>
      <c r="G701" s="16"/>
      <c r="H701" s="16"/>
      <c r="I701" s="17"/>
      <c r="J701" s="16"/>
      <c r="K701" s="16"/>
      <c r="L701" s="16"/>
      <c r="M701" s="16"/>
      <c r="N701" s="17"/>
      <c r="O701" s="17"/>
      <c r="P701" s="17"/>
      <c r="Q701" s="18"/>
    </row>
    <row r="702" spans="3:17">
      <c r="C702" s="15"/>
      <c r="D702" s="16"/>
      <c r="E702" s="16"/>
      <c r="F702" s="16"/>
      <c r="G702" s="16"/>
      <c r="H702" s="16"/>
      <c r="I702" s="17"/>
      <c r="J702" s="16"/>
      <c r="K702" s="16"/>
      <c r="L702" s="16"/>
      <c r="M702" s="16"/>
      <c r="N702" s="17"/>
      <c r="O702" s="17"/>
      <c r="P702" s="17"/>
      <c r="Q702" s="18"/>
    </row>
    <row r="703" spans="3:17">
      <c r="C703" s="15"/>
      <c r="D703" s="16"/>
      <c r="E703" s="16"/>
      <c r="F703" s="16"/>
      <c r="G703" s="16"/>
      <c r="H703" s="16"/>
      <c r="I703" s="17"/>
      <c r="J703" s="16"/>
      <c r="K703" s="16"/>
      <c r="L703" s="16"/>
      <c r="M703" s="16"/>
      <c r="N703" s="17"/>
      <c r="O703" s="17"/>
      <c r="P703" s="17"/>
      <c r="Q703" s="18"/>
    </row>
    <row r="704" spans="3:17">
      <c r="C704" s="15"/>
      <c r="D704" s="16"/>
      <c r="E704" s="16"/>
      <c r="F704" s="16"/>
      <c r="G704" s="16"/>
      <c r="H704" s="16"/>
      <c r="I704" s="17"/>
      <c r="J704" s="16"/>
      <c r="K704" s="16"/>
      <c r="L704" s="16"/>
      <c r="M704" s="16"/>
      <c r="N704" s="17"/>
      <c r="O704" s="17"/>
      <c r="P704" s="17"/>
      <c r="Q704" s="18"/>
    </row>
    <row r="705" spans="3:17">
      <c r="C705" s="15"/>
      <c r="D705" s="16"/>
      <c r="E705" s="16"/>
      <c r="F705" s="16"/>
      <c r="G705" s="16"/>
      <c r="H705" s="16"/>
      <c r="I705" s="17"/>
      <c r="J705" s="16"/>
      <c r="K705" s="16"/>
      <c r="L705" s="16"/>
      <c r="M705" s="16"/>
      <c r="N705" s="17"/>
      <c r="O705" s="17"/>
      <c r="P705" s="17"/>
      <c r="Q705" s="18"/>
    </row>
    <row r="706" spans="3:17">
      <c r="C706" s="15"/>
      <c r="D706" s="16"/>
      <c r="E706" s="16"/>
      <c r="F706" s="16"/>
      <c r="G706" s="16"/>
      <c r="H706" s="16"/>
      <c r="I706" s="17"/>
      <c r="J706" s="16"/>
      <c r="K706" s="16"/>
      <c r="L706" s="16"/>
      <c r="M706" s="16"/>
      <c r="N706" s="17"/>
      <c r="O706" s="17"/>
      <c r="P706" s="17"/>
      <c r="Q706" s="18"/>
    </row>
    <row r="707" spans="3:17">
      <c r="C707" s="15"/>
      <c r="D707" s="16"/>
      <c r="E707" s="16"/>
      <c r="F707" s="16"/>
      <c r="G707" s="16"/>
      <c r="H707" s="16"/>
      <c r="I707" s="17"/>
      <c r="J707" s="16"/>
      <c r="K707" s="16"/>
      <c r="L707" s="16"/>
      <c r="M707" s="16"/>
      <c r="N707" s="17"/>
      <c r="O707" s="17"/>
      <c r="P707" s="17"/>
      <c r="Q707" s="18"/>
    </row>
    <row r="708" spans="3:17">
      <c r="C708" s="15"/>
      <c r="D708" s="16"/>
      <c r="E708" s="16"/>
      <c r="F708" s="16"/>
      <c r="G708" s="16"/>
      <c r="H708" s="16"/>
      <c r="I708" s="17"/>
      <c r="J708" s="16"/>
      <c r="K708" s="16"/>
      <c r="L708" s="16"/>
      <c r="M708" s="16"/>
      <c r="N708" s="17"/>
      <c r="O708" s="17"/>
      <c r="P708" s="17"/>
      <c r="Q708" s="18"/>
    </row>
    <row r="709" spans="3:17">
      <c r="C709" s="15"/>
      <c r="D709" s="16"/>
      <c r="E709" s="16"/>
      <c r="F709" s="16"/>
      <c r="G709" s="16"/>
      <c r="H709" s="16"/>
      <c r="I709" s="17"/>
      <c r="J709" s="16"/>
      <c r="K709" s="16"/>
      <c r="L709" s="16"/>
      <c r="M709" s="16"/>
      <c r="N709" s="17"/>
      <c r="O709" s="17"/>
      <c r="P709" s="17"/>
      <c r="Q709" s="18"/>
    </row>
    <row r="710" spans="3:17">
      <c r="C710" s="15"/>
      <c r="D710" s="16"/>
      <c r="E710" s="16"/>
      <c r="F710" s="16"/>
      <c r="G710" s="16"/>
      <c r="H710" s="16"/>
      <c r="I710" s="17"/>
      <c r="J710" s="16"/>
      <c r="K710" s="16"/>
      <c r="L710" s="16"/>
      <c r="M710" s="16"/>
      <c r="N710" s="17"/>
      <c r="O710" s="17"/>
      <c r="P710" s="17"/>
      <c r="Q710" s="18"/>
    </row>
    <row r="711" spans="3:17">
      <c r="C711" s="15"/>
      <c r="D711" s="16"/>
      <c r="E711" s="16"/>
      <c r="F711" s="16"/>
      <c r="G711" s="16"/>
      <c r="H711" s="16"/>
      <c r="I711" s="17"/>
      <c r="J711" s="16"/>
      <c r="K711" s="16"/>
      <c r="L711" s="16"/>
      <c r="M711" s="16"/>
      <c r="N711" s="17"/>
      <c r="O711" s="17"/>
      <c r="P711" s="17"/>
      <c r="Q711" s="18"/>
    </row>
    <row r="712" spans="3:17">
      <c r="C712" s="15"/>
      <c r="D712" s="16"/>
      <c r="E712" s="16"/>
      <c r="F712" s="16"/>
      <c r="G712" s="16"/>
      <c r="H712" s="16"/>
      <c r="I712" s="17"/>
      <c r="J712" s="16"/>
      <c r="K712" s="16"/>
      <c r="L712" s="16"/>
      <c r="M712" s="16"/>
      <c r="N712" s="17"/>
      <c r="O712" s="17"/>
      <c r="P712" s="17"/>
      <c r="Q712" s="18"/>
    </row>
    <row r="713" spans="3:17">
      <c r="C713" s="15"/>
      <c r="D713" s="16"/>
      <c r="E713" s="16"/>
      <c r="F713" s="16"/>
      <c r="G713" s="16"/>
      <c r="H713" s="16"/>
      <c r="I713" s="17"/>
      <c r="J713" s="16"/>
      <c r="K713" s="16"/>
      <c r="L713" s="16"/>
      <c r="M713" s="16"/>
      <c r="N713" s="17"/>
      <c r="O713" s="17"/>
      <c r="P713" s="17"/>
      <c r="Q713" s="18"/>
    </row>
    <row r="714" spans="3:17">
      <c r="C714" s="15"/>
      <c r="D714" s="16"/>
      <c r="E714" s="16"/>
      <c r="F714" s="16"/>
      <c r="G714" s="16"/>
      <c r="H714" s="16"/>
      <c r="I714" s="17"/>
      <c r="J714" s="16"/>
      <c r="K714" s="16"/>
      <c r="L714" s="16"/>
      <c r="M714" s="16"/>
      <c r="N714" s="17"/>
      <c r="O714" s="17"/>
      <c r="P714" s="17"/>
      <c r="Q714" s="18"/>
    </row>
    <row r="715" spans="3:17">
      <c r="C715" s="15"/>
      <c r="D715" s="16"/>
      <c r="E715" s="16"/>
      <c r="F715" s="16"/>
      <c r="G715" s="16"/>
      <c r="H715" s="16"/>
      <c r="I715" s="17"/>
      <c r="J715" s="16"/>
      <c r="K715" s="16"/>
      <c r="L715" s="16"/>
      <c r="M715" s="16"/>
      <c r="N715" s="17"/>
      <c r="O715" s="17"/>
      <c r="P715" s="17"/>
      <c r="Q715" s="18"/>
    </row>
    <row r="716" spans="3:17">
      <c r="C716" s="15"/>
      <c r="D716" s="16"/>
      <c r="E716" s="16"/>
      <c r="F716" s="16"/>
      <c r="G716" s="16"/>
      <c r="H716" s="16"/>
      <c r="I716" s="17"/>
      <c r="J716" s="16"/>
      <c r="K716" s="16"/>
      <c r="L716" s="16"/>
      <c r="M716" s="16"/>
      <c r="N716" s="17"/>
      <c r="O716" s="17"/>
      <c r="P716" s="17"/>
      <c r="Q716" s="18"/>
    </row>
    <row r="717" spans="3:17">
      <c r="C717" s="15"/>
      <c r="D717" s="16"/>
      <c r="E717" s="16"/>
      <c r="F717" s="16"/>
      <c r="G717" s="16"/>
      <c r="H717" s="16"/>
      <c r="I717" s="17"/>
      <c r="J717" s="16"/>
      <c r="K717" s="16"/>
      <c r="L717" s="16"/>
      <c r="M717" s="16"/>
      <c r="N717" s="17"/>
      <c r="O717" s="17"/>
      <c r="P717" s="17"/>
      <c r="Q717" s="18"/>
    </row>
    <row r="718" spans="3:17">
      <c r="C718" s="15"/>
      <c r="D718" s="16"/>
      <c r="E718" s="16"/>
      <c r="F718" s="16"/>
      <c r="G718" s="16"/>
      <c r="H718" s="16"/>
      <c r="I718" s="17"/>
      <c r="J718" s="16"/>
      <c r="K718" s="16"/>
      <c r="L718" s="16"/>
      <c r="M718" s="16"/>
      <c r="N718" s="17"/>
      <c r="O718" s="17"/>
      <c r="P718" s="17"/>
      <c r="Q718" s="18"/>
    </row>
    <row r="719" spans="3:17">
      <c r="C719" s="15"/>
      <c r="D719" s="16"/>
      <c r="E719" s="16"/>
      <c r="F719" s="16"/>
      <c r="G719" s="16"/>
      <c r="H719" s="16"/>
      <c r="I719" s="17"/>
      <c r="J719" s="16"/>
      <c r="K719" s="16"/>
      <c r="L719" s="16"/>
      <c r="M719" s="16"/>
      <c r="N719" s="17"/>
      <c r="O719" s="17"/>
      <c r="P719" s="17"/>
      <c r="Q719" s="18"/>
    </row>
    <row r="720" spans="3:17">
      <c r="C720" s="15"/>
      <c r="D720" s="16"/>
      <c r="E720" s="16"/>
      <c r="F720" s="16"/>
      <c r="G720" s="16"/>
      <c r="H720" s="16"/>
      <c r="I720" s="17"/>
      <c r="J720" s="16"/>
      <c r="K720" s="16"/>
      <c r="L720" s="16"/>
      <c r="M720" s="16"/>
      <c r="N720" s="17"/>
      <c r="O720" s="17"/>
      <c r="P720" s="17"/>
      <c r="Q720" s="18"/>
    </row>
    <row r="721" spans="3:17">
      <c r="C721" s="15"/>
      <c r="D721" s="16"/>
      <c r="E721" s="16"/>
      <c r="F721" s="16"/>
      <c r="G721" s="16"/>
      <c r="H721" s="16"/>
      <c r="I721" s="17"/>
      <c r="J721" s="16"/>
      <c r="K721" s="16"/>
      <c r="L721" s="16"/>
      <c r="M721" s="16"/>
      <c r="N721" s="17"/>
      <c r="O721" s="17"/>
      <c r="P721" s="17"/>
      <c r="Q721" s="18"/>
    </row>
    <row r="722" spans="3:17">
      <c r="C722" s="15"/>
      <c r="D722" s="16"/>
      <c r="E722" s="16"/>
      <c r="F722" s="16"/>
      <c r="G722" s="16"/>
      <c r="H722" s="16"/>
      <c r="I722" s="17"/>
      <c r="J722" s="16"/>
      <c r="K722" s="16"/>
      <c r="L722" s="16"/>
      <c r="M722" s="16"/>
      <c r="N722" s="17"/>
      <c r="O722" s="17"/>
      <c r="P722" s="17"/>
      <c r="Q722" s="18"/>
    </row>
    <row r="723" spans="3:17">
      <c r="C723" s="15"/>
      <c r="D723" s="16"/>
      <c r="E723" s="16"/>
      <c r="F723" s="16"/>
      <c r="G723" s="16"/>
      <c r="H723" s="16"/>
      <c r="I723" s="17"/>
      <c r="J723" s="16"/>
      <c r="K723" s="16"/>
      <c r="L723" s="16"/>
      <c r="M723" s="16"/>
      <c r="N723" s="17"/>
      <c r="O723" s="17"/>
      <c r="P723" s="17"/>
      <c r="Q723" s="18"/>
    </row>
    <row r="724" spans="3:17">
      <c r="C724" s="15"/>
      <c r="D724" s="16"/>
      <c r="E724" s="16"/>
      <c r="F724" s="16"/>
      <c r="G724" s="16"/>
      <c r="H724" s="16"/>
      <c r="I724" s="17"/>
      <c r="J724" s="16"/>
      <c r="K724" s="16"/>
      <c r="L724" s="16"/>
      <c r="M724" s="16"/>
      <c r="N724" s="17"/>
      <c r="O724" s="17"/>
      <c r="P724" s="17"/>
      <c r="Q724" s="18"/>
    </row>
    <row r="725" spans="3:17">
      <c r="C725" s="15"/>
      <c r="D725" s="16"/>
      <c r="E725" s="16"/>
      <c r="F725" s="16"/>
      <c r="G725" s="16"/>
      <c r="H725" s="16"/>
      <c r="I725" s="17"/>
      <c r="J725" s="16"/>
      <c r="K725" s="16"/>
      <c r="L725" s="16"/>
      <c r="M725" s="16"/>
      <c r="N725" s="17"/>
      <c r="O725" s="17"/>
      <c r="P725" s="17"/>
      <c r="Q725" s="18"/>
    </row>
    <row r="726" spans="3:17">
      <c r="C726" s="15"/>
      <c r="D726" s="16"/>
      <c r="E726" s="16"/>
      <c r="F726" s="16"/>
      <c r="G726" s="16"/>
      <c r="H726" s="16"/>
      <c r="I726" s="17"/>
      <c r="J726" s="16"/>
      <c r="K726" s="16"/>
      <c r="L726" s="16"/>
      <c r="M726" s="16"/>
      <c r="N726" s="17"/>
      <c r="O726" s="17"/>
      <c r="P726" s="17"/>
      <c r="Q726" s="18"/>
    </row>
    <row r="727" spans="3:17">
      <c r="C727" s="15"/>
      <c r="D727" s="16"/>
      <c r="E727" s="16"/>
      <c r="F727" s="16"/>
      <c r="G727" s="16"/>
      <c r="H727" s="16"/>
      <c r="I727" s="17"/>
      <c r="J727" s="16"/>
      <c r="K727" s="16"/>
      <c r="L727" s="16"/>
      <c r="M727" s="16"/>
      <c r="N727" s="17"/>
      <c r="O727" s="17"/>
      <c r="P727" s="17"/>
      <c r="Q727" s="18"/>
    </row>
    <row r="728" spans="3:17">
      <c r="C728" s="15"/>
      <c r="D728" s="16"/>
      <c r="E728" s="16"/>
      <c r="F728" s="16"/>
      <c r="G728" s="16"/>
      <c r="H728" s="16"/>
      <c r="I728" s="17"/>
      <c r="J728" s="16"/>
      <c r="K728" s="16"/>
      <c r="L728" s="16"/>
      <c r="M728" s="16"/>
      <c r="N728" s="17"/>
      <c r="O728" s="17"/>
      <c r="P728" s="17"/>
      <c r="Q728" s="18"/>
    </row>
    <row r="729" spans="3:17">
      <c r="C729" s="15"/>
      <c r="D729" s="16"/>
      <c r="E729" s="16"/>
      <c r="F729" s="16"/>
      <c r="G729" s="16"/>
      <c r="H729" s="16"/>
      <c r="I729" s="17"/>
      <c r="J729" s="16"/>
      <c r="K729" s="16"/>
      <c r="L729" s="16"/>
      <c r="M729" s="16"/>
      <c r="N729" s="17"/>
      <c r="O729" s="17"/>
      <c r="P729" s="17"/>
      <c r="Q729" s="18"/>
    </row>
    <row r="730" spans="3:17">
      <c r="C730" s="15"/>
      <c r="D730" s="16"/>
      <c r="E730" s="16"/>
      <c r="F730" s="16"/>
      <c r="G730" s="16"/>
      <c r="H730" s="16"/>
      <c r="I730" s="17"/>
      <c r="J730" s="16"/>
      <c r="K730" s="16"/>
      <c r="L730" s="16"/>
      <c r="M730" s="16"/>
      <c r="N730" s="17"/>
      <c r="O730" s="17"/>
      <c r="P730" s="17"/>
      <c r="Q730" s="18"/>
    </row>
    <row r="731" spans="3:17">
      <c r="C731" s="15"/>
      <c r="D731" s="16"/>
      <c r="E731" s="16"/>
      <c r="F731" s="16"/>
      <c r="G731" s="16"/>
      <c r="H731" s="16"/>
      <c r="I731" s="17"/>
      <c r="J731" s="16"/>
      <c r="K731" s="16"/>
      <c r="L731" s="16"/>
      <c r="M731" s="16"/>
      <c r="N731" s="17"/>
      <c r="O731" s="17"/>
      <c r="P731" s="17"/>
      <c r="Q731" s="18"/>
    </row>
    <row r="732" spans="3:17">
      <c r="C732" s="15"/>
      <c r="D732" s="16"/>
      <c r="E732" s="16"/>
      <c r="F732" s="16"/>
      <c r="G732" s="16"/>
      <c r="H732" s="16"/>
      <c r="I732" s="17"/>
      <c r="J732" s="16"/>
      <c r="K732" s="16"/>
      <c r="L732" s="16"/>
      <c r="M732" s="16"/>
      <c r="N732" s="17"/>
      <c r="O732" s="17"/>
      <c r="P732" s="17"/>
      <c r="Q732" s="18"/>
    </row>
    <row r="733" spans="3:17">
      <c r="C733" s="15"/>
      <c r="D733" s="16"/>
      <c r="E733" s="16"/>
      <c r="F733" s="16"/>
      <c r="G733" s="16"/>
      <c r="H733" s="16"/>
      <c r="I733" s="17"/>
      <c r="J733" s="16"/>
      <c r="K733" s="16"/>
      <c r="L733" s="16"/>
      <c r="M733" s="16"/>
      <c r="N733" s="17"/>
      <c r="O733" s="17"/>
      <c r="P733" s="17"/>
      <c r="Q733" s="18"/>
    </row>
    <row r="734" spans="3:17">
      <c r="C734" s="15"/>
      <c r="D734" s="16"/>
      <c r="E734" s="16"/>
      <c r="F734" s="16"/>
      <c r="G734" s="16"/>
      <c r="H734" s="16"/>
      <c r="I734" s="17"/>
      <c r="J734" s="16"/>
      <c r="K734" s="16"/>
      <c r="L734" s="16"/>
      <c r="M734" s="16"/>
      <c r="N734" s="17"/>
      <c r="O734" s="17"/>
      <c r="P734" s="17"/>
      <c r="Q734" s="18"/>
    </row>
    <row r="735" spans="3:17">
      <c r="C735" s="15"/>
      <c r="D735" s="16"/>
      <c r="E735" s="16"/>
      <c r="F735" s="16"/>
      <c r="G735" s="16"/>
      <c r="H735" s="16"/>
      <c r="I735" s="17"/>
      <c r="J735" s="16"/>
      <c r="K735" s="16"/>
      <c r="L735" s="16"/>
      <c r="M735" s="16"/>
      <c r="N735" s="17"/>
      <c r="O735" s="17"/>
      <c r="P735" s="17"/>
      <c r="Q735" s="18"/>
    </row>
    <row r="736" spans="3:17">
      <c r="C736" s="15"/>
      <c r="D736" s="16"/>
      <c r="E736" s="16"/>
      <c r="F736" s="16"/>
      <c r="G736" s="16"/>
      <c r="H736" s="16"/>
      <c r="I736" s="17"/>
      <c r="J736" s="16"/>
      <c r="K736" s="16"/>
      <c r="L736" s="16"/>
      <c r="M736" s="16"/>
      <c r="N736" s="17"/>
      <c r="O736" s="17"/>
      <c r="P736" s="17"/>
      <c r="Q736" s="18"/>
    </row>
    <row r="737" spans="3:17">
      <c r="C737" s="15"/>
      <c r="D737" s="16"/>
      <c r="E737" s="16"/>
      <c r="F737" s="16"/>
      <c r="G737" s="16"/>
      <c r="H737" s="16"/>
      <c r="I737" s="17"/>
      <c r="J737" s="16"/>
      <c r="K737" s="16"/>
      <c r="L737" s="16"/>
      <c r="M737" s="16"/>
      <c r="N737" s="17"/>
      <c r="O737" s="17"/>
      <c r="P737" s="17"/>
      <c r="Q737" s="18"/>
    </row>
    <row r="738" spans="3:17">
      <c r="C738" s="15"/>
      <c r="D738" s="16"/>
      <c r="E738" s="16"/>
      <c r="F738" s="16"/>
      <c r="G738" s="16"/>
      <c r="H738" s="16"/>
      <c r="I738" s="17"/>
      <c r="J738" s="16"/>
      <c r="K738" s="16"/>
      <c r="L738" s="16"/>
      <c r="M738" s="16"/>
      <c r="N738" s="17"/>
      <c r="O738" s="17"/>
      <c r="P738" s="17"/>
      <c r="Q738" s="18"/>
    </row>
    <row r="739" spans="3:17">
      <c r="C739" s="15"/>
      <c r="D739" s="16"/>
      <c r="E739" s="16"/>
      <c r="F739" s="16"/>
      <c r="G739" s="16"/>
      <c r="H739" s="16"/>
      <c r="I739" s="17"/>
      <c r="J739" s="16"/>
      <c r="K739" s="16"/>
      <c r="L739" s="16"/>
      <c r="M739" s="16"/>
      <c r="N739" s="17"/>
      <c r="O739" s="17"/>
      <c r="P739" s="17"/>
      <c r="Q739" s="18"/>
    </row>
    <row r="740" spans="3:17">
      <c r="C740" s="15"/>
      <c r="D740" s="16"/>
      <c r="E740" s="16"/>
      <c r="F740" s="16"/>
      <c r="G740" s="16"/>
      <c r="H740" s="16"/>
      <c r="I740" s="17"/>
      <c r="J740" s="16"/>
      <c r="K740" s="16"/>
      <c r="L740" s="16"/>
      <c r="M740" s="16"/>
      <c r="N740" s="17"/>
      <c r="O740" s="17"/>
      <c r="P740" s="17"/>
      <c r="Q740" s="18"/>
    </row>
    <row r="741" spans="3:17">
      <c r="C741" s="15"/>
      <c r="D741" s="16"/>
      <c r="E741" s="16"/>
      <c r="F741" s="16"/>
      <c r="G741" s="16"/>
      <c r="H741" s="16"/>
      <c r="I741" s="17"/>
      <c r="J741" s="16"/>
      <c r="K741" s="16"/>
      <c r="L741" s="16"/>
      <c r="M741" s="16"/>
      <c r="N741" s="17"/>
      <c r="O741" s="17"/>
      <c r="P741" s="17"/>
      <c r="Q741" s="18"/>
    </row>
    <row r="742" spans="3:17">
      <c r="C742" s="15"/>
      <c r="D742" s="16"/>
      <c r="E742" s="16"/>
      <c r="F742" s="16"/>
      <c r="G742" s="16"/>
      <c r="H742" s="16"/>
      <c r="I742" s="17"/>
      <c r="J742" s="16"/>
      <c r="K742" s="16"/>
      <c r="L742" s="16"/>
      <c r="M742" s="16"/>
      <c r="N742" s="17"/>
      <c r="O742" s="17"/>
      <c r="P742" s="17"/>
      <c r="Q742" s="18"/>
    </row>
    <row r="743" spans="3:17">
      <c r="C743" s="15"/>
      <c r="D743" s="16"/>
      <c r="E743" s="16"/>
      <c r="F743" s="16"/>
      <c r="G743" s="16"/>
      <c r="H743" s="16"/>
      <c r="I743" s="17"/>
      <c r="J743" s="16"/>
      <c r="K743" s="16"/>
      <c r="L743" s="16"/>
      <c r="M743" s="16"/>
      <c r="N743" s="17"/>
      <c r="O743" s="17"/>
      <c r="P743" s="17"/>
      <c r="Q743" s="18"/>
    </row>
    <row r="744" spans="3:17">
      <c r="C744" s="15"/>
      <c r="D744" s="16"/>
      <c r="E744" s="16"/>
      <c r="F744" s="16"/>
      <c r="G744" s="16"/>
      <c r="H744" s="16"/>
      <c r="I744" s="17"/>
      <c r="J744" s="16"/>
      <c r="K744" s="16"/>
      <c r="L744" s="16"/>
      <c r="M744" s="16"/>
      <c r="N744" s="17"/>
      <c r="O744" s="17"/>
      <c r="P744" s="17"/>
      <c r="Q744" s="18"/>
    </row>
    <row r="745" spans="3:17">
      <c r="C745" s="15"/>
      <c r="D745" s="16"/>
      <c r="E745" s="16"/>
      <c r="F745" s="16"/>
      <c r="G745" s="16"/>
      <c r="H745" s="16"/>
      <c r="I745" s="17"/>
      <c r="J745" s="16"/>
      <c r="K745" s="16"/>
      <c r="L745" s="16"/>
      <c r="M745" s="16"/>
      <c r="N745" s="17"/>
      <c r="O745" s="17"/>
      <c r="P745" s="17"/>
      <c r="Q745" s="18"/>
    </row>
    <row r="746" spans="3:17">
      <c r="C746" s="15"/>
      <c r="D746" s="16"/>
      <c r="E746" s="16"/>
      <c r="F746" s="16"/>
      <c r="G746" s="16"/>
      <c r="H746" s="16"/>
      <c r="I746" s="17"/>
      <c r="J746" s="16"/>
      <c r="K746" s="16"/>
      <c r="L746" s="16"/>
      <c r="M746" s="16"/>
      <c r="N746" s="17"/>
      <c r="O746" s="17"/>
      <c r="P746" s="17"/>
      <c r="Q746" s="18"/>
    </row>
    <row r="747" spans="3:17">
      <c r="C747" s="15"/>
      <c r="D747" s="16"/>
      <c r="E747" s="16"/>
      <c r="F747" s="16"/>
      <c r="G747" s="16"/>
      <c r="H747" s="16"/>
      <c r="I747" s="17"/>
      <c r="J747" s="16"/>
      <c r="K747" s="16"/>
      <c r="L747" s="16"/>
      <c r="M747" s="16"/>
      <c r="N747" s="17"/>
      <c r="O747" s="17"/>
      <c r="P747" s="17"/>
      <c r="Q747" s="18"/>
    </row>
    <row r="748" spans="3:17">
      <c r="C748" s="15"/>
      <c r="D748" s="16"/>
      <c r="E748" s="16"/>
      <c r="F748" s="16"/>
      <c r="G748" s="16"/>
      <c r="H748" s="16"/>
      <c r="I748" s="17"/>
      <c r="J748" s="16"/>
      <c r="K748" s="16"/>
      <c r="L748" s="16"/>
      <c r="M748" s="16"/>
      <c r="N748" s="17"/>
      <c r="O748" s="17"/>
      <c r="P748" s="17"/>
      <c r="Q748" s="18"/>
    </row>
    <row r="749" spans="3:17">
      <c r="C749" s="15"/>
      <c r="D749" s="16"/>
      <c r="E749" s="16"/>
      <c r="F749" s="16"/>
      <c r="G749" s="16"/>
      <c r="H749" s="16"/>
      <c r="I749" s="17"/>
      <c r="J749" s="16"/>
      <c r="K749" s="16"/>
      <c r="L749" s="16"/>
      <c r="M749" s="16"/>
      <c r="N749" s="17"/>
      <c r="O749" s="17"/>
      <c r="P749" s="17"/>
      <c r="Q749" s="18"/>
    </row>
    <row r="750" spans="3:17">
      <c r="C750" s="15"/>
      <c r="D750" s="16"/>
      <c r="E750" s="16"/>
      <c r="F750" s="16"/>
      <c r="G750" s="16"/>
      <c r="H750" s="16"/>
      <c r="I750" s="17"/>
      <c r="J750" s="16"/>
      <c r="K750" s="16"/>
      <c r="L750" s="16"/>
      <c r="M750" s="16"/>
      <c r="N750" s="17"/>
      <c r="O750" s="17"/>
      <c r="P750" s="17"/>
      <c r="Q750" s="18"/>
    </row>
    <row r="751" spans="3:17">
      <c r="C751" s="15"/>
      <c r="D751" s="16"/>
      <c r="E751" s="16"/>
      <c r="F751" s="16"/>
      <c r="G751" s="16"/>
      <c r="H751" s="16"/>
      <c r="I751" s="17"/>
      <c r="J751" s="16"/>
      <c r="K751" s="16"/>
      <c r="L751" s="16"/>
      <c r="M751" s="16"/>
      <c r="N751" s="17"/>
      <c r="O751" s="17"/>
      <c r="P751" s="17"/>
      <c r="Q751" s="18"/>
    </row>
    <row r="752" spans="3:17">
      <c r="C752" s="15"/>
      <c r="D752" s="16"/>
      <c r="E752" s="16"/>
      <c r="F752" s="16"/>
      <c r="G752" s="16"/>
      <c r="H752" s="16"/>
      <c r="I752" s="17"/>
      <c r="J752" s="16"/>
      <c r="K752" s="16"/>
      <c r="L752" s="16"/>
      <c r="M752" s="16"/>
      <c r="N752" s="17"/>
      <c r="O752" s="17"/>
      <c r="P752" s="17"/>
      <c r="Q752" s="18"/>
    </row>
    <row r="753" spans="3:17">
      <c r="C753" s="15"/>
      <c r="D753" s="16"/>
      <c r="E753" s="16"/>
      <c r="F753" s="16"/>
      <c r="G753" s="16"/>
      <c r="H753" s="16"/>
      <c r="I753" s="17"/>
      <c r="J753" s="16"/>
      <c r="K753" s="16"/>
      <c r="L753" s="16"/>
      <c r="M753" s="16"/>
      <c r="N753" s="17"/>
      <c r="O753" s="17"/>
      <c r="P753" s="17"/>
      <c r="Q753" s="18"/>
    </row>
    <row r="754" spans="3:17">
      <c r="C754" s="15"/>
      <c r="D754" s="16"/>
      <c r="E754" s="16"/>
      <c r="F754" s="16"/>
      <c r="G754" s="16"/>
      <c r="H754" s="16"/>
      <c r="I754" s="17"/>
      <c r="J754" s="16"/>
      <c r="K754" s="16"/>
      <c r="L754" s="16"/>
      <c r="M754" s="16"/>
      <c r="N754" s="17"/>
      <c r="O754" s="17"/>
      <c r="P754" s="17"/>
      <c r="Q754" s="18"/>
    </row>
    <row r="755" spans="3:17">
      <c r="C755" s="15"/>
      <c r="D755" s="16"/>
      <c r="E755" s="16"/>
      <c r="F755" s="16"/>
      <c r="G755" s="16"/>
      <c r="H755" s="16"/>
      <c r="I755" s="17"/>
      <c r="J755" s="16"/>
      <c r="K755" s="16"/>
      <c r="L755" s="16"/>
      <c r="M755" s="16"/>
      <c r="N755" s="17"/>
      <c r="O755" s="17"/>
      <c r="P755" s="17"/>
      <c r="Q755" s="18"/>
    </row>
    <row r="756" spans="3:17">
      <c r="C756" s="15"/>
      <c r="D756" s="16"/>
      <c r="E756" s="16"/>
      <c r="F756" s="16"/>
      <c r="G756" s="16"/>
      <c r="H756" s="16"/>
      <c r="I756" s="17"/>
      <c r="J756" s="16"/>
      <c r="K756" s="16"/>
      <c r="L756" s="16"/>
      <c r="M756" s="16"/>
      <c r="N756" s="17"/>
      <c r="O756" s="17"/>
      <c r="P756" s="17"/>
      <c r="Q756" s="18"/>
    </row>
    <row r="757" spans="3:17">
      <c r="C757" s="15"/>
      <c r="D757" s="16"/>
      <c r="E757" s="16"/>
      <c r="F757" s="16"/>
      <c r="G757" s="16"/>
      <c r="H757" s="16"/>
      <c r="I757" s="17"/>
      <c r="J757" s="16"/>
      <c r="K757" s="16"/>
      <c r="L757" s="16"/>
      <c r="M757" s="16"/>
      <c r="N757" s="17"/>
      <c r="O757" s="17"/>
      <c r="P757" s="17"/>
      <c r="Q757" s="18"/>
    </row>
    <row r="758" spans="3:17">
      <c r="C758" s="15"/>
      <c r="D758" s="16"/>
      <c r="E758" s="16"/>
      <c r="F758" s="16"/>
      <c r="G758" s="16"/>
      <c r="H758" s="16"/>
      <c r="I758" s="17"/>
      <c r="J758" s="16"/>
      <c r="K758" s="16"/>
      <c r="L758" s="16"/>
      <c r="M758" s="16"/>
      <c r="N758" s="17"/>
      <c r="O758" s="17"/>
      <c r="P758" s="17"/>
      <c r="Q758" s="18"/>
    </row>
    <row r="759" spans="3:17">
      <c r="C759" s="15"/>
      <c r="D759" s="16"/>
      <c r="E759" s="16"/>
      <c r="F759" s="16"/>
      <c r="G759" s="16"/>
      <c r="H759" s="16"/>
      <c r="I759" s="17"/>
      <c r="J759" s="16"/>
      <c r="K759" s="16"/>
      <c r="L759" s="16"/>
      <c r="M759" s="16"/>
      <c r="N759" s="17"/>
      <c r="O759" s="17"/>
      <c r="P759" s="17"/>
      <c r="Q759" s="18"/>
    </row>
    <row r="760" spans="3:17">
      <c r="C760" s="15"/>
      <c r="D760" s="16"/>
      <c r="E760" s="16"/>
      <c r="F760" s="16"/>
      <c r="G760" s="16"/>
      <c r="H760" s="16"/>
      <c r="I760" s="17"/>
      <c r="J760" s="16"/>
      <c r="K760" s="16"/>
      <c r="L760" s="16"/>
      <c r="M760" s="16"/>
      <c r="N760" s="17"/>
      <c r="O760" s="17"/>
      <c r="P760" s="17"/>
      <c r="Q760" s="18"/>
    </row>
    <row r="761" spans="3:17">
      <c r="C761" s="15"/>
      <c r="D761" s="16"/>
      <c r="E761" s="16"/>
      <c r="F761" s="16"/>
      <c r="G761" s="16"/>
      <c r="H761" s="16"/>
      <c r="I761" s="17"/>
      <c r="J761" s="16"/>
      <c r="K761" s="16"/>
      <c r="L761" s="16"/>
      <c r="M761" s="16"/>
      <c r="N761" s="17"/>
      <c r="O761" s="17"/>
      <c r="P761" s="17"/>
      <c r="Q761" s="18"/>
    </row>
    <row r="762" spans="3:17">
      <c r="C762" s="15"/>
      <c r="D762" s="16"/>
      <c r="E762" s="16"/>
      <c r="F762" s="16"/>
      <c r="G762" s="16"/>
      <c r="H762" s="16"/>
      <c r="I762" s="17"/>
      <c r="J762" s="16"/>
      <c r="K762" s="16"/>
      <c r="L762" s="16"/>
      <c r="M762" s="16"/>
      <c r="N762" s="17"/>
      <c r="O762" s="17"/>
      <c r="P762" s="17"/>
      <c r="Q762" s="18"/>
    </row>
    <row r="763" spans="3:17">
      <c r="C763" s="15"/>
      <c r="D763" s="16"/>
      <c r="E763" s="16"/>
      <c r="F763" s="16"/>
      <c r="G763" s="16"/>
      <c r="H763" s="16"/>
      <c r="I763" s="17"/>
      <c r="J763" s="16"/>
      <c r="K763" s="16"/>
      <c r="L763" s="16"/>
      <c r="M763" s="16"/>
      <c r="N763" s="17"/>
      <c r="O763" s="17"/>
      <c r="P763" s="17"/>
      <c r="Q763" s="18"/>
    </row>
    <row r="764" spans="3:17">
      <c r="C764" s="15"/>
      <c r="D764" s="16"/>
      <c r="E764" s="16"/>
      <c r="F764" s="16"/>
      <c r="G764" s="16"/>
      <c r="H764" s="16"/>
      <c r="I764" s="17"/>
      <c r="J764" s="16"/>
      <c r="K764" s="16"/>
      <c r="L764" s="16"/>
      <c r="M764" s="16"/>
      <c r="N764" s="17"/>
      <c r="O764" s="17"/>
      <c r="P764" s="17"/>
      <c r="Q764" s="18"/>
    </row>
    <row r="765" spans="3:17">
      <c r="C765" s="15"/>
      <c r="D765" s="16"/>
      <c r="E765" s="16"/>
      <c r="F765" s="16"/>
      <c r="G765" s="16"/>
      <c r="H765" s="16"/>
      <c r="I765" s="17"/>
      <c r="J765" s="16"/>
      <c r="K765" s="16"/>
      <c r="L765" s="16"/>
      <c r="M765" s="16"/>
      <c r="N765" s="17"/>
      <c r="O765" s="17"/>
      <c r="P765" s="17"/>
      <c r="Q765" s="18"/>
    </row>
    <row r="766" spans="3:17">
      <c r="C766" s="15"/>
      <c r="D766" s="16"/>
      <c r="E766" s="16"/>
      <c r="F766" s="16"/>
      <c r="G766" s="16"/>
      <c r="H766" s="16"/>
      <c r="I766" s="17"/>
      <c r="J766" s="16"/>
      <c r="K766" s="16"/>
      <c r="L766" s="16"/>
      <c r="M766" s="16"/>
      <c r="N766" s="17"/>
      <c r="O766" s="17"/>
      <c r="P766" s="17"/>
      <c r="Q766" s="18"/>
    </row>
    <row r="767" spans="3:17">
      <c r="C767" s="15"/>
      <c r="D767" s="16"/>
      <c r="E767" s="16"/>
      <c r="F767" s="16"/>
      <c r="G767" s="16"/>
      <c r="H767" s="16"/>
      <c r="I767" s="17"/>
      <c r="J767" s="16"/>
      <c r="K767" s="16"/>
      <c r="L767" s="16"/>
      <c r="M767" s="16"/>
      <c r="N767" s="17"/>
      <c r="O767" s="17"/>
      <c r="P767" s="17"/>
      <c r="Q767" s="18"/>
    </row>
    <row r="768" spans="3:17">
      <c r="C768" s="15"/>
      <c r="D768" s="16"/>
      <c r="E768" s="16"/>
      <c r="F768" s="16"/>
      <c r="G768" s="16"/>
      <c r="H768" s="16"/>
      <c r="I768" s="17"/>
      <c r="J768" s="16"/>
      <c r="K768" s="16"/>
      <c r="L768" s="16"/>
      <c r="M768" s="16"/>
      <c r="N768" s="17"/>
      <c r="O768" s="17"/>
      <c r="P768" s="17"/>
      <c r="Q768" s="18"/>
    </row>
    <row r="769" spans="3:17">
      <c r="C769" s="15"/>
      <c r="D769" s="16"/>
      <c r="E769" s="16"/>
      <c r="F769" s="16"/>
      <c r="G769" s="16"/>
      <c r="H769" s="16"/>
      <c r="I769" s="17"/>
      <c r="J769" s="16"/>
      <c r="K769" s="16"/>
      <c r="L769" s="16"/>
      <c r="M769" s="16"/>
      <c r="N769" s="17"/>
      <c r="O769" s="17"/>
      <c r="P769" s="17"/>
      <c r="Q769" s="18"/>
    </row>
    <row r="770" spans="3:17">
      <c r="C770" s="15"/>
      <c r="D770" s="16"/>
      <c r="E770" s="16"/>
      <c r="F770" s="16"/>
      <c r="G770" s="16"/>
      <c r="H770" s="16"/>
      <c r="I770" s="17"/>
      <c r="J770" s="16"/>
      <c r="K770" s="16"/>
      <c r="L770" s="16"/>
      <c r="M770" s="16"/>
      <c r="N770" s="17"/>
      <c r="O770" s="17"/>
      <c r="P770" s="17"/>
      <c r="Q770" s="18"/>
    </row>
    <row r="771" spans="3:17">
      <c r="C771" s="15"/>
      <c r="D771" s="16"/>
      <c r="E771" s="16"/>
      <c r="F771" s="16"/>
      <c r="G771" s="16"/>
      <c r="H771" s="16"/>
      <c r="I771" s="17"/>
      <c r="J771" s="16"/>
      <c r="K771" s="16"/>
      <c r="L771" s="16"/>
      <c r="M771" s="16"/>
      <c r="N771" s="17"/>
      <c r="O771" s="17"/>
      <c r="P771" s="17"/>
      <c r="Q771" s="18"/>
    </row>
    <row r="772" spans="3:17">
      <c r="C772" s="15"/>
      <c r="D772" s="16"/>
      <c r="E772" s="16"/>
      <c r="F772" s="16"/>
      <c r="G772" s="16"/>
      <c r="H772" s="16"/>
      <c r="I772" s="17"/>
      <c r="J772" s="16"/>
      <c r="K772" s="16"/>
      <c r="L772" s="16"/>
      <c r="M772" s="16"/>
      <c r="N772" s="17"/>
      <c r="O772" s="17"/>
      <c r="P772" s="17"/>
      <c r="Q772" s="18"/>
    </row>
    <row r="773" spans="3:17">
      <c r="C773" s="15"/>
      <c r="D773" s="16"/>
      <c r="E773" s="16"/>
      <c r="F773" s="16"/>
      <c r="G773" s="16"/>
      <c r="H773" s="16"/>
      <c r="I773" s="17"/>
      <c r="J773" s="16"/>
      <c r="K773" s="16"/>
      <c r="L773" s="16"/>
      <c r="M773" s="16"/>
      <c r="N773" s="17"/>
      <c r="O773" s="17"/>
      <c r="P773" s="17"/>
      <c r="Q773" s="18"/>
    </row>
    <row r="774" spans="3:17">
      <c r="C774" s="15"/>
      <c r="D774" s="16"/>
      <c r="E774" s="16"/>
      <c r="F774" s="16"/>
      <c r="G774" s="16"/>
      <c r="H774" s="16"/>
      <c r="I774" s="17"/>
      <c r="J774" s="16"/>
      <c r="K774" s="16"/>
      <c r="L774" s="16"/>
      <c r="M774" s="16"/>
      <c r="N774" s="17"/>
      <c r="O774" s="17"/>
      <c r="P774" s="17"/>
      <c r="Q774" s="18"/>
    </row>
    <row r="775" spans="3:17">
      <c r="C775" s="15"/>
      <c r="D775" s="16"/>
      <c r="E775" s="16"/>
      <c r="F775" s="16"/>
      <c r="G775" s="16"/>
      <c r="H775" s="16"/>
      <c r="I775" s="17"/>
      <c r="J775" s="16"/>
      <c r="K775" s="16"/>
      <c r="L775" s="16"/>
      <c r="M775" s="16"/>
      <c r="N775" s="17"/>
      <c r="O775" s="17"/>
      <c r="P775" s="17"/>
      <c r="Q775" s="18"/>
    </row>
    <row r="776" spans="3:17">
      <c r="C776" s="15"/>
      <c r="D776" s="16"/>
      <c r="E776" s="16"/>
      <c r="F776" s="16"/>
      <c r="G776" s="16"/>
      <c r="H776" s="16"/>
      <c r="I776" s="17"/>
      <c r="J776" s="16"/>
      <c r="K776" s="16"/>
      <c r="L776" s="16"/>
      <c r="M776" s="16"/>
      <c r="N776" s="17"/>
      <c r="O776" s="17"/>
      <c r="P776" s="17"/>
      <c r="Q776" s="18"/>
    </row>
    <row r="777" spans="3:17">
      <c r="C777" s="15"/>
      <c r="D777" s="16"/>
      <c r="E777" s="16"/>
      <c r="F777" s="16"/>
      <c r="G777" s="16"/>
      <c r="H777" s="16"/>
      <c r="I777" s="17"/>
      <c r="J777" s="16"/>
      <c r="K777" s="16"/>
      <c r="L777" s="16"/>
      <c r="M777" s="16"/>
      <c r="N777" s="17"/>
      <c r="O777" s="17"/>
      <c r="P777" s="17"/>
      <c r="Q777" s="18"/>
    </row>
    <row r="778" spans="3:17">
      <c r="C778" s="15"/>
      <c r="D778" s="16"/>
      <c r="E778" s="16"/>
      <c r="F778" s="16"/>
      <c r="G778" s="16"/>
      <c r="H778" s="16"/>
      <c r="I778" s="17"/>
      <c r="J778" s="16"/>
      <c r="K778" s="16"/>
      <c r="L778" s="16"/>
      <c r="M778" s="16"/>
      <c r="N778" s="17"/>
      <c r="O778" s="17"/>
      <c r="P778" s="17"/>
      <c r="Q778" s="18"/>
    </row>
    <row r="779" spans="3:17">
      <c r="C779" s="15"/>
      <c r="D779" s="16"/>
      <c r="E779" s="16"/>
      <c r="F779" s="16"/>
      <c r="G779" s="16"/>
      <c r="H779" s="16"/>
      <c r="I779" s="17"/>
      <c r="J779" s="16"/>
      <c r="K779" s="16"/>
      <c r="L779" s="16"/>
      <c r="M779" s="16"/>
      <c r="N779" s="17"/>
      <c r="O779" s="17"/>
      <c r="P779" s="17"/>
      <c r="Q779" s="18"/>
    </row>
    <row r="780" spans="3:17">
      <c r="C780" s="15"/>
      <c r="D780" s="16"/>
      <c r="E780" s="16"/>
      <c r="F780" s="16"/>
      <c r="G780" s="16"/>
      <c r="H780" s="16"/>
      <c r="I780" s="17"/>
      <c r="J780" s="16"/>
      <c r="K780" s="16"/>
      <c r="L780" s="16"/>
      <c r="M780" s="16"/>
      <c r="N780" s="17"/>
      <c r="O780" s="17"/>
      <c r="P780" s="17"/>
      <c r="Q780" s="18"/>
    </row>
    <row r="781" spans="3:17">
      <c r="C781" s="15"/>
      <c r="D781" s="16"/>
      <c r="E781" s="16"/>
      <c r="F781" s="16"/>
      <c r="G781" s="16"/>
      <c r="H781" s="16"/>
      <c r="I781" s="17"/>
      <c r="J781" s="16"/>
      <c r="K781" s="16"/>
      <c r="L781" s="16"/>
      <c r="M781" s="16"/>
      <c r="N781" s="17"/>
      <c r="O781" s="17"/>
      <c r="P781" s="17"/>
      <c r="Q781" s="18"/>
    </row>
    <row r="782" spans="3:17">
      <c r="C782" s="15"/>
      <c r="D782" s="16"/>
      <c r="E782" s="16"/>
      <c r="F782" s="16"/>
      <c r="G782" s="16"/>
      <c r="H782" s="16"/>
      <c r="I782" s="17"/>
      <c r="J782" s="16"/>
      <c r="K782" s="16"/>
      <c r="L782" s="16"/>
      <c r="M782" s="16"/>
      <c r="N782" s="17"/>
      <c r="O782" s="17"/>
      <c r="P782" s="17"/>
      <c r="Q782" s="18"/>
    </row>
    <row r="783" spans="3:17">
      <c r="C783" s="15"/>
      <c r="D783" s="16"/>
      <c r="E783" s="16"/>
      <c r="F783" s="16"/>
      <c r="G783" s="16"/>
      <c r="H783" s="16"/>
      <c r="I783" s="17"/>
      <c r="J783" s="16"/>
      <c r="K783" s="16"/>
      <c r="L783" s="16"/>
      <c r="M783" s="16"/>
      <c r="N783" s="17"/>
      <c r="O783" s="17"/>
      <c r="P783" s="17"/>
      <c r="Q783" s="18"/>
    </row>
    <row r="784" spans="3:17">
      <c r="C784" s="15"/>
      <c r="D784" s="16"/>
      <c r="E784" s="16"/>
      <c r="F784" s="16"/>
      <c r="G784" s="16"/>
      <c r="H784" s="16"/>
      <c r="I784" s="17"/>
      <c r="J784" s="16"/>
      <c r="K784" s="16"/>
      <c r="L784" s="16"/>
      <c r="M784" s="16"/>
      <c r="N784" s="17"/>
      <c r="O784" s="17"/>
      <c r="P784" s="17"/>
      <c r="Q784" s="18"/>
    </row>
    <row r="785" spans="3:17">
      <c r="C785" s="15"/>
      <c r="D785" s="16"/>
      <c r="E785" s="16"/>
      <c r="F785" s="16"/>
      <c r="G785" s="16"/>
      <c r="H785" s="16"/>
      <c r="I785" s="17"/>
      <c r="J785" s="16"/>
      <c r="K785" s="16"/>
      <c r="L785" s="16"/>
      <c r="M785" s="16"/>
      <c r="N785" s="17"/>
      <c r="O785" s="17"/>
      <c r="P785" s="17"/>
      <c r="Q785" s="18"/>
    </row>
    <row r="786" spans="3:17">
      <c r="C786" s="15"/>
      <c r="D786" s="16"/>
      <c r="E786" s="16"/>
      <c r="F786" s="16"/>
      <c r="G786" s="16"/>
      <c r="H786" s="16"/>
      <c r="I786" s="17"/>
      <c r="J786" s="16"/>
      <c r="K786" s="16"/>
      <c r="L786" s="16"/>
      <c r="M786" s="16"/>
      <c r="N786" s="17"/>
      <c r="O786" s="17"/>
      <c r="P786" s="17"/>
      <c r="Q786" s="18"/>
    </row>
    <row r="787" spans="3:17">
      <c r="C787" s="15"/>
      <c r="D787" s="16"/>
      <c r="E787" s="16"/>
      <c r="F787" s="16"/>
      <c r="G787" s="16"/>
      <c r="H787" s="16"/>
      <c r="I787" s="17"/>
      <c r="J787" s="16"/>
      <c r="K787" s="16"/>
      <c r="L787" s="16"/>
      <c r="M787" s="16"/>
      <c r="N787" s="17"/>
      <c r="O787" s="17"/>
      <c r="P787" s="17"/>
      <c r="Q787" s="18"/>
    </row>
    <row r="788" spans="3:17">
      <c r="C788" s="15"/>
      <c r="D788" s="16"/>
      <c r="E788" s="16"/>
      <c r="F788" s="16"/>
      <c r="G788" s="16"/>
      <c r="H788" s="16"/>
      <c r="I788" s="17"/>
      <c r="J788" s="16"/>
      <c r="K788" s="16"/>
      <c r="L788" s="16"/>
      <c r="M788" s="16"/>
      <c r="N788" s="17"/>
      <c r="O788" s="17"/>
      <c r="P788" s="17"/>
      <c r="Q788" s="18"/>
    </row>
    <row r="789" spans="3:17">
      <c r="C789" s="15"/>
      <c r="D789" s="16"/>
      <c r="E789" s="16"/>
      <c r="F789" s="16"/>
      <c r="G789" s="16"/>
      <c r="H789" s="16"/>
      <c r="I789" s="17"/>
      <c r="J789" s="16"/>
      <c r="K789" s="16"/>
      <c r="L789" s="16"/>
      <c r="M789" s="16"/>
      <c r="N789" s="17"/>
      <c r="O789" s="17"/>
      <c r="P789" s="17"/>
      <c r="Q789" s="18"/>
    </row>
    <row r="790" spans="3:17">
      <c r="C790" s="15"/>
      <c r="D790" s="16"/>
      <c r="E790" s="16"/>
      <c r="F790" s="16"/>
      <c r="G790" s="16"/>
      <c r="H790" s="16"/>
      <c r="I790" s="17"/>
      <c r="J790" s="16"/>
      <c r="K790" s="16"/>
      <c r="L790" s="16"/>
      <c r="M790" s="16"/>
      <c r="N790" s="17"/>
      <c r="O790" s="17"/>
      <c r="P790" s="17"/>
      <c r="Q790" s="18"/>
    </row>
    <row r="791" spans="3:17">
      <c r="C791" s="15"/>
      <c r="D791" s="16"/>
      <c r="E791" s="16"/>
      <c r="F791" s="16"/>
      <c r="G791" s="16"/>
      <c r="H791" s="16"/>
      <c r="I791" s="17"/>
      <c r="J791" s="16"/>
      <c r="K791" s="16"/>
      <c r="L791" s="16"/>
      <c r="M791" s="16"/>
      <c r="N791" s="17"/>
      <c r="O791" s="17"/>
      <c r="P791" s="17"/>
      <c r="Q791" s="18"/>
    </row>
    <row r="792" spans="3:17">
      <c r="C792" s="15"/>
      <c r="D792" s="16"/>
      <c r="E792" s="16"/>
      <c r="F792" s="16"/>
      <c r="G792" s="16"/>
      <c r="H792" s="16"/>
      <c r="I792" s="17"/>
      <c r="J792" s="16"/>
      <c r="K792" s="16"/>
      <c r="L792" s="16"/>
      <c r="M792" s="16"/>
      <c r="N792" s="17"/>
      <c r="O792" s="17"/>
      <c r="P792" s="17"/>
      <c r="Q792" s="18"/>
    </row>
    <row r="793" spans="3:17">
      <c r="C793" s="15"/>
      <c r="D793" s="16"/>
      <c r="E793" s="16"/>
      <c r="F793" s="16"/>
      <c r="G793" s="16"/>
      <c r="H793" s="16"/>
      <c r="I793" s="17"/>
      <c r="J793" s="16"/>
      <c r="K793" s="16"/>
      <c r="L793" s="16"/>
      <c r="M793" s="16"/>
      <c r="N793" s="17"/>
      <c r="O793" s="17"/>
      <c r="P793" s="17"/>
      <c r="Q793" s="18"/>
    </row>
    <row r="794" spans="3:17">
      <c r="C794" s="15"/>
      <c r="D794" s="16"/>
      <c r="E794" s="16"/>
      <c r="F794" s="16"/>
      <c r="G794" s="16"/>
      <c r="H794" s="16"/>
      <c r="I794" s="17"/>
      <c r="J794" s="16"/>
      <c r="K794" s="16"/>
      <c r="L794" s="16"/>
      <c r="M794" s="16"/>
      <c r="N794" s="17"/>
      <c r="O794" s="17"/>
      <c r="P794" s="17"/>
      <c r="Q794" s="18"/>
    </row>
    <row r="795" spans="3:17">
      <c r="C795" s="15"/>
      <c r="D795" s="16"/>
      <c r="E795" s="16"/>
      <c r="F795" s="16"/>
      <c r="G795" s="16"/>
      <c r="H795" s="16"/>
      <c r="I795" s="17"/>
      <c r="J795" s="16"/>
      <c r="K795" s="16"/>
      <c r="L795" s="16"/>
      <c r="M795" s="16"/>
      <c r="N795" s="17"/>
      <c r="O795" s="17"/>
      <c r="P795" s="17"/>
      <c r="Q795" s="18"/>
    </row>
    <row r="796" spans="3:17">
      <c r="C796" s="15"/>
      <c r="D796" s="16"/>
      <c r="E796" s="16"/>
      <c r="F796" s="16"/>
      <c r="G796" s="16"/>
      <c r="H796" s="16"/>
      <c r="I796" s="17"/>
      <c r="J796" s="16"/>
      <c r="K796" s="16"/>
      <c r="L796" s="16"/>
      <c r="M796" s="16"/>
      <c r="N796" s="17"/>
      <c r="O796" s="17"/>
      <c r="P796" s="17"/>
      <c r="Q796" s="18"/>
    </row>
    <row r="797" spans="3:17">
      <c r="C797" s="15"/>
      <c r="D797" s="16"/>
      <c r="E797" s="16"/>
      <c r="F797" s="16"/>
      <c r="G797" s="16"/>
      <c r="H797" s="16"/>
      <c r="I797" s="17"/>
      <c r="J797" s="16"/>
      <c r="K797" s="16"/>
      <c r="L797" s="16"/>
      <c r="M797" s="16"/>
      <c r="N797" s="17"/>
      <c r="O797" s="17"/>
      <c r="P797" s="17"/>
      <c r="Q797" s="18"/>
    </row>
    <row r="798" spans="3:17">
      <c r="C798" s="15"/>
      <c r="D798" s="16"/>
      <c r="E798" s="16"/>
      <c r="F798" s="16"/>
      <c r="G798" s="16"/>
      <c r="H798" s="16"/>
      <c r="I798" s="17"/>
      <c r="J798" s="16"/>
      <c r="K798" s="16"/>
      <c r="L798" s="16"/>
      <c r="M798" s="16"/>
      <c r="N798" s="17"/>
      <c r="O798" s="17"/>
      <c r="P798" s="17"/>
      <c r="Q798" s="18"/>
    </row>
    <row r="799" spans="3:17">
      <c r="C799" s="15"/>
      <c r="D799" s="16"/>
      <c r="E799" s="16"/>
      <c r="F799" s="16"/>
      <c r="G799" s="16"/>
      <c r="H799" s="16"/>
      <c r="I799" s="17"/>
      <c r="J799" s="16"/>
      <c r="K799" s="16"/>
      <c r="L799" s="16"/>
      <c r="M799" s="16"/>
      <c r="N799" s="17"/>
      <c r="O799" s="17"/>
      <c r="P799" s="17"/>
      <c r="Q799" s="18"/>
    </row>
    <row r="800" spans="3:17">
      <c r="C800" s="15"/>
      <c r="D800" s="16"/>
      <c r="E800" s="16"/>
      <c r="F800" s="16"/>
      <c r="G800" s="16"/>
      <c r="H800" s="16"/>
      <c r="I800" s="17"/>
      <c r="J800" s="16"/>
      <c r="K800" s="16"/>
      <c r="L800" s="16"/>
      <c r="M800" s="16"/>
      <c r="N800" s="17"/>
      <c r="O800" s="17"/>
      <c r="P800" s="17"/>
      <c r="Q800" s="18"/>
    </row>
    <row r="801" spans="3:17">
      <c r="C801" s="15"/>
      <c r="D801" s="16"/>
      <c r="E801" s="16"/>
      <c r="F801" s="16"/>
      <c r="G801" s="16"/>
      <c r="H801" s="16"/>
      <c r="I801" s="17"/>
      <c r="J801" s="16"/>
      <c r="K801" s="16"/>
      <c r="L801" s="16"/>
      <c r="M801" s="16"/>
      <c r="N801" s="17"/>
      <c r="O801" s="17"/>
      <c r="P801" s="17"/>
      <c r="Q801" s="18"/>
    </row>
    <row r="802" spans="3:17">
      <c r="C802" s="15"/>
      <c r="D802" s="16"/>
      <c r="E802" s="16"/>
      <c r="F802" s="16"/>
      <c r="G802" s="16"/>
      <c r="H802" s="16"/>
      <c r="I802" s="17"/>
      <c r="J802" s="16"/>
      <c r="K802" s="16"/>
      <c r="L802" s="16"/>
      <c r="M802" s="16"/>
      <c r="N802" s="17"/>
      <c r="O802" s="17"/>
      <c r="P802" s="17"/>
      <c r="Q802" s="18"/>
    </row>
    <row r="803" spans="3:17">
      <c r="C803" s="15"/>
      <c r="D803" s="16"/>
      <c r="E803" s="16"/>
      <c r="F803" s="16"/>
      <c r="G803" s="16"/>
      <c r="H803" s="16"/>
      <c r="I803" s="17"/>
      <c r="J803" s="16"/>
      <c r="K803" s="16"/>
      <c r="L803" s="16"/>
      <c r="M803" s="16"/>
      <c r="N803" s="17"/>
      <c r="O803" s="17"/>
      <c r="P803" s="17"/>
      <c r="Q803" s="18"/>
    </row>
    <row r="804" spans="3:17">
      <c r="C804" s="15"/>
      <c r="D804" s="16"/>
      <c r="E804" s="16"/>
      <c r="F804" s="16"/>
      <c r="G804" s="16"/>
      <c r="H804" s="16"/>
      <c r="I804" s="17"/>
      <c r="J804" s="16"/>
      <c r="K804" s="16"/>
      <c r="L804" s="16"/>
      <c r="M804" s="16"/>
      <c r="N804" s="17"/>
      <c r="O804" s="17"/>
      <c r="P804" s="17"/>
      <c r="Q804" s="18"/>
    </row>
    <row r="805" spans="3:17">
      <c r="C805" s="15"/>
      <c r="D805" s="16"/>
      <c r="E805" s="16"/>
      <c r="F805" s="16"/>
      <c r="G805" s="16"/>
      <c r="H805" s="16"/>
      <c r="I805" s="17"/>
      <c r="J805" s="16"/>
      <c r="K805" s="16"/>
      <c r="L805" s="16"/>
      <c r="M805" s="16"/>
      <c r="N805" s="17"/>
      <c r="O805" s="17"/>
      <c r="P805" s="17"/>
      <c r="Q805" s="18"/>
    </row>
    <row r="806" spans="3:17">
      <c r="C806" s="15"/>
      <c r="D806" s="16"/>
      <c r="E806" s="16"/>
      <c r="F806" s="16"/>
      <c r="G806" s="16"/>
      <c r="H806" s="16"/>
      <c r="I806" s="17"/>
      <c r="J806" s="16"/>
      <c r="K806" s="16"/>
      <c r="L806" s="16"/>
      <c r="M806" s="16"/>
      <c r="N806" s="17"/>
      <c r="O806" s="17"/>
      <c r="P806" s="17"/>
      <c r="Q806" s="18"/>
    </row>
    <row r="807" spans="3:17">
      <c r="C807" s="15"/>
      <c r="D807" s="16"/>
      <c r="E807" s="16"/>
      <c r="F807" s="16"/>
      <c r="G807" s="16"/>
      <c r="H807" s="16"/>
      <c r="I807" s="17"/>
      <c r="J807" s="16"/>
      <c r="K807" s="16"/>
      <c r="L807" s="16"/>
      <c r="M807" s="16"/>
      <c r="N807" s="17"/>
      <c r="O807" s="17"/>
      <c r="P807" s="17"/>
      <c r="Q807" s="18"/>
    </row>
    <row r="808" spans="3:17">
      <c r="C808" s="15"/>
      <c r="D808" s="16"/>
      <c r="E808" s="16"/>
      <c r="F808" s="16"/>
      <c r="G808" s="16"/>
      <c r="H808" s="16"/>
      <c r="I808" s="17"/>
      <c r="J808" s="16"/>
      <c r="K808" s="16"/>
      <c r="L808" s="16"/>
      <c r="M808" s="16"/>
      <c r="N808" s="17"/>
      <c r="O808" s="17"/>
      <c r="P808" s="17"/>
      <c r="Q808" s="18"/>
    </row>
    <row r="809" spans="3:17">
      <c r="C809" s="15"/>
      <c r="D809" s="16"/>
      <c r="E809" s="16"/>
      <c r="F809" s="16"/>
      <c r="G809" s="16"/>
      <c r="H809" s="16"/>
      <c r="I809" s="17"/>
      <c r="J809" s="16"/>
      <c r="K809" s="16"/>
      <c r="L809" s="16"/>
      <c r="M809" s="16"/>
      <c r="N809" s="17"/>
      <c r="O809" s="17"/>
      <c r="P809" s="17"/>
      <c r="Q809" s="18"/>
    </row>
    <row r="810" spans="3:17">
      <c r="C810" s="15"/>
      <c r="D810" s="16"/>
      <c r="E810" s="16"/>
      <c r="F810" s="16"/>
      <c r="G810" s="16"/>
      <c r="H810" s="16"/>
      <c r="I810" s="17"/>
      <c r="J810" s="16"/>
      <c r="K810" s="16"/>
      <c r="L810" s="16"/>
      <c r="M810" s="16"/>
      <c r="N810" s="17"/>
      <c r="O810" s="17"/>
      <c r="P810" s="17"/>
      <c r="Q810" s="18"/>
    </row>
    <row r="811" spans="3:17">
      <c r="C811" s="15"/>
      <c r="D811" s="16"/>
      <c r="E811" s="16"/>
      <c r="F811" s="16"/>
      <c r="G811" s="16"/>
      <c r="H811" s="16"/>
      <c r="I811" s="17"/>
      <c r="J811" s="16"/>
      <c r="K811" s="16"/>
      <c r="L811" s="16"/>
      <c r="M811" s="16"/>
      <c r="N811" s="17"/>
      <c r="O811" s="17"/>
      <c r="P811" s="17"/>
      <c r="Q811" s="18"/>
    </row>
    <row r="812" spans="3:17">
      <c r="C812" s="15"/>
      <c r="D812" s="16"/>
      <c r="E812" s="16"/>
      <c r="F812" s="16"/>
      <c r="G812" s="16"/>
      <c r="H812" s="16"/>
      <c r="I812" s="17"/>
      <c r="J812" s="16"/>
      <c r="K812" s="16"/>
      <c r="L812" s="16"/>
      <c r="M812" s="16"/>
      <c r="N812" s="17"/>
      <c r="O812" s="17"/>
      <c r="P812" s="17"/>
      <c r="Q812" s="18"/>
    </row>
    <row r="813" spans="3:17">
      <c r="C813" s="15"/>
      <c r="D813" s="16"/>
      <c r="E813" s="16"/>
      <c r="F813" s="16"/>
      <c r="G813" s="16"/>
      <c r="H813" s="16"/>
      <c r="I813" s="17"/>
      <c r="J813" s="16"/>
      <c r="K813" s="16"/>
      <c r="L813" s="16"/>
      <c r="M813" s="16"/>
      <c r="N813" s="17"/>
      <c r="O813" s="17"/>
      <c r="P813" s="17"/>
      <c r="Q813" s="18"/>
    </row>
    <row r="814" spans="3:17">
      <c r="C814" s="15"/>
      <c r="D814" s="16"/>
      <c r="E814" s="16"/>
      <c r="F814" s="16"/>
      <c r="G814" s="16"/>
      <c r="H814" s="16"/>
      <c r="I814" s="17"/>
      <c r="J814" s="16"/>
      <c r="K814" s="16"/>
      <c r="L814" s="16"/>
      <c r="M814" s="16"/>
      <c r="N814" s="17"/>
      <c r="O814" s="17"/>
      <c r="P814" s="17"/>
      <c r="Q814" s="18"/>
    </row>
    <row r="815" spans="3:17">
      <c r="C815" s="15"/>
      <c r="D815" s="16"/>
      <c r="E815" s="16"/>
      <c r="F815" s="16"/>
      <c r="G815" s="16"/>
      <c r="H815" s="16"/>
      <c r="I815" s="17"/>
      <c r="J815" s="16"/>
      <c r="K815" s="16"/>
      <c r="L815" s="16"/>
      <c r="M815" s="16"/>
      <c r="N815" s="17"/>
      <c r="O815" s="17"/>
      <c r="P815" s="17"/>
      <c r="Q815" s="18"/>
    </row>
    <row r="816" spans="3:17">
      <c r="C816" s="15"/>
      <c r="D816" s="16"/>
      <c r="E816" s="16"/>
      <c r="F816" s="16"/>
      <c r="G816" s="16"/>
      <c r="H816" s="16"/>
      <c r="I816" s="17"/>
      <c r="J816" s="16"/>
      <c r="K816" s="16"/>
      <c r="L816" s="16"/>
      <c r="M816" s="16"/>
      <c r="N816" s="17"/>
      <c r="O816" s="17"/>
      <c r="P816" s="17"/>
      <c r="Q816" s="18"/>
    </row>
    <row r="817" spans="3:17">
      <c r="C817" s="15"/>
      <c r="D817" s="16"/>
      <c r="E817" s="16"/>
      <c r="F817" s="16"/>
      <c r="G817" s="16"/>
      <c r="H817" s="16"/>
      <c r="I817" s="17"/>
      <c r="J817" s="16"/>
      <c r="K817" s="16"/>
      <c r="L817" s="16"/>
      <c r="M817" s="16"/>
      <c r="N817" s="17"/>
      <c r="O817" s="17"/>
      <c r="P817" s="17"/>
      <c r="Q817" s="18"/>
    </row>
    <row r="818" spans="3:17">
      <c r="C818" s="15"/>
      <c r="D818" s="16"/>
      <c r="E818" s="16"/>
      <c r="F818" s="16"/>
      <c r="G818" s="16"/>
      <c r="H818" s="16"/>
      <c r="I818" s="17"/>
      <c r="J818" s="16"/>
      <c r="K818" s="16"/>
      <c r="L818" s="16"/>
      <c r="M818" s="16"/>
      <c r="N818" s="17"/>
      <c r="O818" s="17"/>
      <c r="P818" s="17"/>
      <c r="Q818" s="18"/>
    </row>
    <row r="819" spans="3:17">
      <c r="C819" s="15"/>
      <c r="D819" s="16"/>
      <c r="E819" s="16"/>
      <c r="F819" s="16"/>
      <c r="G819" s="16"/>
      <c r="H819" s="16"/>
      <c r="I819" s="17"/>
      <c r="J819" s="16"/>
      <c r="K819" s="16"/>
      <c r="L819" s="16"/>
      <c r="M819" s="16"/>
      <c r="N819" s="17"/>
      <c r="O819" s="17"/>
      <c r="P819" s="17"/>
      <c r="Q819" s="18"/>
    </row>
    <row r="820" spans="3:17">
      <c r="C820" s="15"/>
      <c r="D820" s="16"/>
      <c r="E820" s="16"/>
      <c r="F820" s="16"/>
      <c r="G820" s="16"/>
      <c r="H820" s="16"/>
      <c r="I820" s="17"/>
      <c r="J820" s="16"/>
      <c r="K820" s="16"/>
      <c r="L820" s="16"/>
      <c r="M820" s="16"/>
      <c r="N820" s="17"/>
      <c r="O820" s="17"/>
      <c r="P820" s="17"/>
      <c r="Q820" s="18"/>
    </row>
    <row r="821" spans="3:17">
      <c r="C821" s="15"/>
      <c r="D821" s="16"/>
      <c r="E821" s="16"/>
      <c r="F821" s="16"/>
      <c r="G821" s="16"/>
      <c r="H821" s="16"/>
      <c r="I821" s="17"/>
      <c r="J821" s="16"/>
      <c r="K821" s="16"/>
      <c r="L821" s="16"/>
      <c r="M821" s="16"/>
      <c r="N821" s="17"/>
      <c r="O821" s="17"/>
      <c r="P821" s="17"/>
      <c r="Q821" s="18"/>
    </row>
    <row r="822" spans="3:17">
      <c r="C822" s="15"/>
      <c r="D822" s="16"/>
      <c r="E822" s="16"/>
      <c r="F822" s="16"/>
      <c r="G822" s="16"/>
      <c r="H822" s="16"/>
      <c r="I822" s="17"/>
      <c r="J822" s="16"/>
      <c r="K822" s="16"/>
      <c r="L822" s="16"/>
      <c r="M822" s="16"/>
      <c r="N822" s="17"/>
      <c r="O822" s="17"/>
      <c r="P822" s="17"/>
      <c r="Q822" s="18"/>
    </row>
    <row r="823" spans="3:17">
      <c r="C823" s="15"/>
      <c r="D823" s="16"/>
      <c r="E823" s="16"/>
      <c r="F823" s="16"/>
      <c r="G823" s="16"/>
      <c r="H823" s="16"/>
      <c r="I823" s="17"/>
      <c r="J823" s="16"/>
      <c r="K823" s="16"/>
      <c r="L823" s="16"/>
      <c r="M823" s="16"/>
      <c r="N823" s="17"/>
      <c r="O823" s="17"/>
      <c r="P823" s="17"/>
      <c r="Q823" s="18"/>
    </row>
    <row r="824" spans="3:17">
      <c r="C824" s="15"/>
      <c r="D824" s="16"/>
      <c r="E824" s="16"/>
      <c r="F824" s="16"/>
      <c r="G824" s="16"/>
      <c r="H824" s="16"/>
      <c r="I824" s="17"/>
      <c r="J824" s="16"/>
      <c r="K824" s="16"/>
      <c r="L824" s="16"/>
      <c r="M824" s="16"/>
      <c r="N824" s="17"/>
      <c r="O824" s="17"/>
      <c r="P824" s="17"/>
      <c r="Q824" s="18"/>
    </row>
    <row r="825" spans="3:17">
      <c r="C825" s="15"/>
      <c r="D825" s="16"/>
      <c r="E825" s="16"/>
      <c r="F825" s="16"/>
      <c r="G825" s="16"/>
      <c r="H825" s="16"/>
      <c r="I825" s="17"/>
      <c r="J825" s="16"/>
      <c r="K825" s="16"/>
      <c r="L825" s="16"/>
      <c r="M825" s="16"/>
      <c r="N825" s="17"/>
      <c r="O825" s="17"/>
      <c r="P825" s="17"/>
      <c r="Q825" s="18"/>
    </row>
    <row r="826" spans="3:17">
      <c r="C826" s="15"/>
      <c r="D826" s="16"/>
      <c r="E826" s="16"/>
      <c r="F826" s="16"/>
      <c r="G826" s="16"/>
      <c r="H826" s="16"/>
      <c r="I826" s="17"/>
      <c r="J826" s="16"/>
      <c r="K826" s="16"/>
      <c r="L826" s="16"/>
      <c r="M826" s="16"/>
      <c r="N826" s="17"/>
      <c r="O826" s="17"/>
      <c r="P826" s="17"/>
      <c r="Q826" s="18"/>
    </row>
    <row r="827" spans="3:17">
      <c r="C827" s="15"/>
      <c r="D827" s="16"/>
      <c r="E827" s="16"/>
      <c r="F827" s="16"/>
      <c r="G827" s="16"/>
      <c r="H827" s="16"/>
      <c r="I827" s="17"/>
      <c r="J827" s="16"/>
      <c r="K827" s="16"/>
      <c r="L827" s="16"/>
      <c r="M827" s="16"/>
      <c r="N827" s="17"/>
      <c r="O827" s="17"/>
      <c r="P827" s="17"/>
      <c r="Q827" s="18"/>
    </row>
    <row r="828" spans="3:17">
      <c r="C828" s="15"/>
      <c r="D828" s="16"/>
      <c r="E828" s="16"/>
      <c r="F828" s="16"/>
      <c r="G828" s="16"/>
      <c r="H828" s="16"/>
      <c r="I828" s="17"/>
      <c r="J828" s="16"/>
      <c r="K828" s="16"/>
      <c r="L828" s="16"/>
      <c r="M828" s="16"/>
      <c r="N828" s="17"/>
      <c r="O828" s="17"/>
      <c r="P828" s="17"/>
      <c r="Q828" s="18"/>
    </row>
    <row r="829" spans="3:17">
      <c r="C829" s="15"/>
      <c r="D829" s="16"/>
      <c r="E829" s="16"/>
      <c r="F829" s="16"/>
      <c r="G829" s="16"/>
      <c r="H829" s="16"/>
      <c r="I829" s="17"/>
      <c r="J829" s="16"/>
      <c r="K829" s="16"/>
      <c r="L829" s="16"/>
      <c r="M829" s="16"/>
      <c r="N829" s="17"/>
      <c r="O829" s="17"/>
      <c r="P829" s="17"/>
      <c r="Q829" s="18"/>
    </row>
    <row r="830" spans="3:17">
      <c r="C830" s="15"/>
      <c r="D830" s="16"/>
      <c r="E830" s="16"/>
      <c r="F830" s="16"/>
      <c r="G830" s="16"/>
      <c r="H830" s="16"/>
      <c r="I830" s="17"/>
      <c r="J830" s="16"/>
      <c r="K830" s="16"/>
      <c r="L830" s="16"/>
      <c r="M830" s="16"/>
      <c r="N830" s="17"/>
      <c r="O830" s="17"/>
      <c r="P830" s="17"/>
      <c r="Q830" s="18"/>
    </row>
    <row r="831" spans="3:17">
      <c r="C831" s="15"/>
      <c r="D831" s="16"/>
      <c r="E831" s="16"/>
      <c r="F831" s="16"/>
      <c r="G831" s="16"/>
      <c r="H831" s="16"/>
      <c r="I831" s="17"/>
      <c r="J831" s="16"/>
      <c r="K831" s="16"/>
      <c r="L831" s="16"/>
      <c r="M831" s="16"/>
      <c r="N831" s="17"/>
      <c r="O831" s="17"/>
      <c r="P831" s="17"/>
      <c r="Q831" s="18"/>
    </row>
    <row r="832" spans="3:17">
      <c r="C832" s="15"/>
      <c r="D832" s="16"/>
      <c r="E832" s="16"/>
      <c r="F832" s="16"/>
      <c r="G832" s="16"/>
      <c r="H832" s="16"/>
      <c r="I832" s="17"/>
      <c r="J832" s="16"/>
      <c r="K832" s="16"/>
      <c r="L832" s="16"/>
      <c r="M832" s="16"/>
      <c r="N832" s="17"/>
      <c r="O832" s="17"/>
      <c r="P832" s="17"/>
      <c r="Q832" s="18"/>
    </row>
    <row r="833" spans="3:17">
      <c r="C833" s="15"/>
      <c r="D833" s="16"/>
      <c r="E833" s="16"/>
      <c r="F833" s="16"/>
      <c r="G833" s="16"/>
      <c r="H833" s="16"/>
      <c r="I833" s="17"/>
      <c r="J833" s="16"/>
      <c r="K833" s="16"/>
      <c r="L833" s="16"/>
      <c r="M833" s="16"/>
      <c r="N833" s="17"/>
      <c r="O833" s="17"/>
      <c r="P833" s="17"/>
      <c r="Q833" s="18"/>
    </row>
    <row r="834" spans="3:17">
      <c r="C834" s="15"/>
      <c r="D834" s="16"/>
      <c r="E834" s="16"/>
      <c r="F834" s="16"/>
      <c r="G834" s="16"/>
      <c r="H834" s="16"/>
      <c r="I834" s="17"/>
      <c r="J834" s="16"/>
      <c r="K834" s="16"/>
      <c r="L834" s="16"/>
      <c r="M834" s="16"/>
      <c r="N834" s="17"/>
      <c r="O834" s="17"/>
      <c r="P834" s="17"/>
      <c r="Q834" s="18"/>
    </row>
    <row r="835" spans="3:17">
      <c r="C835" s="15"/>
      <c r="D835" s="16"/>
      <c r="E835" s="16"/>
      <c r="F835" s="16"/>
      <c r="G835" s="16"/>
      <c r="H835" s="16"/>
      <c r="I835" s="17"/>
      <c r="J835" s="16"/>
      <c r="K835" s="16"/>
      <c r="L835" s="16"/>
      <c r="M835" s="16"/>
      <c r="N835" s="17"/>
      <c r="O835" s="17"/>
      <c r="P835" s="17"/>
      <c r="Q835" s="18"/>
    </row>
    <row r="836" spans="3:17">
      <c r="C836" s="15"/>
      <c r="D836" s="16"/>
      <c r="E836" s="16"/>
      <c r="F836" s="16"/>
      <c r="G836" s="16"/>
      <c r="H836" s="16"/>
      <c r="I836" s="17"/>
      <c r="J836" s="16"/>
      <c r="K836" s="16"/>
      <c r="L836" s="16"/>
      <c r="M836" s="16"/>
      <c r="N836" s="17"/>
      <c r="O836" s="17"/>
      <c r="P836" s="17"/>
      <c r="Q836" s="18"/>
    </row>
    <row r="837" spans="3:17">
      <c r="C837" s="15"/>
      <c r="D837" s="16"/>
      <c r="E837" s="16"/>
      <c r="F837" s="16"/>
      <c r="G837" s="16"/>
      <c r="H837" s="16"/>
      <c r="I837" s="17"/>
      <c r="J837" s="16"/>
      <c r="K837" s="16"/>
      <c r="L837" s="16"/>
      <c r="M837" s="16"/>
      <c r="N837" s="17"/>
      <c r="O837" s="17"/>
      <c r="P837" s="17"/>
      <c r="Q837" s="18"/>
    </row>
    <row r="838" spans="3:17">
      <c r="C838" s="15"/>
      <c r="D838" s="16"/>
      <c r="E838" s="16"/>
      <c r="F838" s="16"/>
      <c r="G838" s="16"/>
      <c r="H838" s="16"/>
      <c r="I838" s="17"/>
      <c r="J838" s="16"/>
      <c r="K838" s="16"/>
      <c r="L838" s="16"/>
      <c r="M838" s="16"/>
      <c r="N838" s="17"/>
      <c r="O838" s="17"/>
      <c r="P838" s="17"/>
      <c r="Q838" s="18"/>
    </row>
    <row r="839" spans="3:17">
      <c r="C839" s="15"/>
      <c r="D839" s="16"/>
      <c r="E839" s="16"/>
      <c r="F839" s="16"/>
      <c r="G839" s="16"/>
      <c r="H839" s="16"/>
      <c r="I839" s="17"/>
      <c r="J839" s="16"/>
      <c r="K839" s="16"/>
      <c r="L839" s="16"/>
      <c r="M839" s="16"/>
      <c r="N839" s="17"/>
      <c r="O839" s="17"/>
      <c r="P839" s="17"/>
      <c r="Q839" s="18"/>
    </row>
    <row r="840" spans="3:17">
      <c r="C840" s="15"/>
      <c r="D840" s="16"/>
      <c r="E840" s="16"/>
      <c r="F840" s="16"/>
      <c r="G840" s="16"/>
      <c r="H840" s="16"/>
      <c r="I840" s="17"/>
      <c r="J840" s="16"/>
      <c r="K840" s="16"/>
      <c r="L840" s="16"/>
      <c r="M840" s="16"/>
      <c r="N840" s="17"/>
      <c r="O840" s="17"/>
      <c r="P840" s="17"/>
      <c r="Q840" s="18"/>
    </row>
    <row r="841" spans="3:17">
      <c r="C841" s="15"/>
      <c r="D841" s="16"/>
      <c r="E841" s="16"/>
      <c r="F841" s="16"/>
      <c r="G841" s="16"/>
      <c r="H841" s="16"/>
      <c r="I841" s="17"/>
      <c r="J841" s="16"/>
      <c r="K841" s="16"/>
      <c r="L841" s="16"/>
      <c r="M841" s="16"/>
      <c r="N841" s="17"/>
      <c r="O841" s="17"/>
      <c r="P841" s="17"/>
      <c r="Q841" s="18"/>
    </row>
    <row r="842" spans="3:17">
      <c r="C842" s="15"/>
      <c r="D842" s="16"/>
      <c r="E842" s="16"/>
      <c r="F842" s="16"/>
      <c r="G842" s="16"/>
      <c r="H842" s="16"/>
      <c r="I842" s="17"/>
      <c r="J842" s="16"/>
      <c r="K842" s="16"/>
      <c r="L842" s="16"/>
      <c r="M842" s="16"/>
      <c r="N842" s="17"/>
      <c r="O842" s="17"/>
      <c r="P842" s="17"/>
      <c r="Q842" s="18"/>
    </row>
    <row r="843" spans="3:17">
      <c r="C843" s="15"/>
      <c r="D843" s="16"/>
      <c r="E843" s="16"/>
      <c r="F843" s="16"/>
      <c r="G843" s="16"/>
      <c r="H843" s="16"/>
      <c r="I843" s="17"/>
      <c r="J843" s="16"/>
      <c r="K843" s="16"/>
      <c r="L843" s="16"/>
      <c r="M843" s="16"/>
      <c r="N843" s="17"/>
      <c r="O843" s="17"/>
      <c r="P843" s="17"/>
      <c r="Q843" s="18"/>
    </row>
    <row r="844" spans="3:17">
      <c r="C844" s="15"/>
      <c r="D844" s="16"/>
      <c r="E844" s="16"/>
      <c r="F844" s="16"/>
      <c r="G844" s="16"/>
      <c r="H844" s="16"/>
      <c r="I844" s="17"/>
      <c r="J844" s="16"/>
      <c r="K844" s="16"/>
      <c r="L844" s="16"/>
      <c r="M844" s="16"/>
      <c r="N844" s="17"/>
      <c r="O844" s="17"/>
      <c r="P844" s="17"/>
      <c r="Q844" s="18"/>
    </row>
    <row r="845" spans="3:17">
      <c r="C845" s="15"/>
      <c r="D845" s="16"/>
      <c r="E845" s="16"/>
      <c r="F845" s="16"/>
      <c r="G845" s="16"/>
      <c r="H845" s="16"/>
      <c r="I845" s="17"/>
      <c r="J845" s="16"/>
      <c r="K845" s="16"/>
      <c r="L845" s="16"/>
      <c r="M845" s="16"/>
      <c r="N845" s="17"/>
      <c r="O845" s="17"/>
      <c r="P845" s="17"/>
      <c r="Q845" s="18"/>
    </row>
    <row r="846" spans="3:17">
      <c r="C846" s="15"/>
      <c r="D846" s="16"/>
      <c r="E846" s="16"/>
      <c r="F846" s="16"/>
      <c r="G846" s="16"/>
      <c r="H846" s="16"/>
      <c r="I846" s="17"/>
      <c r="J846" s="16"/>
      <c r="K846" s="16"/>
      <c r="L846" s="16"/>
      <c r="M846" s="16"/>
      <c r="N846" s="17"/>
      <c r="O846" s="17"/>
      <c r="P846" s="17"/>
      <c r="Q846" s="18"/>
    </row>
    <row r="847" spans="3:17">
      <c r="C847" s="15"/>
      <c r="D847" s="16"/>
      <c r="E847" s="16"/>
      <c r="F847" s="16"/>
      <c r="G847" s="16"/>
      <c r="H847" s="16"/>
      <c r="I847" s="17"/>
      <c r="J847" s="16"/>
      <c r="K847" s="16"/>
      <c r="L847" s="16"/>
      <c r="M847" s="16"/>
      <c r="N847" s="17"/>
      <c r="O847" s="17"/>
      <c r="P847" s="17"/>
      <c r="Q847" s="18"/>
    </row>
    <row r="848" spans="3:17">
      <c r="C848" s="15"/>
      <c r="D848" s="16"/>
      <c r="E848" s="16"/>
      <c r="F848" s="16"/>
      <c r="G848" s="16"/>
      <c r="H848" s="16"/>
      <c r="I848" s="17"/>
      <c r="J848" s="16"/>
      <c r="K848" s="16"/>
      <c r="L848" s="16"/>
      <c r="M848" s="16"/>
      <c r="N848" s="17"/>
      <c r="O848" s="17"/>
      <c r="P848" s="17"/>
      <c r="Q848" s="18"/>
    </row>
    <row r="849" spans="3:17">
      <c r="C849" s="15"/>
      <c r="D849" s="16"/>
      <c r="E849" s="16"/>
      <c r="F849" s="16"/>
      <c r="G849" s="16"/>
      <c r="H849" s="16"/>
      <c r="I849" s="17"/>
      <c r="J849" s="16"/>
      <c r="K849" s="16"/>
      <c r="L849" s="16"/>
      <c r="M849" s="16"/>
      <c r="N849" s="17"/>
      <c r="O849" s="17"/>
      <c r="P849" s="17"/>
      <c r="Q849" s="18"/>
    </row>
    <row r="850" spans="3:17">
      <c r="C850" s="15"/>
      <c r="D850" s="16"/>
      <c r="E850" s="16"/>
      <c r="F850" s="16"/>
      <c r="G850" s="16"/>
      <c r="H850" s="16"/>
      <c r="I850" s="17"/>
      <c r="J850" s="16"/>
      <c r="K850" s="16"/>
      <c r="L850" s="16"/>
      <c r="M850" s="16"/>
      <c r="N850" s="17"/>
      <c r="O850" s="17"/>
      <c r="P850" s="17"/>
      <c r="Q850" s="18"/>
    </row>
    <row r="851" spans="3:17">
      <c r="C851" s="15"/>
      <c r="D851" s="16"/>
      <c r="E851" s="16"/>
      <c r="F851" s="16"/>
      <c r="G851" s="16"/>
      <c r="H851" s="16"/>
      <c r="I851" s="17"/>
      <c r="J851" s="16"/>
      <c r="K851" s="16"/>
      <c r="L851" s="16"/>
      <c r="M851" s="16"/>
      <c r="N851" s="17"/>
      <c r="O851" s="17"/>
      <c r="P851" s="17"/>
      <c r="Q851" s="18"/>
    </row>
    <row r="852" spans="3:17">
      <c r="C852" s="15"/>
      <c r="D852" s="16"/>
      <c r="E852" s="16"/>
      <c r="F852" s="16"/>
      <c r="G852" s="16"/>
      <c r="H852" s="16"/>
      <c r="I852" s="17"/>
      <c r="J852" s="16"/>
      <c r="K852" s="16"/>
      <c r="L852" s="16"/>
      <c r="M852" s="16"/>
      <c r="N852" s="17"/>
      <c r="O852" s="17"/>
      <c r="P852" s="17"/>
      <c r="Q852" s="18"/>
    </row>
    <row r="853" spans="3:17">
      <c r="C853" s="15"/>
      <c r="D853" s="16"/>
      <c r="E853" s="16"/>
      <c r="F853" s="16"/>
      <c r="G853" s="16"/>
      <c r="H853" s="16"/>
      <c r="I853" s="17"/>
      <c r="J853" s="16"/>
      <c r="K853" s="16"/>
      <c r="L853" s="16"/>
      <c r="M853" s="16"/>
      <c r="N853" s="17"/>
      <c r="O853" s="17"/>
      <c r="P853" s="17"/>
      <c r="Q853" s="18"/>
    </row>
    <row r="854" spans="3:17">
      <c r="C854" s="15"/>
      <c r="D854" s="16"/>
      <c r="E854" s="16"/>
      <c r="F854" s="16"/>
      <c r="G854" s="16"/>
      <c r="H854" s="16"/>
      <c r="I854" s="17"/>
      <c r="J854" s="16"/>
      <c r="K854" s="16"/>
      <c r="L854" s="16"/>
      <c r="M854" s="16"/>
      <c r="N854" s="17"/>
      <c r="O854" s="17"/>
      <c r="P854" s="17"/>
      <c r="Q854" s="18"/>
    </row>
    <row r="855" spans="3:17">
      <c r="C855" s="15"/>
      <c r="D855" s="16"/>
      <c r="E855" s="16"/>
      <c r="F855" s="16"/>
      <c r="G855" s="16"/>
      <c r="H855" s="16"/>
      <c r="I855" s="17"/>
      <c r="J855" s="16"/>
      <c r="K855" s="16"/>
      <c r="L855" s="16"/>
      <c r="M855" s="16"/>
      <c r="N855" s="17"/>
      <c r="O855" s="17"/>
      <c r="P855" s="17"/>
      <c r="Q855" s="18"/>
    </row>
    <row r="856" spans="3:17">
      <c r="C856" s="15"/>
      <c r="D856" s="16"/>
      <c r="E856" s="16"/>
      <c r="F856" s="16"/>
      <c r="G856" s="16"/>
      <c r="H856" s="16"/>
      <c r="I856" s="17"/>
      <c r="J856" s="16"/>
      <c r="K856" s="16"/>
      <c r="L856" s="16"/>
      <c r="M856" s="16"/>
      <c r="N856" s="17"/>
      <c r="O856" s="17"/>
      <c r="P856" s="17"/>
      <c r="Q856" s="18"/>
    </row>
    <row r="857" spans="3:17">
      <c r="C857" s="15"/>
      <c r="D857" s="16"/>
      <c r="E857" s="16"/>
      <c r="F857" s="16"/>
      <c r="G857" s="16"/>
      <c r="H857" s="16"/>
      <c r="I857" s="17"/>
      <c r="J857" s="16"/>
      <c r="K857" s="16"/>
      <c r="L857" s="16"/>
      <c r="M857" s="16"/>
      <c r="N857" s="17"/>
      <c r="O857" s="17"/>
      <c r="P857" s="17"/>
      <c r="Q857" s="18"/>
    </row>
    <row r="858" spans="3:17">
      <c r="C858" s="15"/>
      <c r="D858" s="16"/>
      <c r="E858" s="16"/>
      <c r="F858" s="16"/>
      <c r="G858" s="16"/>
      <c r="H858" s="16"/>
      <c r="I858" s="17"/>
      <c r="J858" s="16"/>
      <c r="K858" s="16"/>
      <c r="L858" s="16"/>
      <c r="M858" s="16"/>
      <c r="N858" s="17"/>
      <c r="O858" s="17"/>
      <c r="P858" s="17"/>
      <c r="Q858" s="18"/>
    </row>
    <row r="859" spans="3:17">
      <c r="C859" s="15"/>
      <c r="D859" s="16"/>
      <c r="E859" s="16"/>
      <c r="F859" s="16"/>
      <c r="G859" s="16"/>
      <c r="H859" s="16"/>
      <c r="I859" s="17"/>
      <c r="J859" s="16"/>
      <c r="K859" s="16"/>
      <c r="L859" s="16"/>
      <c r="M859" s="16"/>
      <c r="N859" s="17"/>
      <c r="O859" s="17"/>
      <c r="P859" s="17"/>
      <c r="Q859" s="18"/>
    </row>
    <row r="860" spans="3:17">
      <c r="C860" s="15"/>
      <c r="D860" s="16"/>
      <c r="E860" s="16"/>
      <c r="F860" s="16"/>
      <c r="G860" s="16"/>
      <c r="H860" s="16"/>
      <c r="I860" s="17"/>
      <c r="J860" s="16"/>
      <c r="K860" s="16"/>
      <c r="L860" s="16"/>
      <c r="M860" s="16"/>
      <c r="N860" s="17"/>
      <c r="O860" s="17"/>
      <c r="P860" s="17"/>
      <c r="Q860" s="18"/>
    </row>
    <row r="861" spans="3:17">
      <c r="C861" s="15"/>
      <c r="D861" s="16"/>
      <c r="E861" s="16"/>
      <c r="F861" s="16"/>
      <c r="G861" s="16"/>
      <c r="H861" s="16"/>
      <c r="I861" s="17"/>
      <c r="J861" s="16"/>
      <c r="K861" s="16"/>
      <c r="L861" s="16"/>
      <c r="M861" s="16"/>
      <c r="N861" s="17"/>
      <c r="O861" s="17"/>
      <c r="P861" s="17"/>
      <c r="Q861" s="18"/>
    </row>
    <row r="862" spans="3:17">
      <c r="C862" s="15"/>
      <c r="D862" s="16"/>
      <c r="E862" s="16"/>
      <c r="F862" s="16"/>
      <c r="G862" s="16"/>
      <c r="H862" s="16"/>
      <c r="I862" s="17"/>
      <c r="J862" s="16"/>
      <c r="K862" s="16"/>
      <c r="L862" s="16"/>
      <c r="M862" s="16"/>
      <c r="N862" s="17"/>
      <c r="O862" s="17"/>
      <c r="P862" s="17"/>
      <c r="Q862" s="18"/>
    </row>
    <row r="863" spans="3:17">
      <c r="C863" s="15"/>
      <c r="D863" s="16"/>
      <c r="E863" s="16"/>
      <c r="F863" s="16"/>
      <c r="G863" s="16"/>
      <c r="H863" s="16"/>
      <c r="I863" s="17"/>
      <c r="J863" s="16"/>
      <c r="K863" s="16"/>
      <c r="L863" s="16"/>
      <c r="M863" s="16"/>
      <c r="N863" s="17"/>
      <c r="O863" s="17"/>
      <c r="P863" s="17"/>
      <c r="Q863" s="18"/>
    </row>
    <row r="864" spans="3:17">
      <c r="C864" s="15"/>
      <c r="D864" s="16"/>
      <c r="E864" s="16"/>
      <c r="F864" s="16"/>
      <c r="G864" s="16"/>
      <c r="H864" s="16"/>
      <c r="I864" s="17"/>
      <c r="J864" s="16"/>
      <c r="K864" s="16"/>
      <c r="L864" s="16"/>
      <c r="M864" s="16"/>
      <c r="N864" s="17"/>
      <c r="O864" s="17"/>
      <c r="P864" s="17"/>
      <c r="Q864" s="18"/>
    </row>
    <row r="865" spans="3:17">
      <c r="C865" s="15"/>
      <c r="D865" s="16"/>
      <c r="E865" s="16"/>
      <c r="F865" s="16"/>
      <c r="G865" s="16"/>
      <c r="H865" s="16"/>
      <c r="I865" s="17"/>
      <c r="J865" s="16"/>
      <c r="K865" s="16"/>
      <c r="L865" s="16"/>
      <c r="M865" s="16"/>
      <c r="N865" s="17"/>
      <c r="O865" s="17"/>
      <c r="P865" s="17"/>
      <c r="Q865" s="18"/>
    </row>
    <row r="866" spans="3:17">
      <c r="C866" s="15"/>
      <c r="D866" s="16"/>
      <c r="E866" s="16"/>
      <c r="F866" s="16"/>
      <c r="G866" s="16"/>
      <c r="H866" s="16"/>
      <c r="I866" s="17"/>
      <c r="J866" s="16"/>
      <c r="K866" s="16"/>
      <c r="L866" s="16"/>
      <c r="M866" s="16"/>
      <c r="N866" s="17"/>
      <c r="O866" s="17"/>
      <c r="P866" s="17"/>
      <c r="Q866" s="18"/>
    </row>
    <row r="867" spans="3:17">
      <c r="C867" s="15"/>
      <c r="D867" s="16"/>
      <c r="E867" s="16"/>
      <c r="F867" s="16"/>
      <c r="G867" s="16"/>
      <c r="H867" s="16"/>
      <c r="I867" s="17"/>
      <c r="J867" s="16"/>
      <c r="K867" s="16"/>
      <c r="L867" s="16"/>
      <c r="M867" s="16"/>
      <c r="N867" s="17"/>
      <c r="O867" s="17"/>
      <c r="P867" s="17"/>
      <c r="Q867" s="18"/>
    </row>
    <row r="868" spans="3:17">
      <c r="C868" s="15"/>
      <c r="D868" s="16"/>
      <c r="E868" s="16"/>
      <c r="F868" s="16"/>
      <c r="G868" s="16"/>
      <c r="H868" s="16"/>
      <c r="I868" s="17"/>
      <c r="J868" s="16"/>
      <c r="K868" s="16"/>
      <c r="L868" s="16"/>
      <c r="M868" s="16"/>
      <c r="N868" s="17"/>
      <c r="O868" s="17"/>
      <c r="P868" s="17"/>
      <c r="Q868" s="18"/>
    </row>
    <row r="869" spans="3:17">
      <c r="C869" s="15"/>
      <c r="D869" s="16"/>
      <c r="E869" s="16"/>
      <c r="F869" s="16"/>
      <c r="G869" s="16"/>
      <c r="H869" s="16"/>
      <c r="I869" s="17"/>
      <c r="J869" s="16"/>
      <c r="K869" s="16"/>
      <c r="L869" s="16"/>
      <c r="M869" s="16"/>
      <c r="N869" s="17"/>
      <c r="O869" s="17"/>
      <c r="P869" s="17"/>
      <c r="Q869" s="18"/>
    </row>
    <row r="870" spans="3:17">
      <c r="C870" s="15"/>
      <c r="D870" s="16"/>
      <c r="E870" s="16"/>
      <c r="F870" s="16"/>
      <c r="G870" s="16"/>
      <c r="H870" s="16"/>
      <c r="I870" s="17"/>
      <c r="J870" s="16"/>
      <c r="K870" s="16"/>
      <c r="L870" s="16"/>
      <c r="M870" s="16"/>
      <c r="N870" s="17"/>
      <c r="O870" s="17"/>
      <c r="P870" s="17"/>
      <c r="Q870" s="18"/>
    </row>
    <row r="871" spans="3:17">
      <c r="C871" s="15"/>
      <c r="D871" s="16"/>
      <c r="E871" s="16"/>
      <c r="F871" s="16"/>
      <c r="G871" s="16"/>
      <c r="H871" s="16"/>
      <c r="I871" s="17"/>
      <c r="J871" s="16"/>
      <c r="K871" s="16"/>
      <c r="L871" s="16"/>
      <c r="M871" s="16"/>
      <c r="N871" s="17"/>
      <c r="O871" s="17"/>
      <c r="P871" s="17"/>
      <c r="Q871" s="18"/>
    </row>
    <row r="872" spans="3:17">
      <c r="C872" s="15"/>
      <c r="D872" s="16"/>
      <c r="E872" s="16"/>
      <c r="F872" s="16"/>
      <c r="G872" s="16"/>
      <c r="H872" s="16"/>
      <c r="I872" s="17"/>
      <c r="J872" s="16"/>
      <c r="K872" s="16"/>
      <c r="L872" s="16"/>
      <c r="M872" s="16"/>
      <c r="N872" s="17"/>
      <c r="O872" s="17"/>
      <c r="P872" s="17"/>
      <c r="Q872" s="18"/>
    </row>
    <row r="873" spans="3:17">
      <c r="C873" s="15"/>
      <c r="D873" s="16"/>
      <c r="E873" s="16"/>
      <c r="F873" s="16"/>
      <c r="G873" s="16"/>
      <c r="H873" s="16"/>
      <c r="I873" s="17"/>
      <c r="J873" s="16"/>
      <c r="K873" s="16"/>
      <c r="L873" s="16"/>
      <c r="M873" s="16"/>
      <c r="N873" s="17"/>
      <c r="O873" s="17"/>
      <c r="P873" s="17"/>
      <c r="Q873" s="18"/>
    </row>
    <row r="874" spans="3:17">
      <c r="C874" s="15"/>
      <c r="D874" s="16"/>
      <c r="E874" s="16"/>
      <c r="F874" s="16"/>
      <c r="G874" s="16"/>
      <c r="H874" s="16"/>
      <c r="I874" s="17"/>
      <c r="J874" s="16"/>
      <c r="K874" s="16"/>
      <c r="L874" s="16"/>
      <c r="M874" s="16"/>
      <c r="N874" s="17"/>
      <c r="O874" s="17"/>
      <c r="P874" s="17"/>
      <c r="Q874" s="18"/>
    </row>
    <row r="875" spans="3:17">
      <c r="C875" s="15"/>
      <c r="D875" s="16"/>
      <c r="E875" s="16"/>
      <c r="F875" s="16"/>
      <c r="G875" s="16"/>
      <c r="H875" s="16"/>
      <c r="I875" s="17"/>
      <c r="J875" s="16"/>
      <c r="K875" s="16"/>
      <c r="L875" s="16"/>
      <c r="M875" s="16"/>
      <c r="N875" s="17"/>
      <c r="O875" s="17"/>
      <c r="P875" s="17"/>
      <c r="Q875" s="18"/>
    </row>
    <row r="876" spans="3:17">
      <c r="C876" s="15"/>
      <c r="D876" s="16"/>
      <c r="E876" s="16"/>
      <c r="F876" s="16"/>
      <c r="G876" s="16"/>
      <c r="H876" s="16"/>
      <c r="I876" s="17"/>
      <c r="J876" s="16"/>
      <c r="K876" s="16"/>
      <c r="L876" s="16"/>
      <c r="M876" s="16"/>
      <c r="N876" s="17"/>
      <c r="O876" s="17"/>
      <c r="P876" s="17"/>
      <c r="Q876" s="18"/>
    </row>
    <row r="877" spans="3:17">
      <c r="C877" s="15"/>
      <c r="D877" s="16"/>
      <c r="E877" s="16"/>
      <c r="F877" s="16"/>
      <c r="G877" s="16"/>
      <c r="H877" s="16"/>
      <c r="I877" s="17"/>
      <c r="J877" s="16"/>
      <c r="K877" s="16"/>
      <c r="L877" s="16"/>
      <c r="M877" s="16"/>
      <c r="N877" s="17"/>
      <c r="O877" s="17"/>
      <c r="P877" s="17"/>
      <c r="Q877" s="18"/>
    </row>
    <row r="878" spans="3:17">
      <c r="C878" s="15"/>
      <c r="D878" s="16"/>
      <c r="E878" s="16"/>
      <c r="F878" s="16"/>
      <c r="G878" s="16"/>
      <c r="H878" s="16"/>
      <c r="I878" s="17"/>
      <c r="J878" s="16"/>
      <c r="K878" s="16"/>
      <c r="L878" s="16"/>
      <c r="M878" s="16"/>
      <c r="N878" s="17"/>
      <c r="O878" s="17"/>
      <c r="P878" s="17"/>
      <c r="Q878" s="18"/>
    </row>
    <row r="879" spans="3:17">
      <c r="C879" s="15"/>
      <c r="D879" s="16"/>
      <c r="E879" s="16"/>
      <c r="F879" s="16"/>
      <c r="G879" s="16"/>
      <c r="H879" s="16"/>
      <c r="I879" s="17"/>
      <c r="J879" s="16"/>
      <c r="K879" s="16"/>
      <c r="L879" s="16"/>
      <c r="M879" s="16"/>
      <c r="N879" s="17"/>
      <c r="O879" s="17"/>
      <c r="P879" s="17"/>
      <c r="Q879" s="18"/>
    </row>
    <row r="880" spans="3:17">
      <c r="C880" s="15"/>
      <c r="D880" s="16"/>
      <c r="E880" s="16"/>
      <c r="F880" s="16"/>
      <c r="G880" s="16"/>
      <c r="H880" s="16"/>
      <c r="I880" s="17"/>
      <c r="J880" s="16"/>
      <c r="K880" s="16"/>
      <c r="L880" s="16"/>
      <c r="M880" s="16"/>
      <c r="N880" s="17"/>
      <c r="O880" s="17"/>
      <c r="P880" s="17"/>
      <c r="Q880" s="18"/>
    </row>
    <row r="881" spans="3:17">
      <c r="C881" s="15"/>
      <c r="D881" s="16"/>
      <c r="E881" s="16"/>
      <c r="F881" s="16"/>
      <c r="G881" s="16"/>
      <c r="H881" s="16"/>
      <c r="I881" s="17"/>
      <c r="J881" s="16"/>
      <c r="K881" s="16"/>
      <c r="L881" s="16"/>
      <c r="M881" s="16"/>
      <c r="N881" s="17"/>
      <c r="O881" s="17"/>
      <c r="P881" s="17"/>
      <c r="Q881" s="18"/>
    </row>
    <row r="882" spans="3:17">
      <c r="C882" s="15"/>
      <c r="D882" s="16"/>
      <c r="E882" s="16"/>
      <c r="F882" s="16"/>
      <c r="G882" s="16"/>
      <c r="H882" s="16"/>
      <c r="I882" s="17"/>
      <c r="J882" s="16"/>
      <c r="K882" s="16"/>
      <c r="L882" s="16"/>
      <c r="M882" s="16"/>
      <c r="N882" s="17"/>
      <c r="O882" s="17"/>
      <c r="P882" s="17"/>
      <c r="Q882" s="18"/>
    </row>
    <row r="883" spans="3:17">
      <c r="C883" s="15"/>
      <c r="D883" s="16"/>
      <c r="E883" s="16"/>
      <c r="F883" s="16"/>
      <c r="G883" s="16"/>
      <c r="H883" s="16"/>
      <c r="I883" s="17"/>
      <c r="J883" s="16"/>
      <c r="K883" s="16"/>
      <c r="L883" s="16"/>
      <c r="M883" s="16"/>
      <c r="N883" s="17"/>
      <c r="O883" s="17"/>
      <c r="P883" s="17"/>
      <c r="Q883" s="18"/>
    </row>
    <row r="884" spans="3:17">
      <c r="C884" s="15"/>
      <c r="D884" s="16"/>
      <c r="E884" s="16"/>
      <c r="F884" s="16"/>
      <c r="G884" s="16"/>
      <c r="H884" s="16"/>
      <c r="I884" s="17"/>
      <c r="J884" s="16"/>
      <c r="K884" s="16"/>
      <c r="L884" s="16"/>
      <c r="M884" s="16"/>
      <c r="N884" s="17"/>
      <c r="O884" s="17"/>
      <c r="P884" s="17"/>
      <c r="Q884" s="18"/>
    </row>
    <row r="885" spans="3:17">
      <c r="C885" s="15"/>
      <c r="D885" s="16"/>
      <c r="E885" s="16"/>
      <c r="F885" s="16"/>
      <c r="G885" s="16"/>
      <c r="H885" s="16"/>
      <c r="I885" s="17"/>
      <c r="J885" s="16"/>
      <c r="K885" s="16"/>
      <c r="L885" s="16"/>
      <c r="M885" s="16"/>
      <c r="N885" s="17"/>
      <c r="O885" s="17"/>
      <c r="P885" s="17"/>
      <c r="Q885" s="18"/>
    </row>
    <row r="886" spans="3:17">
      <c r="C886" s="15"/>
      <c r="D886" s="16"/>
      <c r="E886" s="16"/>
      <c r="F886" s="16"/>
      <c r="G886" s="16"/>
      <c r="H886" s="16"/>
      <c r="I886" s="17"/>
      <c r="J886" s="16"/>
      <c r="K886" s="16"/>
      <c r="L886" s="16"/>
      <c r="M886" s="16"/>
      <c r="N886" s="17"/>
      <c r="O886" s="17"/>
      <c r="P886" s="17"/>
      <c r="Q886" s="18"/>
    </row>
    <row r="887" spans="3:17">
      <c r="C887" s="15"/>
      <c r="D887" s="16"/>
      <c r="E887" s="16"/>
      <c r="F887" s="16"/>
      <c r="G887" s="16"/>
      <c r="H887" s="16"/>
      <c r="I887" s="17"/>
      <c r="J887" s="16"/>
      <c r="K887" s="16"/>
      <c r="L887" s="16"/>
      <c r="M887" s="16"/>
      <c r="N887" s="17"/>
      <c r="O887" s="17"/>
      <c r="P887" s="17"/>
      <c r="Q887" s="18"/>
    </row>
    <row r="888" spans="3:17">
      <c r="C888" s="15"/>
      <c r="D888" s="16"/>
      <c r="E888" s="16"/>
      <c r="F888" s="16"/>
      <c r="G888" s="16"/>
      <c r="H888" s="16"/>
      <c r="I888" s="17"/>
      <c r="J888" s="16"/>
      <c r="K888" s="16"/>
      <c r="L888" s="16"/>
      <c r="M888" s="16"/>
      <c r="N888" s="17"/>
      <c r="O888" s="17"/>
      <c r="P888" s="17"/>
      <c r="Q888" s="18"/>
    </row>
    <row r="889" spans="3:17">
      <c r="C889" s="15"/>
      <c r="D889" s="16"/>
      <c r="E889" s="16"/>
      <c r="F889" s="16"/>
      <c r="G889" s="16"/>
      <c r="H889" s="16"/>
      <c r="I889" s="17"/>
      <c r="J889" s="16"/>
      <c r="K889" s="16"/>
      <c r="L889" s="16"/>
      <c r="M889" s="16"/>
      <c r="N889" s="17"/>
      <c r="O889" s="17"/>
      <c r="P889" s="17"/>
      <c r="Q889" s="18"/>
    </row>
    <row r="890" spans="3:17">
      <c r="C890" s="15"/>
      <c r="D890" s="16"/>
      <c r="E890" s="16"/>
      <c r="F890" s="16"/>
      <c r="G890" s="16"/>
      <c r="H890" s="16"/>
      <c r="I890" s="17"/>
      <c r="J890" s="16"/>
      <c r="K890" s="16"/>
      <c r="L890" s="16"/>
      <c r="M890" s="16"/>
      <c r="N890" s="17"/>
      <c r="O890" s="17"/>
      <c r="P890" s="17"/>
      <c r="Q890" s="18"/>
    </row>
    <row r="891" spans="3:17">
      <c r="C891" s="15"/>
      <c r="D891" s="16"/>
      <c r="E891" s="16"/>
      <c r="F891" s="16"/>
      <c r="G891" s="16"/>
      <c r="H891" s="16"/>
      <c r="I891" s="17"/>
      <c r="J891" s="16"/>
      <c r="K891" s="16"/>
      <c r="L891" s="16"/>
      <c r="M891" s="16"/>
      <c r="N891" s="17"/>
      <c r="O891" s="17"/>
      <c r="P891" s="17"/>
      <c r="Q891" s="18"/>
    </row>
    <row r="892" spans="3:17">
      <c r="C892" s="15"/>
      <c r="D892" s="16"/>
      <c r="E892" s="16"/>
      <c r="F892" s="16"/>
      <c r="G892" s="16"/>
      <c r="H892" s="16"/>
      <c r="I892" s="17"/>
      <c r="J892" s="16"/>
      <c r="K892" s="16"/>
      <c r="L892" s="16"/>
      <c r="M892" s="16"/>
      <c r="N892" s="17"/>
      <c r="O892" s="17"/>
      <c r="P892" s="17"/>
      <c r="Q892" s="18"/>
    </row>
    <row r="893" spans="3:17">
      <c r="C893" s="15"/>
      <c r="D893" s="16"/>
      <c r="E893" s="16"/>
      <c r="F893" s="16"/>
      <c r="G893" s="16"/>
      <c r="H893" s="16"/>
      <c r="I893" s="17"/>
      <c r="J893" s="16"/>
      <c r="K893" s="16"/>
      <c r="L893" s="16"/>
      <c r="M893" s="16"/>
      <c r="N893" s="17"/>
      <c r="O893" s="17"/>
      <c r="P893" s="17"/>
      <c r="Q893" s="18"/>
    </row>
    <row r="894" spans="3:17">
      <c r="C894" s="15"/>
      <c r="D894" s="16"/>
      <c r="E894" s="16"/>
      <c r="F894" s="16"/>
      <c r="G894" s="16"/>
      <c r="H894" s="16"/>
      <c r="I894" s="17"/>
      <c r="J894" s="16"/>
      <c r="K894" s="16"/>
      <c r="L894" s="16"/>
      <c r="M894" s="16"/>
      <c r="N894" s="17"/>
      <c r="O894" s="17"/>
      <c r="P894" s="17"/>
      <c r="Q894" s="18"/>
    </row>
    <row r="895" spans="3:17">
      <c r="C895" s="15"/>
      <c r="D895" s="16"/>
      <c r="E895" s="16"/>
      <c r="F895" s="16"/>
      <c r="G895" s="16"/>
      <c r="H895" s="16"/>
      <c r="I895" s="17"/>
      <c r="J895" s="16"/>
      <c r="K895" s="16"/>
      <c r="L895" s="16"/>
      <c r="M895" s="16"/>
      <c r="N895" s="17"/>
      <c r="O895" s="17"/>
      <c r="P895" s="17"/>
      <c r="Q895" s="18"/>
    </row>
    <row r="896" spans="3:17">
      <c r="C896" s="15"/>
      <c r="D896" s="16"/>
      <c r="E896" s="16"/>
      <c r="F896" s="16"/>
      <c r="G896" s="16"/>
      <c r="H896" s="16"/>
      <c r="I896" s="17"/>
      <c r="J896" s="16"/>
      <c r="K896" s="16"/>
      <c r="L896" s="16"/>
      <c r="M896" s="16"/>
      <c r="N896" s="17"/>
      <c r="O896" s="17"/>
      <c r="P896" s="17"/>
      <c r="Q896" s="18"/>
    </row>
    <row r="897" spans="3:17">
      <c r="C897" s="15"/>
      <c r="D897" s="16"/>
      <c r="E897" s="16"/>
      <c r="F897" s="16"/>
      <c r="G897" s="16"/>
      <c r="H897" s="16"/>
      <c r="I897" s="17"/>
      <c r="J897" s="16"/>
      <c r="K897" s="16"/>
      <c r="L897" s="16"/>
      <c r="M897" s="16"/>
      <c r="N897" s="17"/>
      <c r="O897" s="17"/>
      <c r="P897" s="17"/>
      <c r="Q897" s="18"/>
    </row>
    <row r="898" spans="3:17">
      <c r="C898" s="15"/>
      <c r="D898" s="16"/>
      <c r="E898" s="16"/>
      <c r="F898" s="16"/>
      <c r="G898" s="16"/>
      <c r="H898" s="16"/>
      <c r="I898" s="17"/>
      <c r="J898" s="16"/>
      <c r="K898" s="16"/>
      <c r="L898" s="16"/>
      <c r="M898" s="16"/>
      <c r="N898" s="17"/>
      <c r="O898" s="17"/>
      <c r="P898" s="17"/>
      <c r="Q898" s="18"/>
    </row>
    <row r="899" spans="3:17">
      <c r="C899" s="15"/>
      <c r="D899" s="16"/>
      <c r="E899" s="16"/>
      <c r="F899" s="16"/>
      <c r="G899" s="16"/>
      <c r="H899" s="16"/>
      <c r="I899" s="17"/>
      <c r="J899" s="16"/>
      <c r="K899" s="16"/>
      <c r="L899" s="16"/>
      <c r="M899" s="16"/>
      <c r="N899" s="17"/>
      <c r="O899" s="17"/>
      <c r="P899" s="17"/>
      <c r="Q899" s="18"/>
    </row>
    <row r="900" spans="3:17">
      <c r="C900" s="15"/>
      <c r="D900" s="16"/>
      <c r="E900" s="16"/>
      <c r="F900" s="16"/>
      <c r="G900" s="16"/>
      <c r="H900" s="16"/>
      <c r="I900" s="17"/>
      <c r="J900" s="16"/>
      <c r="K900" s="16"/>
      <c r="L900" s="16"/>
      <c r="M900" s="16"/>
      <c r="N900" s="17"/>
      <c r="O900" s="17"/>
      <c r="P900" s="17"/>
      <c r="Q900" s="18"/>
    </row>
    <row r="901" spans="3:17">
      <c r="C901" s="15"/>
      <c r="D901" s="16"/>
      <c r="E901" s="16"/>
      <c r="F901" s="16"/>
      <c r="G901" s="16"/>
      <c r="H901" s="16"/>
      <c r="I901" s="17"/>
      <c r="J901" s="16"/>
      <c r="K901" s="16"/>
      <c r="L901" s="16"/>
      <c r="M901" s="16"/>
      <c r="N901" s="17"/>
      <c r="O901" s="17"/>
      <c r="P901" s="17"/>
      <c r="Q901" s="18"/>
    </row>
    <row r="902" spans="3:17">
      <c r="C902" s="15"/>
      <c r="D902" s="16"/>
      <c r="E902" s="16"/>
      <c r="F902" s="16"/>
      <c r="G902" s="16"/>
      <c r="H902" s="16"/>
      <c r="I902" s="17"/>
      <c r="J902" s="16"/>
      <c r="K902" s="16"/>
      <c r="L902" s="16"/>
      <c r="M902" s="16"/>
      <c r="N902" s="17"/>
      <c r="O902" s="17"/>
      <c r="P902" s="17"/>
      <c r="Q902" s="18"/>
    </row>
    <row r="903" spans="3:17">
      <c r="C903" s="15"/>
      <c r="D903" s="16"/>
      <c r="E903" s="16"/>
      <c r="F903" s="16"/>
      <c r="G903" s="16"/>
      <c r="H903" s="16"/>
      <c r="I903" s="17"/>
      <c r="J903" s="16"/>
      <c r="K903" s="16"/>
      <c r="L903" s="16"/>
      <c r="M903" s="16"/>
      <c r="N903" s="17"/>
      <c r="O903" s="17"/>
      <c r="P903" s="17"/>
      <c r="Q903" s="18"/>
    </row>
    <row r="904" spans="3:17">
      <c r="C904" s="15"/>
      <c r="D904" s="16"/>
      <c r="E904" s="16"/>
      <c r="F904" s="16"/>
      <c r="G904" s="16"/>
      <c r="H904" s="16"/>
      <c r="I904" s="17"/>
      <c r="J904" s="16"/>
      <c r="K904" s="16"/>
      <c r="L904" s="16"/>
      <c r="M904" s="16"/>
      <c r="N904" s="17"/>
      <c r="O904" s="17"/>
      <c r="P904" s="17"/>
      <c r="Q904" s="18"/>
    </row>
    <row r="905" spans="3:17">
      <c r="C905" s="15"/>
      <c r="D905" s="16"/>
      <c r="E905" s="16"/>
      <c r="F905" s="16"/>
      <c r="G905" s="16"/>
      <c r="H905" s="16"/>
      <c r="I905" s="17"/>
      <c r="J905" s="16"/>
      <c r="K905" s="16"/>
      <c r="L905" s="16"/>
      <c r="M905" s="16"/>
      <c r="N905" s="17"/>
      <c r="O905" s="17"/>
      <c r="P905" s="17"/>
      <c r="Q905" s="18"/>
    </row>
    <row r="906" spans="3:17">
      <c r="C906" s="15"/>
      <c r="D906" s="16"/>
      <c r="E906" s="16"/>
      <c r="F906" s="16"/>
      <c r="G906" s="16"/>
      <c r="H906" s="16"/>
      <c r="I906" s="17"/>
      <c r="J906" s="16"/>
      <c r="K906" s="16"/>
      <c r="L906" s="16"/>
      <c r="M906" s="16"/>
      <c r="N906" s="17"/>
      <c r="O906" s="17"/>
      <c r="P906" s="17"/>
      <c r="Q906" s="18"/>
    </row>
    <row r="907" spans="3:17">
      <c r="C907" s="15"/>
      <c r="D907" s="16"/>
      <c r="E907" s="16"/>
      <c r="F907" s="16"/>
      <c r="G907" s="16"/>
      <c r="H907" s="16"/>
      <c r="I907" s="17"/>
      <c r="J907" s="16"/>
      <c r="K907" s="16"/>
      <c r="L907" s="16"/>
      <c r="M907" s="16"/>
      <c r="N907" s="17"/>
      <c r="O907" s="17"/>
      <c r="P907" s="17"/>
      <c r="Q907" s="18"/>
    </row>
    <row r="908" spans="3:17">
      <c r="C908" s="15"/>
      <c r="D908" s="16"/>
      <c r="E908" s="16"/>
      <c r="F908" s="16"/>
      <c r="G908" s="16"/>
      <c r="H908" s="16"/>
      <c r="I908" s="17"/>
      <c r="J908" s="16"/>
      <c r="K908" s="16"/>
      <c r="L908" s="16"/>
      <c r="M908" s="16"/>
      <c r="N908" s="17"/>
      <c r="O908" s="17"/>
      <c r="P908" s="17"/>
      <c r="Q908" s="18"/>
    </row>
    <row r="909" spans="3:17">
      <c r="C909" s="15"/>
      <c r="D909" s="16"/>
      <c r="E909" s="16"/>
      <c r="F909" s="16"/>
      <c r="G909" s="16"/>
      <c r="H909" s="16"/>
      <c r="I909" s="17"/>
      <c r="J909" s="16"/>
      <c r="K909" s="16"/>
      <c r="L909" s="16"/>
      <c r="M909" s="16"/>
      <c r="N909" s="17"/>
      <c r="O909" s="17"/>
      <c r="P909" s="17"/>
      <c r="Q909" s="18"/>
    </row>
    <row r="910" spans="3:17">
      <c r="C910" s="15"/>
      <c r="D910" s="16"/>
      <c r="E910" s="16"/>
      <c r="F910" s="16"/>
      <c r="G910" s="16"/>
      <c r="H910" s="16"/>
      <c r="I910" s="17"/>
      <c r="J910" s="16"/>
      <c r="K910" s="16"/>
      <c r="L910" s="16"/>
      <c r="M910" s="16"/>
      <c r="N910" s="17"/>
      <c r="O910" s="17"/>
      <c r="P910" s="17"/>
      <c r="Q910" s="18"/>
    </row>
    <row r="911" spans="3:17">
      <c r="C911" s="15"/>
      <c r="D911" s="16"/>
      <c r="E911" s="16"/>
      <c r="F911" s="16"/>
      <c r="G911" s="16"/>
      <c r="H911" s="16"/>
      <c r="I911" s="17"/>
      <c r="J911" s="16"/>
      <c r="K911" s="16"/>
      <c r="L911" s="16"/>
      <c r="M911" s="16"/>
      <c r="N911" s="17"/>
      <c r="O911" s="17"/>
      <c r="P911" s="17"/>
      <c r="Q911" s="18"/>
    </row>
    <row r="912" spans="3:17">
      <c r="C912" s="15"/>
      <c r="D912" s="16"/>
      <c r="E912" s="16"/>
      <c r="F912" s="16"/>
      <c r="G912" s="16"/>
      <c r="H912" s="16"/>
      <c r="I912" s="17"/>
      <c r="J912" s="16"/>
      <c r="K912" s="16"/>
      <c r="L912" s="16"/>
      <c r="M912" s="16"/>
      <c r="N912" s="17"/>
      <c r="O912" s="17"/>
      <c r="P912" s="17"/>
      <c r="Q912" s="18"/>
    </row>
    <row r="913" spans="3:17">
      <c r="C913" s="15"/>
      <c r="D913" s="16"/>
      <c r="E913" s="16"/>
      <c r="F913" s="16"/>
      <c r="G913" s="16"/>
      <c r="H913" s="16"/>
      <c r="I913" s="17"/>
      <c r="J913" s="16"/>
      <c r="K913" s="16"/>
      <c r="L913" s="16"/>
      <c r="M913" s="16"/>
      <c r="N913" s="17"/>
      <c r="O913" s="17"/>
      <c r="P913" s="17"/>
      <c r="Q913" s="18"/>
    </row>
    <row r="914" spans="3:17">
      <c r="C914" s="15"/>
      <c r="D914" s="16"/>
      <c r="E914" s="16"/>
      <c r="F914" s="16"/>
      <c r="G914" s="16"/>
      <c r="H914" s="16"/>
      <c r="I914" s="17"/>
      <c r="J914" s="16"/>
      <c r="K914" s="16"/>
      <c r="L914" s="16"/>
      <c r="M914" s="16"/>
      <c r="N914" s="17"/>
      <c r="O914" s="17"/>
      <c r="P914" s="17"/>
      <c r="Q914" s="18"/>
    </row>
    <row r="915" spans="3:17">
      <c r="C915" s="15"/>
      <c r="D915" s="16"/>
      <c r="E915" s="16"/>
      <c r="F915" s="16"/>
      <c r="G915" s="16"/>
      <c r="H915" s="16"/>
      <c r="I915" s="17"/>
      <c r="J915" s="16"/>
      <c r="K915" s="16"/>
      <c r="L915" s="16"/>
      <c r="M915" s="16"/>
      <c r="N915" s="17"/>
      <c r="O915" s="17"/>
      <c r="P915" s="17"/>
      <c r="Q915" s="18"/>
    </row>
    <row r="916" spans="3:17">
      <c r="C916" s="15"/>
      <c r="D916" s="16"/>
      <c r="E916" s="16"/>
      <c r="F916" s="16"/>
      <c r="G916" s="16"/>
      <c r="H916" s="16"/>
      <c r="I916" s="17"/>
      <c r="J916" s="16"/>
      <c r="K916" s="16"/>
      <c r="L916" s="16"/>
      <c r="M916" s="16"/>
      <c r="N916" s="17"/>
      <c r="O916" s="17"/>
      <c r="P916" s="17"/>
      <c r="Q916" s="18"/>
    </row>
    <row r="917" spans="3:17">
      <c r="C917" s="15"/>
      <c r="D917" s="16"/>
      <c r="E917" s="16"/>
      <c r="F917" s="16"/>
      <c r="G917" s="16"/>
      <c r="H917" s="16"/>
      <c r="I917" s="17"/>
      <c r="J917" s="16"/>
      <c r="K917" s="16"/>
      <c r="L917" s="16"/>
      <c r="M917" s="16"/>
      <c r="N917" s="17"/>
      <c r="O917" s="17"/>
      <c r="P917" s="17"/>
      <c r="Q917" s="18"/>
    </row>
    <row r="918" spans="3:17">
      <c r="C918" s="15"/>
      <c r="D918" s="16"/>
      <c r="E918" s="16"/>
      <c r="F918" s="16"/>
      <c r="G918" s="16"/>
      <c r="H918" s="16"/>
      <c r="I918" s="17"/>
      <c r="J918" s="16"/>
      <c r="K918" s="16"/>
      <c r="L918" s="16"/>
      <c r="M918" s="16"/>
      <c r="N918" s="17"/>
      <c r="O918" s="17"/>
      <c r="P918" s="17"/>
      <c r="Q918" s="18"/>
    </row>
    <row r="919" spans="3:17">
      <c r="C919" s="15"/>
      <c r="D919" s="16"/>
      <c r="E919" s="16"/>
      <c r="F919" s="16"/>
      <c r="G919" s="16"/>
      <c r="H919" s="16"/>
      <c r="I919" s="17"/>
      <c r="J919" s="16"/>
      <c r="K919" s="16"/>
      <c r="L919" s="16"/>
      <c r="M919" s="16"/>
      <c r="N919" s="17"/>
      <c r="O919" s="17"/>
      <c r="P919" s="17"/>
      <c r="Q919" s="18"/>
    </row>
    <row r="920" spans="3:17">
      <c r="C920" s="15"/>
      <c r="D920" s="16"/>
      <c r="E920" s="16"/>
      <c r="F920" s="16"/>
      <c r="G920" s="16"/>
      <c r="H920" s="16"/>
      <c r="I920" s="17"/>
      <c r="J920" s="16"/>
      <c r="K920" s="16"/>
      <c r="L920" s="16"/>
      <c r="M920" s="16"/>
      <c r="N920" s="17"/>
      <c r="O920" s="17"/>
      <c r="P920" s="17"/>
      <c r="Q920" s="18"/>
    </row>
    <row r="921" spans="3:17">
      <c r="C921" s="15"/>
      <c r="D921" s="16"/>
      <c r="E921" s="16"/>
      <c r="F921" s="16"/>
      <c r="G921" s="16"/>
      <c r="H921" s="16"/>
      <c r="I921" s="17"/>
      <c r="J921" s="16"/>
      <c r="K921" s="16"/>
      <c r="L921" s="16"/>
      <c r="M921" s="16"/>
      <c r="N921" s="17"/>
      <c r="O921" s="17"/>
      <c r="P921" s="17"/>
      <c r="Q921" s="18"/>
    </row>
    <row r="922" spans="3:17">
      <c r="C922" s="15"/>
      <c r="D922" s="16"/>
      <c r="E922" s="16"/>
      <c r="F922" s="16"/>
      <c r="G922" s="16"/>
      <c r="H922" s="16"/>
      <c r="I922" s="17"/>
      <c r="J922" s="16"/>
      <c r="K922" s="16"/>
      <c r="L922" s="16"/>
      <c r="M922" s="16"/>
      <c r="N922" s="17"/>
      <c r="O922" s="17"/>
      <c r="P922" s="17"/>
      <c r="Q922" s="18"/>
    </row>
    <row r="923" spans="3:17">
      <c r="C923" s="15"/>
      <c r="D923" s="16"/>
      <c r="E923" s="16"/>
      <c r="F923" s="16"/>
      <c r="G923" s="16"/>
      <c r="H923" s="16"/>
      <c r="I923" s="17"/>
      <c r="J923" s="16"/>
      <c r="K923" s="16"/>
      <c r="L923" s="16"/>
      <c r="M923" s="16"/>
      <c r="N923" s="17"/>
      <c r="O923" s="17"/>
      <c r="P923" s="17"/>
      <c r="Q923" s="18"/>
    </row>
    <row r="924" spans="3:17">
      <c r="C924" s="15"/>
      <c r="D924" s="16"/>
      <c r="E924" s="16"/>
      <c r="F924" s="16"/>
      <c r="G924" s="16"/>
      <c r="H924" s="16"/>
      <c r="I924" s="17"/>
      <c r="J924" s="16"/>
      <c r="K924" s="16"/>
      <c r="L924" s="16"/>
      <c r="M924" s="16"/>
      <c r="N924" s="17"/>
      <c r="O924" s="17"/>
      <c r="P924" s="17"/>
      <c r="Q924" s="18"/>
    </row>
    <row r="925" spans="3:17">
      <c r="C925" s="15"/>
      <c r="D925" s="16"/>
      <c r="E925" s="16"/>
      <c r="F925" s="16"/>
      <c r="G925" s="16"/>
      <c r="H925" s="16"/>
      <c r="I925" s="17"/>
      <c r="J925" s="16"/>
      <c r="K925" s="16"/>
      <c r="L925" s="16"/>
      <c r="M925" s="16"/>
      <c r="N925" s="17"/>
      <c r="O925" s="17"/>
      <c r="P925" s="17"/>
      <c r="Q925" s="18"/>
    </row>
    <row r="926" spans="3:17">
      <c r="C926" s="15"/>
      <c r="D926" s="16"/>
      <c r="E926" s="16"/>
      <c r="F926" s="16"/>
      <c r="G926" s="16"/>
      <c r="H926" s="16"/>
      <c r="I926" s="17"/>
      <c r="J926" s="16"/>
      <c r="K926" s="16"/>
      <c r="L926" s="16"/>
      <c r="M926" s="16"/>
      <c r="N926" s="17"/>
      <c r="O926" s="17"/>
      <c r="P926" s="17"/>
      <c r="Q926" s="18"/>
    </row>
    <row r="927" spans="3:17">
      <c r="C927" s="15"/>
      <c r="D927" s="16"/>
      <c r="E927" s="16"/>
      <c r="F927" s="16"/>
      <c r="G927" s="16"/>
      <c r="H927" s="16"/>
      <c r="I927" s="17"/>
      <c r="J927" s="16"/>
      <c r="K927" s="16"/>
      <c r="L927" s="16"/>
      <c r="M927" s="16"/>
      <c r="N927" s="17"/>
      <c r="O927" s="17"/>
      <c r="P927" s="17"/>
      <c r="Q927" s="18"/>
    </row>
    <row r="928" spans="3:17">
      <c r="C928" s="15"/>
      <c r="D928" s="16"/>
      <c r="E928" s="16"/>
      <c r="F928" s="16"/>
      <c r="G928" s="16"/>
      <c r="H928" s="16"/>
      <c r="I928" s="17"/>
      <c r="J928" s="16"/>
      <c r="K928" s="16"/>
      <c r="L928" s="16"/>
      <c r="M928" s="16"/>
      <c r="N928" s="17"/>
      <c r="O928" s="17"/>
      <c r="P928" s="17"/>
      <c r="Q928" s="18"/>
    </row>
    <row r="929" spans="3:17">
      <c r="C929" s="15"/>
      <c r="D929" s="16"/>
      <c r="E929" s="16"/>
      <c r="F929" s="16"/>
      <c r="G929" s="16"/>
      <c r="H929" s="16"/>
      <c r="I929" s="17"/>
      <c r="J929" s="16"/>
      <c r="K929" s="16"/>
      <c r="L929" s="16"/>
      <c r="M929" s="16"/>
      <c r="N929" s="17"/>
      <c r="O929" s="17"/>
      <c r="P929" s="17"/>
      <c r="Q929" s="18"/>
    </row>
    <row r="930" spans="3:17">
      <c r="C930" s="15"/>
      <c r="D930" s="16"/>
      <c r="E930" s="16"/>
      <c r="F930" s="16"/>
      <c r="G930" s="16"/>
      <c r="H930" s="16"/>
      <c r="I930" s="17"/>
      <c r="J930" s="16"/>
      <c r="K930" s="16"/>
      <c r="L930" s="16"/>
      <c r="M930" s="16"/>
      <c r="N930" s="17"/>
      <c r="O930" s="17"/>
      <c r="P930" s="17"/>
      <c r="Q930" s="18"/>
    </row>
    <row r="931" spans="3:17">
      <c r="C931" s="15"/>
      <c r="D931" s="16"/>
      <c r="E931" s="16"/>
      <c r="F931" s="16"/>
      <c r="G931" s="16"/>
      <c r="H931" s="16"/>
      <c r="I931" s="17"/>
      <c r="J931" s="16"/>
      <c r="K931" s="16"/>
      <c r="L931" s="16"/>
      <c r="M931" s="16"/>
      <c r="N931" s="17"/>
      <c r="O931" s="17"/>
      <c r="P931" s="17"/>
      <c r="Q931" s="18"/>
    </row>
    <row r="932" spans="3:17">
      <c r="C932" s="15"/>
      <c r="D932" s="16"/>
      <c r="E932" s="16"/>
      <c r="F932" s="16"/>
      <c r="G932" s="16"/>
      <c r="H932" s="16"/>
      <c r="I932" s="17"/>
      <c r="J932" s="16"/>
      <c r="K932" s="16"/>
      <c r="L932" s="16"/>
      <c r="M932" s="16"/>
      <c r="N932" s="17"/>
      <c r="O932" s="17"/>
      <c r="P932" s="17"/>
      <c r="Q932" s="18"/>
    </row>
    <row r="933" spans="3:17">
      <c r="C933" s="15"/>
      <c r="D933" s="16"/>
      <c r="E933" s="16"/>
      <c r="F933" s="16"/>
      <c r="G933" s="16"/>
      <c r="H933" s="16"/>
      <c r="I933" s="17"/>
      <c r="J933" s="16"/>
      <c r="K933" s="16"/>
      <c r="L933" s="16"/>
      <c r="M933" s="16"/>
      <c r="N933" s="17"/>
      <c r="O933" s="17"/>
      <c r="P933" s="17"/>
      <c r="Q933" s="18"/>
    </row>
    <row r="934" spans="3:17">
      <c r="C934" s="15"/>
      <c r="D934" s="16"/>
      <c r="E934" s="16"/>
      <c r="F934" s="16"/>
      <c r="G934" s="16"/>
      <c r="H934" s="16"/>
      <c r="I934" s="17"/>
      <c r="J934" s="16"/>
      <c r="K934" s="16"/>
      <c r="L934" s="16"/>
      <c r="M934" s="16"/>
      <c r="N934" s="17"/>
      <c r="O934" s="17"/>
      <c r="P934" s="17"/>
      <c r="Q934" s="18"/>
    </row>
    <row r="935" spans="3:17">
      <c r="C935" s="15"/>
      <c r="D935" s="16"/>
      <c r="E935" s="16"/>
      <c r="F935" s="16"/>
      <c r="G935" s="16"/>
      <c r="H935" s="16"/>
      <c r="I935" s="17"/>
      <c r="J935" s="16"/>
      <c r="K935" s="16"/>
      <c r="L935" s="16"/>
      <c r="M935" s="16"/>
      <c r="N935" s="17"/>
      <c r="O935" s="17"/>
      <c r="P935" s="17"/>
      <c r="Q935" s="18"/>
    </row>
    <row r="936" spans="3:17">
      <c r="C936" s="15"/>
      <c r="D936" s="16"/>
      <c r="E936" s="16"/>
      <c r="F936" s="16"/>
      <c r="G936" s="16"/>
      <c r="H936" s="16"/>
      <c r="I936" s="17"/>
      <c r="J936" s="16"/>
      <c r="K936" s="16"/>
      <c r="L936" s="16"/>
      <c r="M936" s="16"/>
      <c r="N936" s="17"/>
      <c r="O936" s="17"/>
      <c r="P936" s="17"/>
      <c r="Q936" s="18"/>
    </row>
    <row r="937" spans="3:17">
      <c r="C937" s="15"/>
      <c r="D937" s="16"/>
      <c r="E937" s="16"/>
      <c r="F937" s="16"/>
      <c r="G937" s="16"/>
      <c r="H937" s="16"/>
      <c r="I937" s="17"/>
      <c r="J937" s="16"/>
      <c r="K937" s="16"/>
      <c r="L937" s="16"/>
      <c r="M937" s="16"/>
      <c r="N937" s="17"/>
      <c r="O937" s="17"/>
      <c r="P937" s="17"/>
      <c r="Q937" s="18"/>
    </row>
    <row r="938" spans="3:17">
      <c r="C938" s="15"/>
      <c r="D938" s="16"/>
      <c r="E938" s="16"/>
      <c r="F938" s="16"/>
      <c r="G938" s="16"/>
      <c r="H938" s="16"/>
      <c r="I938" s="17"/>
      <c r="J938" s="16"/>
      <c r="K938" s="16"/>
      <c r="L938" s="16"/>
      <c r="M938" s="16"/>
      <c r="N938" s="17"/>
      <c r="O938" s="17"/>
      <c r="P938" s="17"/>
      <c r="Q938" s="18"/>
    </row>
    <row r="939" spans="3:17">
      <c r="C939" s="15"/>
      <c r="D939" s="16"/>
      <c r="E939" s="16"/>
      <c r="F939" s="16"/>
      <c r="G939" s="16"/>
      <c r="H939" s="16"/>
      <c r="I939" s="17"/>
      <c r="J939" s="16"/>
      <c r="K939" s="16"/>
      <c r="L939" s="16"/>
      <c r="M939" s="16"/>
      <c r="N939" s="17"/>
      <c r="O939" s="17"/>
      <c r="P939" s="17"/>
      <c r="Q939" s="18"/>
    </row>
    <row r="940" spans="3:17">
      <c r="C940" s="15"/>
      <c r="D940" s="16"/>
      <c r="E940" s="16"/>
      <c r="F940" s="16"/>
      <c r="G940" s="16"/>
      <c r="H940" s="16"/>
      <c r="I940" s="17"/>
      <c r="J940" s="16"/>
      <c r="K940" s="16"/>
      <c r="L940" s="16"/>
      <c r="M940" s="16"/>
      <c r="N940" s="17"/>
      <c r="O940" s="17"/>
      <c r="P940" s="17"/>
      <c r="Q940" s="18"/>
    </row>
    <row r="941" spans="3:17">
      <c r="C941" s="15"/>
      <c r="D941" s="16"/>
      <c r="E941" s="16"/>
      <c r="F941" s="16"/>
      <c r="G941" s="16"/>
      <c r="H941" s="16"/>
      <c r="I941" s="17"/>
      <c r="J941" s="16"/>
      <c r="K941" s="16"/>
      <c r="L941" s="16"/>
      <c r="M941" s="16"/>
      <c r="N941" s="17"/>
      <c r="O941" s="17"/>
      <c r="P941" s="17"/>
      <c r="Q941" s="18"/>
    </row>
    <row r="942" spans="3:17">
      <c r="C942" s="15"/>
      <c r="D942" s="16"/>
      <c r="E942" s="16"/>
      <c r="F942" s="16"/>
      <c r="G942" s="16"/>
      <c r="H942" s="16"/>
      <c r="I942" s="17"/>
      <c r="J942" s="16"/>
      <c r="K942" s="16"/>
      <c r="L942" s="16"/>
      <c r="M942" s="16"/>
      <c r="N942" s="17"/>
      <c r="O942" s="17"/>
      <c r="P942" s="17"/>
      <c r="Q942" s="18"/>
    </row>
    <row r="943" spans="3:17">
      <c r="C943" s="15"/>
      <c r="D943" s="16"/>
      <c r="E943" s="16"/>
      <c r="F943" s="16"/>
      <c r="G943" s="16"/>
      <c r="H943" s="16"/>
      <c r="I943" s="17"/>
      <c r="J943" s="16"/>
      <c r="K943" s="16"/>
      <c r="L943" s="16"/>
      <c r="M943" s="16"/>
      <c r="N943" s="17"/>
      <c r="O943" s="17"/>
      <c r="P943" s="17"/>
      <c r="Q943" s="18"/>
    </row>
    <row r="944" spans="3:17">
      <c r="C944" s="15"/>
      <c r="D944" s="16"/>
      <c r="E944" s="16"/>
      <c r="F944" s="16"/>
      <c r="G944" s="16"/>
      <c r="H944" s="16"/>
      <c r="I944" s="17"/>
      <c r="J944" s="16"/>
      <c r="K944" s="16"/>
      <c r="L944" s="16"/>
      <c r="M944" s="16"/>
      <c r="N944" s="17"/>
      <c r="O944" s="17"/>
      <c r="P944" s="17"/>
      <c r="Q944" s="18"/>
    </row>
    <row r="945" spans="3:17">
      <c r="C945" s="15"/>
      <c r="D945" s="16"/>
      <c r="E945" s="16"/>
      <c r="F945" s="16"/>
      <c r="G945" s="16"/>
      <c r="H945" s="16"/>
      <c r="I945" s="17"/>
      <c r="J945" s="16"/>
      <c r="K945" s="16"/>
      <c r="L945" s="16"/>
      <c r="M945" s="16"/>
      <c r="N945" s="17"/>
      <c r="O945" s="17"/>
      <c r="P945" s="17"/>
      <c r="Q945" s="18"/>
    </row>
    <row r="946" spans="3:17">
      <c r="C946" s="15"/>
      <c r="D946" s="16"/>
      <c r="E946" s="16"/>
      <c r="F946" s="16"/>
      <c r="G946" s="16"/>
      <c r="H946" s="16"/>
      <c r="I946" s="17"/>
      <c r="J946" s="16"/>
      <c r="K946" s="16"/>
      <c r="L946" s="16"/>
      <c r="M946" s="16"/>
      <c r="N946" s="17"/>
      <c r="O946" s="17"/>
      <c r="P946" s="17"/>
      <c r="Q946" s="18"/>
    </row>
    <row r="947" spans="3:17">
      <c r="C947" s="15"/>
      <c r="D947" s="16"/>
      <c r="E947" s="16"/>
      <c r="F947" s="16"/>
      <c r="G947" s="16"/>
      <c r="H947" s="16"/>
      <c r="I947" s="17"/>
      <c r="J947" s="16"/>
      <c r="K947" s="16"/>
      <c r="L947" s="16"/>
      <c r="M947" s="16"/>
      <c r="N947" s="17"/>
      <c r="O947" s="17"/>
      <c r="P947" s="17"/>
      <c r="Q947" s="18"/>
    </row>
    <row r="948" spans="3:17">
      <c r="C948" s="15"/>
      <c r="D948" s="16"/>
      <c r="E948" s="16"/>
      <c r="F948" s="16"/>
      <c r="G948" s="16"/>
      <c r="H948" s="16"/>
      <c r="I948" s="17"/>
      <c r="J948" s="16"/>
      <c r="K948" s="16"/>
      <c r="L948" s="16"/>
      <c r="M948" s="16"/>
      <c r="N948" s="17"/>
      <c r="O948" s="17"/>
      <c r="P948" s="17"/>
      <c r="Q948" s="18"/>
    </row>
    <row r="949" spans="3:17">
      <c r="C949" s="15"/>
      <c r="D949" s="16"/>
      <c r="E949" s="16"/>
      <c r="F949" s="16"/>
      <c r="G949" s="16"/>
      <c r="H949" s="16"/>
      <c r="I949" s="17"/>
      <c r="J949" s="16"/>
      <c r="K949" s="16"/>
      <c r="L949" s="16"/>
      <c r="M949" s="16"/>
      <c r="N949" s="17"/>
      <c r="O949" s="17"/>
      <c r="P949" s="17"/>
      <c r="Q949" s="18"/>
    </row>
    <row r="950" spans="3:17">
      <c r="C950" s="15"/>
      <c r="D950" s="16"/>
      <c r="E950" s="16"/>
      <c r="F950" s="16"/>
      <c r="G950" s="16"/>
      <c r="H950" s="16"/>
      <c r="I950" s="17"/>
      <c r="J950" s="16"/>
      <c r="K950" s="16"/>
      <c r="L950" s="16"/>
      <c r="M950" s="16"/>
      <c r="N950" s="17"/>
      <c r="O950" s="17"/>
      <c r="P950" s="17"/>
      <c r="Q950" s="18"/>
    </row>
    <row r="951" spans="3:17">
      <c r="C951" s="15"/>
      <c r="D951" s="16"/>
      <c r="E951" s="16"/>
      <c r="F951" s="16"/>
      <c r="G951" s="16"/>
      <c r="H951" s="16"/>
      <c r="I951" s="17"/>
      <c r="J951" s="16"/>
      <c r="K951" s="16"/>
      <c r="L951" s="16"/>
      <c r="M951" s="16"/>
      <c r="N951" s="17"/>
      <c r="O951" s="17"/>
      <c r="P951" s="17"/>
      <c r="Q951" s="18"/>
    </row>
    <row r="952" spans="3:17">
      <c r="C952" s="15"/>
      <c r="D952" s="16"/>
      <c r="E952" s="16"/>
      <c r="F952" s="16"/>
      <c r="G952" s="16"/>
      <c r="H952" s="16"/>
      <c r="I952" s="17"/>
      <c r="J952" s="16"/>
      <c r="K952" s="16"/>
      <c r="L952" s="16"/>
      <c r="M952" s="16"/>
      <c r="N952" s="17"/>
      <c r="O952" s="17"/>
      <c r="P952" s="17"/>
      <c r="Q952" s="18"/>
    </row>
    <row r="953" spans="3:17">
      <c r="C953" s="15"/>
      <c r="D953" s="16"/>
      <c r="E953" s="16"/>
      <c r="F953" s="16"/>
      <c r="G953" s="16"/>
      <c r="H953" s="16"/>
      <c r="I953" s="17"/>
      <c r="J953" s="16"/>
      <c r="K953" s="16"/>
      <c r="L953" s="16"/>
      <c r="M953" s="16"/>
      <c r="N953" s="17"/>
      <c r="O953" s="17"/>
      <c r="P953" s="17"/>
      <c r="Q953" s="18"/>
    </row>
    <row r="954" spans="3:17">
      <c r="C954" s="15"/>
      <c r="D954" s="16"/>
      <c r="E954" s="16"/>
      <c r="F954" s="16"/>
      <c r="G954" s="16"/>
      <c r="H954" s="16"/>
      <c r="I954" s="17"/>
      <c r="J954" s="16"/>
      <c r="K954" s="16"/>
      <c r="L954" s="16"/>
      <c r="M954" s="16"/>
      <c r="N954" s="17"/>
      <c r="O954" s="17"/>
      <c r="P954" s="17"/>
      <c r="Q954" s="18"/>
    </row>
    <row r="955" spans="3:17">
      <c r="C955" s="15"/>
      <c r="D955" s="16"/>
      <c r="E955" s="16"/>
      <c r="F955" s="16"/>
      <c r="G955" s="16"/>
      <c r="H955" s="16"/>
      <c r="I955" s="17"/>
      <c r="J955" s="16"/>
      <c r="K955" s="16"/>
      <c r="L955" s="16"/>
      <c r="M955" s="16"/>
      <c r="N955" s="17"/>
      <c r="O955" s="17"/>
      <c r="P955" s="17"/>
      <c r="Q955" s="18"/>
    </row>
    <row r="956" spans="3:17">
      <c r="C956" s="15"/>
      <c r="D956" s="16"/>
      <c r="E956" s="16"/>
      <c r="F956" s="16"/>
      <c r="G956" s="16"/>
      <c r="H956" s="16"/>
      <c r="I956" s="17"/>
      <c r="J956" s="16"/>
      <c r="K956" s="16"/>
      <c r="L956" s="16"/>
      <c r="M956" s="16"/>
      <c r="N956" s="17"/>
      <c r="O956" s="17"/>
      <c r="P956" s="17"/>
      <c r="Q956" s="18"/>
    </row>
    <row r="957" spans="3:17">
      <c r="C957" s="15"/>
      <c r="D957" s="16"/>
      <c r="E957" s="16"/>
      <c r="F957" s="16"/>
      <c r="G957" s="16"/>
      <c r="H957" s="16"/>
      <c r="I957" s="17"/>
      <c r="J957" s="16"/>
      <c r="K957" s="16"/>
      <c r="L957" s="16"/>
      <c r="M957" s="16"/>
      <c r="N957" s="17"/>
      <c r="O957" s="17"/>
      <c r="P957" s="17"/>
      <c r="Q957" s="18"/>
    </row>
    <row r="958" spans="3:17">
      <c r="C958" s="15"/>
      <c r="D958" s="16"/>
      <c r="E958" s="16"/>
      <c r="F958" s="16"/>
      <c r="G958" s="16"/>
      <c r="H958" s="16"/>
      <c r="I958" s="17"/>
      <c r="J958" s="16"/>
      <c r="K958" s="16"/>
      <c r="L958" s="16"/>
      <c r="M958" s="16"/>
      <c r="N958" s="17"/>
      <c r="O958" s="17"/>
      <c r="P958" s="17"/>
      <c r="Q958" s="18"/>
    </row>
    <row r="959" spans="3:17">
      <c r="C959" s="15"/>
      <c r="D959" s="16"/>
      <c r="E959" s="16"/>
      <c r="F959" s="16"/>
      <c r="G959" s="16"/>
      <c r="H959" s="16"/>
      <c r="I959" s="17"/>
      <c r="J959" s="16"/>
      <c r="K959" s="16"/>
      <c r="L959" s="16"/>
      <c r="M959" s="16"/>
      <c r="N959" s="17"/>
      <c r="O959" s="17"/>
      <c r="P959" s="17"/>
      <c r="Q959" s="18"/>
    </row>
    <row r="960" spans="3:17">
      <c r="C960" s="15"/>
      <c r="D960" s="16"/>
      <c r="E960" s="16"/>
      <c r="F960" s="16"/>
      <c r="G960" s="16"/>
      <c r="H960" s="16"/>
      <c r="I960" s="17"/>
      <c r="J960" s="16"/>
      <c r="K960" s="16"/>
      <c r="L960" s="16"/>
      <c r="M960" s="16"/>
      <c r="N960" s="17"/>
      <c r="O960" s="17"/>
      <c r="P960" s="17"/>
      <c r="Q960" s="18"/>
    </row>
    <row r="961" spans="3:17">
      <c r="C961" s="15"/>
      <c r="D961" s="16"/>
      <c r="E961" s="16"/>
      <c r="F961" s="16"/>
      <c r="G961" s="16"/>
      <c r="H961" s="16"/>
      <c r="I961" s="17"/>
      <c r="J961" s="16"/>
      <c r="K961" s="16"/>
      <c r="L961" s="16"/>
      <c r="M961" s="16"/>
      <c r="N961" s="17"/>
      <c r="O961" s="17"/>
      <c r="P961" s="17"/>
      <c r="Q961" s="18"/>
    </row>
    <row r="962" spans="3:17">
      <c r="C962" s="15"/>
      <c r="D962" s="16"/>
      <c r="E962" s="16"/>
      <c r="F962" s="16"/>
      <c r="G962" s="16"/>
      <c r="H962" s="16"/>
      <c r="I962" s="17"/>
      <c r="J962" s="16"/>
      <c r="K962" s="16"/>
      <c r="L962" s="16"/>
      <c r="M962" s="16"/>
      <c r="N962" s="17"/>
      <c r="O962" s="17"/>
      <c r="P962" s="17"/>
      <c r="Q962" s="18"/>
    </row>
    <row r="963" spans="3:17">
      <c r="C963" s="15"/>
      <c r="D963" s="16"/>
      <c r="E963" s="16"/>
      <c r="F963" s="16"/>
      <c r="G963" s="16"/>
      <c r="H963" s="16"/>
      <c r="I963" s="17"/>
      <c r="J963" s="16"/>
      <c r="K963" s="16"/>
      <c r="L963" s="16"/>
      <c r="M963" s="16"/>
      <c r="N963" s="17"/>
      <c r="O963" s="17"/>
      <c r="P963" s="17"/>
      <c r="Q963" s="18"/>
    </row>
    <row r="964" spans="3:17">
      <c r="C964" s="15"/>
      <c r="D964" s="16"/>
      <c r="E964" s="16"/>
      <c r="F964" s="16"/>
      <c r="G964" s="16"/>
      <c r="H964" s="16"/>
      <c r="I964" s="17"/>
      <c r="J964" s="16"/>
      <c r="K964" s="16"/>
      <c r="L964" s="16"/>
      <c r="M964" s="16"/>
      <c r="N964" s="17"/>
      <c r="O964" s="17"/>
      <c r="P964" s="17"/>
      <c r="Q964" s="18"/>
    </row>
  </sheetData>
  <sheetProtection sheet="1" scenarios="1" formatCells="0" formatColumns="0" formatRows="0" sort="0" autoFilter="0" pivotTables="0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zchemtech"/>
  <dimension ref="A2:AA29"/>
  <sheetViews>
    <sheetView tabSelected="1" topLeftCell="B1" workbookViewId="0">
      <selection activeCell="AF23" sqref="AF23"/>
    </sheetView>
  </sheetViews>
  <sheetFormatPr defaultRowHeight="16.5"/>
  <cols>
    <col min="1" max="1" width="13.75" bestFit="1" customWidth="1"/>
    <col min="2" max="10" width="5.75" customWidth="1"/>
    <col min="11" max="13" width="6.84765625" customWidth="1"/>
    <col min="14" max="14" width="0.84765625" customWidth="1"/>
    <col min="15" max="15" width="11.59765625" bestFit="1" customWidth="1"/>
    <col min="16" max="16" width="12.84765625" bestFit="1" customWidth="1"/>
    <col min="17" max="20" width="11.34765625" bestFit="1" customWidth="1"/>
    <col min="21" max="21" width="12.84765625" bestFit="1" customWidth="1"/>
    <col min="22" max="22" width="14.75" customWidth="1"/>
    <col min="23" max="23" width="11.34765625" bestFit="1" customWidth="1"/>
    <col min="24" max="24" width="12.84765625" bestFit="1" customWidth="1"/>
    <col min="25" max="26" width="11.34765625" bestFit="1" customWidth="1"/>
    <col min="27" max="27" width="12.34765625" customWidth="1"/>
  </cols>
  <sheetData>
    <row r="2" spans="1:27" ht="20.100000000000001">
      <c r="A2" s="55" t="s">
        <v>59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</row>
    <row r="3" spans="1:27">
      <c r="A3" s="12" t="s">
        <v>60</v>
      </c>
      <c r="O3" s="11" t="s">
        <v>74</v>
      </c>
    </row>
    <row r="4" spans="1:27">
      <c r="A4" t="s">
        <v>61</v>
      </c>
      <c r="B4" t="s">
        <v>62</v>
      </c>
      <c r="C4" t="s">
        <v>63</v>
      </c>
      <c r="D4" t="s">
        <v>64</v>
      </c>
      <c r="E4" t="s">
        <v>65</v>
      </c>
      <c r="F4" t="s">
        <v>66</v>
      </c>
      <c r="G4" t="s">
        <v>67</v>
      </c>
      <c r="H4" t="s">
        <v>68</v>
      </c>
      <c r="I4" t="s">
        <v>69</v>
      </c>
      <c r="J4" t="s">
        <v>70</v>
      </c>
      <c r="K4" t="s">
        <v>71</v>
      </c>
      <c r="L4" t="s">
        <v>72</v>
      </c>
      <c r="M4" t="s">
        <v>73</v>
      </c>
      <c r="O4" s="7" t="s">
        <v>61</v>
      </c>
      <c r="P4" s="8" t="s">
        <v>62</v>
      </c>
      <c r="Q4" s="8" t="s">
        <v>63</v>
      </c>
      <c r="R4" s="8" t="s">
        <v>64</v>
      </c>
      <c r="S4" s="8" t="s">
        <v>65</v>
      </c>
      <c r="T4" s="8" t="s">
        <v>66</v>
      </c>
      <c r="U4" s="8" t="s">
        <v>67</v>
      </c>
      <c r="V4" s="8" t="s">
        <v>68</v>
      </c>
      <c r="W4" s="8" t="s">
        <v>69</v>
      </c>
      <c r="X4" s="8" t="s">
        <v>70</v>
      </c>
      <c r="Y4" s="8" t="s">
        <v>71</v>
      </c>
      <c r="Z4" s="8" t="s">
        <v>72</v>
      </c>
      <c r="AA4" s="9" t="s">
        <v>73</v>
      </c>
    </row>
    <row r="5" spans="1:27">
      <c r="A5">
        <v>2013</v>
      </c>
      <c r="D5">
        <v>75</v>
      </c>
      <c r="E5">
        <v>70</v>
      </c>
      <c r="F5">
        <v>112</v>
      </c>
      <c r="G5">
        <v>38</v>
      </c>
      <c r="H5">
        <v>47</v>
      </c>
      <c r="I5">
        <v>48</v>
      </c>
      <c r="J5">
        <v>38</v>
      </c>
      <c r="K5">
        <v>52</v>
      </c>
      <c r="L5">
        <v>49</v>
      </c>
      <c r="M5">
        <v>42</v>
      </c>
      <c r="O5">
        <v>2015</v>
      </c>
      <c r="P5" s="10"/>
      <c r="Q5" s="10">
        <v>99664100</v>
      </c>
      <c r="R5" s="10"/>
      <c r="S5" s="10"/>
      <c r="T5" s="10"/>
      <c r="U5" s="10"/>
      <c r="V5" s="10"/>
      <c r="W5" s="10"/>
      <c r="X5" s="10"/>
      <c r="Y5" s="10"/>
      <c r="Z5" s="10"/>
      <c r="AA5" s="10"/>
    </row>
    <row r="6" spans="1:27">
      <c r="A6">
        <v>2014</v>
      </c>
      <c r="B6">
        <v>41</v>
      </c>
      <c r="C6">
        <v>48</v>
      </c>
      <c r="D6">
        <v>49</v>
      </c>
      <c r="E6">
        <v>96</v>
      </c>
      <c r="F6">
        <v>78</v>
      </c>
      <c r="G6">
        <v>107</v>
      </c>
      <c r="H6">
        <v>98</v>
      </c>
      <c r="I6">
        <v>71</v>
      </c>
      <c r="J6">
        <v>71</v>
      </c>
      <c r="K6">
        <v>115</v>
      </c>
      <c r="L6">
        <v>122</v>
      </c>
      <c r="M6">
        <v>155</v>
      </c>
      <c r="O6">
        <v>2016</v>
      </c>
      <c r="P6" s="10">
        <v>116253646</v>
      </c>
      <c r="Q6" s="10">
        <v>98907123</v>
      </c>
      <c r="R6" s="10">
        <v>209399418</v>
      </c>
      <c r="S6" s="10">
        <v>176681545</v>
      </c>
      <c r="T6" s="10">
        <v>233242620</v>
      </c>
      <c r="U6" s="10">
        <v>312517260</v>
      </c>
      <c r="V6" s="10">
        <v>349692334</v>
      </c>
      <c r="W6" s="10">
        <v>268068870</v>
      </c>
      <c r="X6" s="10">
        <v>180947609</v>
      </c>
      <c r="Y6" s="10">
        <v>147922391</v>
      </c>
      <c r="Z6" s="10">
        <v>310478637</v>
      </c>
      <c r="AA6" s="10">
        <v>206165748</v>
      </c>
    </row>
    <row r="7" spans="1:27">
      <c r="A7">
        <v>2015</v>
      </c>
      <c r="B7">
        <v>141</v>
      </c>
      <c r="C7">
        <v>121</v>
      </c>
      <c r="D7">
        <v>150</v>
      </c>
      <c r="E7">
        <v>161</v>
      </c>
      <c r="F7">
        <v>328</v>
      </c>
      <c r="G7">
        <v>167</v>
      </c>
      <c r="H7">
        <v>198</v>
      </c>
      <c r="I7">
        <v>134</v>
      </c>
      <c r="J7">
        <v>157</v>
      </c>
      <c r="K7">
        <v>202</v>
      </c>
      <c r="L7">
        <v>228</v>
      </c>
      <c r="M7">
        <v>179</v>
      </c>
      <c r="O7">
        <v>2017</v>
      </c>
      <c r="P7" s="10">
        <v>440131410</v>
      </c>
      <c r="Q7" s="10">
        <v>302405711</v>
      </c>
      <c r="R7" s="10">
        <v>730146702</v>
      </c>
      <c r="S7" s="10">
        <v>237578190</v>
      </c>
      <c r="T7" s="10">
        <v>177395775</v>
      </c>
      <c r="U7" s="10">
        <v>251228057</v>
      </c>
      <c r="V7" s="10">
        <v>446075729</v>
      </c>
      <c r="W7" s="10">
        <v>275607046</v>
      </c>
      <c r="X7" s="10">
        <v>318648613</v>
      </c>
      <c r="Y7" s="10">
        <v>235130473</v>
      </c>
      <c r="Z7" s="10">
        <v>420412209</v>
      </c>
      <c r="AA7" s="10">
        <v>888712970</v>
      </c>
    </row>
    <row r="8" spans="1:27">
      <c r="A8">
        <v>2016</v>
      </c>
      <c r="B8">
        <v>214</v>
      </c>
      <c r="C8">
        <v>180</v>
      </c>
      <c r="D8">
        <v>340</v>
      </c>
      <c r="E8">
        <v>297</v>
      </c>
      <c r="F8">
        <v>295</v>
      </c>
      <c r="G8">
        <v>256</v>
      </c>
      <c r="H8">
        <v>314</v>
      </c>
      <c r="I8">
        <v>264</v>
      </c>
      <c r="J8">
        <v>264</v>
      </c>
      <c r="K8">
        <v>227</v>
      </c>
      <c r="L8">
        <v>332</v>
      </c>
      <c r="M8">
        <v>303</v>
      </c>
      <c r="O8">
        <v>2018</v>
      </c>
      <c r="P8" s="10">
        <v>303810173</v>
      </c>
      <c r="Q8" s="10">
        <v>282033176</v>
      </c>
      <c r="R8" s="10">
        <v>467558079</v>
      </c>
      <c r="S8" s="10">
        <v>291935930</v>
      </c>
      <c r="T8" s="10">
        <v>257078128</v>
      </c>
      <c r="U8" s="10">
        <v>1112068480</v>
      </c>
      <c r="V8" s="10">
        <v>362365521</v>
      </c>
      <c r="W8" s="10">
        <v>407775733</v>
      </c>
      <c r="X8" s="10">
        <v>236884304</v>
      </c>
      <c r="Y8" s="10">
        <v>446265330</v>
      </c>
      <c r="Z8" s="10">
        <v>400732733</v>
      </c>
      <c r="AA8" s="10">
        <v>207370927</v>
      </c>
    </row>
    <row r="9" spans="1:27">
      <c r="A9">
        <v>2017</v>
      </c>
      <c r="B9">
        <v>366</v>
      </c>
      <c r="C9">
        <v>305</v>
      </c>
      <c r="D9">
        <v>373</v>
      </c>
      <c r="E9">
        <v>337</v>
      </c>
      <c r="F9">
        <v>308</v>
      </c>
      <c r="G9">
        <v>380</v>
      </c>
      <c r="H9">
        <v>348</v>
      </c>
      <c r="I9">
        <v>365</v>
      </c>
      <c r="J9">
        <v>366</v>
      </c>
      <c r="K9">
        <v>361</v>
      </c>
      <c r="L9">
        <v>508</v>
      </c>
      <c r="M9">
        <v>338</v>
      </c>
      <c r="O9">
        <v>2019</v>
      </c>
      <c r="P9" s="10">
        <v>443044817</v>
      </c>
      <c r="Q9" s="10">
        <v>186288417</v>
      </c>
      <c r="R9" s="10">
        <v>356002857</v>
      </c>
      <c r="S9" s="10">
        <v>633741000</v>
      </c>
      <c r="T9" s="10">
        <v>387761871</v>
      </c>
      <c r="U9" s="10">
        <v>350216996</v>
      </c>
      <c r="V9" s="10">
        <v>544263750</v>
      </c>
      <c r="W9" s="10">
        <v>715737630</v>
      </c>
      <c r="X9" s="10">
        <v>1231880684</v>
      </c>
      <c r="Y9" s="10">
        <v>441080447</v>
      </c>
      <c r="Z9" s="10">
        <v>428505116</v>
      </c>
      <c r="AA9" s="10">
        <v>611521183</v>
      </c>
    </row>
    <row r="10" spans="1:27">
      <c r="A10">
        <v>2018</v>
      </c>
      <c r="B10">
        <v>576</v>
      </c>
      <c r="C10">
        <v>424</v>
      </c>
      <c r="D10">
        <v>637</v>
      </c>
      <c r="E10">
        <v>452</v>
      </c>
      <c r="F10">
        <v>420</v>
      </c>
      <c r="G10">
        <v>478</v>
      </c>
      <c r="H10">
        <v>492</v>
      </c>
      <c r="I10">
        <v>530</v>
      </c>
      <c r="J10">
        <v>382</v>
      </c>
      <c r="K10">
        <v>516</v>
      </c>
      <c r="L10">
        <v>558</v>
      </c>
      <c r="M10">
        <v>369</v>
      </c>
      <c r="O10">
        <v>2020</v>
      </c>
      <c r="P10" s="10">
        <v>579996191</v>
      </c>
      <c r="Q10" s="10">
        <v>528495930</v>
      </c>
      <c r="R10" s="10">
        <v>620104046</v>
      </c>
      <c r="S10" s="10">
        <v>997191958</v>
      </c>
      <c r="T10" s="10">
        <v>538657922</v>
      </c>
      <c r="U10" s="10">
        <v>703729141</v>
      </c>
      <c r="V10" s="10">
        <v>823035257</v>
      </c>
      <c r="W10" s="10">
        <v>364947416</v>
      </c>
      <c r="X10" s="10">
        <v>793730154</v>
      </c>
      <c r="Y10" s="10">
        <v>504605674</v>
      </c>
      <c r="Z10" s="10">
        <v>471476969</v>
      </c>
      <c r="AA10" s="10">
        <v>408611490</v>
      </c>
    </row>
    <row r="11" spans="1:27">
      <c r="A11">
        <v>2019</v>
      </c>
      <c r="B11">
        <v>574</v>
      </c>
      <c r="C11">
        <v>384</v>
      </c>
      <c r="D11">
        <v>534</v>
      </c>
      <c r="E11">
        <v>597</v>
      </c>
      <c r="F11">
        <v>664</v>
      </c>
      <c r="G11">
        <v>597</v>
      </c>
      <c r="H11">
        <v>845</v>
      </c>
      <c r="I11">
        <v>702</v>
      </c>
      <c r="J11">
        <v>666</v>
      </c>
      <c r="K11">
        <v>613</v>
      </c>
      <c r="L11">
        <v>664</v>
      </c>
      <c r="M11">
        <v>610</v>
      </c>
      <c r="O11">
        <v>2021</v>
      </c>
      <c r="P11" s="10">
        <v>1059165232</v>
      </c>
      <c r="Q11" s="10">
        <v>421924378</v>
      </c>
      <c r="R11" s="10">
        <v>612478886</v>
      </c>
      <c r="S11" s="10">
        <v>706833656</v>
      </c>
      <c r="T11" s="10">
        <v>394626235</v>
      </c>
      <c r="U11" s="10">
        <v>510571519</v>
      </c>
      <c r="V11" s="10">
        <v>642101988</v>
      </c>
      <c r="W11" s="10">
        <v>428441825</v>
      </c>
      <c r="X11" s="10">
        <v>407296119</v>
      </c>
      <c r="Y11" s="10">
        <v>470779825</v>
      </c>
      <c r="Z11" s="10">
        <v>811485822</v>
      </c>
      <c r="AA11" s="10">
        <v>566389342</v>
      </c>
    </row>
    <row r="12" spans="1:27">
      <c r="A12">
        <v>2020</v>
      </c>
      <c r="B12">
        <v>653</v>
      </c>
      <c r="C12">
        <v>846</v>
      </c>
      <c r="D12">
        <v>963</v>
      </c>
      <c r="E12">
        <v>824</v>
      </c>
      <c r="F12">
        <v>799</v>
      </c>
      <c r="G12">
        <v>969</v>
      </c>
      <c r="H12">
        <v>1023</v>
      </c>
      <c r="I12">
        <v>689</v>
      </c>
      <c r="J12">
        <v>878</v>
      </c>
      <c r="K12">
        <v>581</v>
      </c>
      <c r="L12">
        <v>874</v>
      </c>
      <c r="M12">
        <v>729</v>
      </c>
      <c r="O12">
        <v>2022</v>
      </c>
      <c r="P12" s="10">
        <v>481043739</v>
      </c>
      <c r="Q12" s="10">
        <v>535155379</v>
      </c>
      <c r="R12" s="10">
        <v>467062832</v>
      </c>
      <c r="S12" s="10">
        <v>567036959</v>
      </c>
      <c r="T12" s="10">
        <v>721431630</v>
      </c>
      <c r="U12" s="10">
        <v>533081106</v>
      </c>
      <c r="V12" s="10">
        <v>507519560</v>
      </c>
      <c r="W12" s="10">
        <v>543770381</v>
      </c>
      <c r="X12" s="10">
        <v>556713645</v>
      </c>
      <c r="Y12" s="10">
        <v>518447582</v>
      </c>
      <c r="Z12" s="10">
        <v>594529653</v>
      </c>
      <c r="AA12" s="10">
        <v>433856051</v>
      </c>
    </row>
    <row r="13" spans="1:27">
      <c r="A13">
        <v>2021</v>
      </c>
      <c r="B13">
        <v>740</v>
      </c>
      <c r="C13">
        <v>689</v>
      </c>
      <c r="D13">
        <v>932</v>
      </c>
      <c r="E13">
        <v>867</v>
      </c>
      <c r="F13">
        <v>700</v>
      </c>
      <c r="G13">
        <v>791</v>
      </c>
      <c r="H13">
        <v>930</v>
      </c>
      <c r="I13">
        <v>754</v>
      </c>
      <c r="J13">
        <v>734</v>
      </c>
      <c r="K13">
        <v>766</v>
      </c>
      <c r="L13">
        <v>870</v>
      </c>
      <c r="M13">
        <v>809</v>
      </c>
      <c r="O13">
        <v>2023</v>
      </c>
      <c r="P13" s="10">
        <v>885811589</v>
      </c>
      <c r="Q13" s="10">
        <v>536121120</v>
      </c>
      <c r="R13" s="10">
        <v>487034972</v>
      </c>
      <c r="S13" s="10">
        <v>478651614</v>
      </c>
      <c r="T13" s="10">
        <v>396705312</v>
      </c>
      <c r="U13" s="10">
        <v>427114018</v>
      </c>
      <c r="V13" s="10">
        <v>492924371</v>
      </c>
      <c r="W13" s="10">
        <v>530109588</v>
      </c>
      <c r="X13" s="10">
        <v>483805581</v>
      </c>
      <c r="Y13" s="10">
        <v>410432262</v>
      </c>
      <c r="Z13" s="10">
        <v>469240484</v>
      </c>
      <c r="AA13" s="10">
        <v>361985809</v>
      </c>
    </row>
    <row r="14" spans="1:27">
      <c r="A14">
        <v>2022</v>
      </c>
      <c r="B14">
        <v>806</v>
      </c>
      <c r="C14">
        <v>866</v>
      </c>
      <c r="D14">
        <v>905</v>
      </c>
      <c r="E14">
        <v>963</v>
      </c>
      <c r="F14">
        <v>1091</v>
      </c>
      <c r="G14">
        <v>911</v>
      </c>
      <c r="H14">
        <v>897</v>
      </c>
      <c r="I14">
        <v>1007</v>
      </c>
      <c r="J14">
        <v>900</v>
      </c>
      <c r="K14">
        <v>803</v>
      </c>
      <c r="L14">
        <v>1041</v>
      </c>
      <c r="M14">
        <v>813</v>
      </c>
      <c r="O14">
        <v>2024</v>
      </c>
      <c r="P14" s="10">
        <v>415240125</v>
      </c>
      <c r="Q14" s="10">
        <v>457904215</v>
      </c>
      <c r="R14" s="10">
        <v>438526269</v>
      </c>
      <c r="S14" s="10"/>
      <c r="T14" s="10"/>
      <c r="U14" s="10"/>
      <c r="V14" s="10"/>
      <c r="W14" s="10"/>
      <c r="X14" s="10"/>
      <c r="Y14" s="10"/>
      <c r="Z14" s="10"/>
      <c r="AA14" s="10"/>
    </row>
    <row r="15" spans="1:27">
      <c r="A15">
        <v>2023</v>
      </c>
      <c r="B15">
        <v>852</v>
      </c>
      <c r="C15">
        <v>914</v>
      </c>
      <c r="D15">
        <v>970</v>
      </c>
      <c r="E15">
        <v>808</v>
      </c>
      <c r="F15">
        <v>772</v>
      </c>
      <c r="G15">
        <v>800</v>
      </c>
      <c r="H15">
        <v>974</v>
      </c>
      <c r="I15">
        <v>916</v>
      </c>
      <c r="J15">
        <v>855</v>
      </c>
      <c r="K15">
        <v>800</v>
      </c>
      <c r="L15">
        <v>935</v>
      </c>
      <c r="M15">
        <v>810</v>
      </c>
    </row>
    <row r="16" spans="1:27">
      <c r="A16">
        <v>2024</v>
      </c>
      <c r="B16">
        <v>924</v>
      </c>
      <c r="C16">
        <v>845</v>
      </c>
      <c r="D16">
        <v>740</v>
      </c>
    </row>
    <row r="22" spans="15:27">
      <c r="O22" s="11" t="s">
        <v>75</v>
      </c>
    </row>
    <row r="23" spans="15:27">
      <c r="O23" s="8" t="s">
        <v>61</v>
      </c>
      <c r="P23" s="8" t="s">
        <v>62</v>
      </c>
      <c r="Q23" s="8" t="s">
        <v>63</v>
      </c>
      <c r="R23" s="8" t="s">
        <v>64</v>
      </c>
      <c r="S23" s="8" t="s">
        <v>65</v>
      </c>
      <c r="T23" s="8" t="s">
        <v>66</v>
      </c>
      <c r="U23" s="8" t="s">
        <v>67</v>
      </c>
      <c r="V23" s="8" t="s">
        <v>68</v>
      </c>
      <c r="W23" s="8" t="s">
        <v>69</v>
      </c>
      <c r="X23" s="8" t="s">
        <v>70</v>
      </c>
      <c r="Y23" s="8" t="s">
        <v>71</v>
      </c>
      <c r="Z23" s="8" t="s">
        <v>72</v>
      </c>
      <c r="AA23" s="8" t="s">
        <v>73</v>
      </c>
    </row>
    <row r="24" spans="15:27">
      <c r="O24" s="13">
        <v>2019</v>
      </c>
      <c r="P24" s="14">
        <v>2347150</v>
      </c>
      <c r="Q24" s="14">
        <v>1306565</v>
      </c>
      <c r="R24" s="14">
        <v>1222000</v>
      </c>
      <c r="S24" s="14">
        <v>260000000</v>
      </c>
      <c r="T24" s="14">
        <v>2530229</v>
      </c>
      <c r="U24" s="14">
        <v>687515946</v>
      </c>
      <c r="V24" s="14">
        <v>1048377395</v>
      </c>
      <c r="W24" s="14">
        <v>416782392</v>
      </c>
      <c r="X24" s="14">
        <v>366871960</v>
      </c>
      <c r="Y24" s="14">
        <v>211667352</v>
      </c>
      <c r="Z24" s="14">
        <v>225403269</v>
      </c>
      <c r="AA24" s="14">
        <v>434971342</v>
      </c>
    </row>
    <row r="25" spans="15:27">
      <c r="O25" s="13">
        <v>2020</v>
      </c>
      <c r="P25" s="14">
        <v>430673360</v>
      </c>
      <c r="Q25" s="14">
        <v>513793930</v>
      </c>
      <c r="R25" s="14">
        <v>333778640</v>
      </c>
      <c r="S25" s="14">
        <v>584108720</v>
      </c>
      <c r="T25" s="14">
        <v>343731089</v>
      </c>
      <c r="U25" s="14">
        <v>256989772</v>
      </c>
      <c r="V25" s="14">
        <v>548869048</v>
      </c>
      <c r="W25" s="14">
        <v>594226074</v>
      </c>
      <c r="X25" s="14">
        <v>250345810</v>
      </c>
      <c r="Y25" s="14">
        <v>374272899</v>
      </c>
      <c r="Z25" s="14">
        <v>311858755</v>
      </c>
      <c r="AA25" s="14">
        <v>1116476374</v>
      </c>
    </row>
    <row r="26" spans="15:27">
      <c r="O26" s="19">
        <v>2021</v>
      </c>
      <c r="P26" s="20">
        <v>152976252</v>
      </c>
      <c r="Q26" s="20">
        <v>695054698</v>
      </c>
      <c r="R26" s="20">
        <v>584811253</v>
      </c>
      <c r="S26" s="20">
        <v>530155080</v>
      </c>
      <c r="T26" s="20">
        <v>488189455</v>
      </c>
      <c r="U26" s="20">
        <v>698872213</v>
      </c>
      <c r="V26" s="20">
        <v>1598887446</v>
      </c>
      <c r="W26" s="20">
        <v>397513493</v>
      </c>
      <c r="X26" s="20">
        <v>678295020</v>
      </c>
      <c r="Y26" s="20">
        <v>293890896</v>
      </c>
      <c r="Z26" s="20">
        <v>375699805</v>
      </c>
      <c r="AA26" s="20">
        <v>419563976</v>
      </c>
    </row>
    <row r="27" spans="15:27">
      <c r="O27" s="19">
        <v>2022</v>
      </c>
      <c r="P27" s="20">
        <v>284972428</v>
      </c>
      <c r="Q27" s="20">
        <v>335966241</v>
      </c>
      <c r="R27" s="20">
        <v>269166755</v>
      </c>
      <c r="S27" s="20">
        <v>441838917</v>
      </c>
      <c r="T27" s="20">
        <v>416879086</v>
      </c>
      <c r="U27" s="20">
        <v>392649127</v>
      </c>
      <c r="V27" s="20">
        <v>314429752</v>
      </c>
      <c r="W27" s="20">
        <v>352377701</v>
      </c>
      <c r="X27" s="20">
        <v>415108551</v>
      </c>
      <c r="Y27" s="20">
        <v>279554717</v>
      </c>
      <c r="Z27" s="20">
        <v>343476107</v>
      </c>
      <c r="AA27" s="20">
        <v>370034327</v>
      </c>
    </row>
    <row r="28" spans="15:27">
      <c r="O28" s="19">
        <v>2023</v>
      </c>
      <c r="P28" s="20">
        <v>1398747597</v>
      </c>
      <c r="Q28" s="20">
        <v>332551453</v>
      </c>
      <c r="R28" s="20">
        <v>276479424</v>
      </c>
      <c r="S28" s="20">
        <v>265821686</v>
      </c>
      <c r="T28" s="20">
        <v>236687971</v>
      </c>
      <c r="U28" s="20">
        <v>579085546</v>
      </c>
      <c r="V28" s="20">
        <v>217979294</v>
      </c>
      <c r="W28" s="20">
        <v>361199098</v>
      </c>
      <c r="X28" s="20">
        <v>354666169</v>
      </c>
      <c r="Y28" s="20">
        <v>256695244</v>
      </c>
      <c r="Z28" s="20">
        <v>216296197</v>
      </c>
      <c r="AA28" s="20">
        <v>256746269</v>
      </c>
    </row>
    <row r="29" spans="15:27">
      <c r="O29" s="19">
        <v>2024</v>
      </c>
      <c r="P29" s="20">
        <v>214525376</v>
      </c>
      <c r="Q29" s="20">
        <v>243924902</v>
      </c>
      <c r="R29" s="20">
        <v>177921731</v>
      </c>
      <c r="S29" s="20"/>
      <c r="T29" s="20"/>
      <c r="U29" s="20"/>
      <c r="V29" s="20"/>
      <c r="W29" s="20"/>
      <c r="X29" s="20"/>
      <c r="Y29" s="20"/>
      <c r="Z29" s="20"/>
      <c r="AA29" s="20"/>
    </row>
  </sheetData>
  <mergeCells count="1">
    <mergeCell ref="A2:AA2"/>
  </mergeCells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kospi_naver"/>
  <dimension ref="A3:L88"/>
  <sheetViews>
    <sheetView workbookViewId="0">
      <selection activeCell="R18" sqref="R18"/>
    </sheetView>
  </sheetViews>
  <sheetFormatPr defaultRowHeight="16.5"/>
  <cols>
    <col min="1" max="1" width="16.5" style="28" customWidth="1"/>
    <col min="2" max="2" width="33.34765625" customWidth="1"/>
    <col min="4" max="4" width="13.25" customWidth="1"/>
    <col min="5" max="5" width="22" customWidth="1"/>
    <col min="6" max="6" width="2.75" customWidth="1"/>
    <col min="7" max="7" width="27.75" customWidth="1"/>
    <col min="8" max="8" width="15.59765625" style="28" customWidth="1"/>
    <col min="9" max="9" width="30" customWidth="1"/>
    <col min="10" max="10" width="12" customWidth="1"/>
    <col min="11" max="11" width="12.5" customWidth="1"/>
    <col min="12" max="12" width="16.84765625" customWidth="1"/>
  </cols>
  <sheetData>
    <row r="3" spans="1:12">
      <c r="B3" s="25" t="s">
        <v>252</v>
      </c>
      <c r="G3" t="s">
        <v>2858</v>
      </c>
    </row>
    <row r="4" spans="1:12">
      <c r="A4" s="29" t="s">
        <v>246</v>
      </c>
      <c r="B4">
        <v>20240311</v>
      </c>
      <c r="H4" s="29" t="s">
        <v>334</v>
      </c>
      <c r="I4">
        <v>20240311</v>
      </c>
    </row>
    <row r="5" spans="1:12">
      <c r="A5" s="28" t="s">
        <v>247</v>
      </c>
      <c r="B5" t="s">
        <v>248</v>
      </c>
      <c r="C5" t="s">
        <v>249</v>
      </c>
      <c r="D5" t="s">
        <v>250</v>
      </c>
      <c r="E5" t="s">
        <v>251</v>
      </c>
      <c r="H5" s="28" t="s">
        <v>247</v>
      </c>
      <c r="I5" t="s">
        <v>248</v>
      </c>
      <c r="J5" t="s">
        <v>249</v>
      </c>
      <c r="K5" t="s">
        <v>250</v>
      </c>
      <c r="L5" t="s">
        <v>251</v>
      </c>
    </row>
    <row r="6" spans="1:12">
      <c r="A6" s="28">
        <v>282690</v>
      </c>
      <c r="B6" t="s">
        <v>142</v>
      </c>
      <c r="C6">
        <v>0.44</v>
      </c>
      <c r="D6">
        <v>9.8000000000000007</v>
      </c>
      <c r="E6">
        <v>8.2899999999999991</v>
      </c>
      <c r="H6" s="28">
        <v>92460</v>
      </c>
      <c r="I6" t="s">
        <v>352</v>
      </c>
      <c r="J6">
        <v>0.6</v>
      </c>
      <c r="K6">
        <v>1.48</v>
      </c>
      <c r="L6">
        <v>5.16</v>
      </c>
    </row>
    <row r="7" spans="1:12">
      <c r="A7" s="28">
        <v>3120</v>
      </c>
      <c r="B7" t="s">
        <v>192</v>
      </c>
      <c r="C7">
        <v>0.36</v>
      </c>
      <c r="D7">
        <v>14.72</v>
      </c>
      <c r="E7">
        <v>6.68</v>
      </c>
      <c r="H7" s="28">
        <v>138070</v>
      </c>
      <c r="I7" t="s">
        <v>308</v>
      </c>
      <c r="J7">
        <v>0.65</v>
      </c>
      <c r="K7">
        <v>17.93</v>
      </c>
      <c r="L7">
        <v>1.7</v>
      </c>
    </row>
    <row r="8" spans="1:12">
      <c r="A8" s="28">
        <v>78000</v>
      </c>
      <c r="B8" t="s">
        <v>212</v>
      </c>
      <c r="C8">
        <v>0.53</v>
      </c>
      <c r="D8">
        <v>10.45</v>
      </c>
      <c r="E8">
        <v>6.07</v>
      </c>
      <c r="H8" s="28">
        <v>1810</v>
      </c>
      <c r="I8" t="s">
        <v>353</v>
      </c>
      <c r="J8">
        <v>0.2</v>
      </c>
      <c r="L8">
        <v>0.56000000000000005</v>
      </c>
    </row>
    <row r="9" spans="1:12">
      <c r="A9" s="28">
        <v>390</v>
      </c>
      <c r="B9" t="s">
        <v>357</v>
      </c>
      <c r="C9">
        <v>0.51</v>
      </c>
      <c r="D9">
        <v>18.96</v>
      </c>
      <c r="E9">
        <v>5.94</v>
      </c>
      <c r="H9" s="28">
        <v>7770</v>
      </c>
      <c r="I9" t="s">
        <v>354</v>
      </c>
      <c r="J9">
        <v>0.46</v>
      </c>
      <c r="L9">
        <v>0.35</v>
      </c>
    </row>
    <row r="10" spans="1:12">
      <c r="A10" s="28">
        <v>9680</v>
      </c>
      <c r="B10" t="s">
        <v>149</v>
      </c>
      <c r="C10">
        <v>0.41</v>
      </c>
      <c r="D10">
        <v>11.56</v>
      </c>
      <c r="E10">
        <v>5.41</v>
      </c>
      <c r="H10" s="28">
        <v>14470</v>
      </c>
      <c r="I10" t="s">
        <v>355</v>
      </c>
      <c r="J10">
        <v>0.75</v>
      </c>
      <c r="K10">
        <v>4.9400000000000004</v>
      </c>
    </row>
    <row r="11" spans="1:12">
      <c r="A11" s="28">
        <v>16360</v>
      </c>
      <c r="B11" t="s">
        <v>155</v>
      </c>
      <c r="C11">
        <v>0.56000000000000005</v>
      </c>
      <c r="D11">
        <v>6.61</v>
      </c>
      <c r="E11">
        <v>5.26</v>
      </c>
      <c r="H11" s="28">
        <v>53350</v>
      </c>
      <c r="I11" t="s">
        <v>356</v>
      </c>
      <c r="J11">
        <v>0.5</v>
      </c>
      <c r="K11">
        <v>293.18</v>
      </c>
    </row>
    <row r="12" spans="1:12">
      <c r="A12" s="28">
        <v>7590</v>
      </c>
      <c r="B12" t="s">
        <v>139</v>
      </c>
      <c r="C12">
        <v>0.49</v>
      </c>
      <c r="D12">
        <v>5.77</v>
      </c>
      <c r="E12">
        <v>4.6900000000000004</v>
      </c>
    </row>
    <row r="13" spans="1:12">
      <c r="A13" s="28">
        <v>55550</v>
      </c>
      <c r="B13" t="s">
        <v>177</v>
      </c>
      <c r="C13">
        <v>0.43</v>
      </c>
      <c r="D13">
        <v>5.66</v>
      </c>
      <c r="E13">
        <v>4.6900000000000004</v>
      </c>
    </row>
    <row r="14" spans="1:12">
      <c r="A14" s="28">
        <v>33920</v>
      </c>
      <c r="B14" t="s">
        <v>358</v>
      </c>
      <c r="C14">
        <v>0.26</v>
      </c>
      <c r="D14">
        <v>1.61</v>
      </c>
      <c r="E14">
        <v>4.54</v>
      </c>
    </row>
    <row r="15" spans="1:12">
      <c r="A15" s="28">
        <v>3410</v>
      </c>
      <c r="B15" t="s">
        <v>359</v>
      </c>
      <c r="C15">
        <v>2.14</v>
      </c>
      <c r="D15">
        <v>14.76</v>
      </c>
      <c r="E15">
        <v>4.1100000000000003</v>
      </c>
    </row>
    <row r="16" spans="1:12">
      <c r="A16" s="28">
        <v>58860</v>
      </c>
      <c r="B16" t="s">
        <v>96</v>
      </c>
      <c r="C16">
        <v>0.46</v>
      </c>
      <c r="D16">
        <v>8.31</v>
      </c>
      <c r="E16">
        <v>3.87</v>
      </c>
    </row>
    <row r="17" spans="1:5">
      <c r="A17" s="28">
        <v>10060</v>
      </c>
      <c r="B17" t="s">
        <v>360</v>
      </c>
      <c r="C17">
        <v>0.49</v>
      </c>
      <c r="D17">
        <v>1.82</v>
      </c>
      <c r="E17">
        <v>3.5</v>
      </c>
    </row>
    <row r="18" spans="1:5">
      <c r="A18" s="28">
        <v>1740</v>
      </c>
      <c r="B18" t="s">
        <v>361</v>
      </c>
      <c r="C18">
        <v>0.61</v>
      </c>
      <c r="D18">
        <v>30.65</v>
      </c>
      <c r="E18">
        <v>3.05</v>
      </c>
    </row>
    <row r="19" spans="1:5">
      <c r="A19" s="28">
        <v>456040</v>
      </c>
      <c r="B19" t="s">
        <v>362</v>
      </c>
      <c r="C19">
        <v>0.64</v>
      </c>
      <c r="E19">
        <v>2.38</v>
      </c>
    </row>
    <row r="20" spans="1:5">
      <c r="A20" s="28">
        <v>10950</v>
      </c>
      <c r="B20" t="s">
        <v>364</v>
      </c>
      <c r="C20">
        <v>0.97</v>
      </c>
      <c r="D20">
        <v>8.5299999999999994</v>
      </c>
      <c r="E20">
        <v>2.29</v>
      </c>
    </row>
    <row r="21" spans="1:5">
      <c r="A21" s="28">
        <v>5490</v>
      </c>
      <c r="B21" t="s">
        <v>363</v>
      </c>
      <c r="C21">
        <v>0.64</v>
      </c>
      <c r="D21">
        <v>31.45</v>
      </c>
      <c r="E21">
        <v>2.17</v>
      </c>
    </row>
    <row r="22" spans="1:5">
      <c r="A22" s="28">
        <v>32560</v>
      </c>
      <c r="B22" t="s">
        <v>365</v>
      </c>
      <c r="C22">
        <v>0.34</v>
      </c>
      <c r="D22">
        <v>3.55</v>
      </c>
      <c r="E22">
        <v>2.15</v>
      </c>
    </row>
    <row r="23" spans="1:5">
      <c r="A23" s="28">
        <v>720</v>
      </c>
      <c r="B23" t="s">
        <v>367</v>
      </c>
      <c r="C23">
        <v>0.46</v>
      </c>
      <c r="D23">
        <v>11.63</v>
      </c>
      <c r="E23">
        <v>1.77</v>
      </c>
    </row>
    <row r="24" spans="1:5">
      <c r="A24" s="28">
        <v>3610</v>
      </c>
      <c r="B24" t="s">
        <v>366</v>
      </c>
      <c r="C24">
        <v>0.42</v>
      </c>
      <c r="E24">
        <v>1.72</v>
      </c>
    </row>
    <row r="25" spans="1:5">
      <c r="A25" s="28">
        <v>1560</v>
      </c>
      <c r="B25" t="s">
        <v>368</v>
      </c>
      <c r="C25">
        <v>0.6</v>
      </c>
      <c r="D25">
        <v>7.99</v>
      </c>
    </row>
    <row r="26" spans="1:5">
      <c r="A26" s="28">
        <v>1780</v>
      </c>
      <c r="B26" t="s">
        <v>369</v>
      </c>
      <c r="C26">
        <v>1.18</v>
      </c>
      <c r="D26">
        <v>18.829999999999998</v>
      </c>
    </row>
    <row r="27" spans="1:5">
      <c r="A27" s="28">
        <v>5820</v>
      </c>
      <c r="B27" t="s">
        <v>370</v>
      </c>
      <c r="C27">
        <v>0.33</v>
      </c>
      <c r="D27">
        <v>5.99</v>
      </c>
    </row>
    <row r="28" spans="1:5">
      <c r="A28" s="28">
        <v>5940</v>
      </c>
      <c r="B28" t="s">
        <v>103</v>
      </c>
      <c r="C28">
        <v>0.56000000000000005</v>
      </c>
      <c r="D28">
        <v>7.84</v>
      </c>
    </row>
    <row r="29" spans="1:5">
      <c r="A29" s="28">
        <v>34220</v>
      </c>
      <c r="B29" t="s">
        <v>371</v>
      </c>
      <c r="C29">
        <v>0.6</v>
      </c>
    </row>
    <row r="30" spans="1:5">
      <c r="A30" s="28">
        <v>35250</v>
      </c>
      <c r="B30" t="s">
        <v>372</v>
      </c>
      <c r="C30">
        <v>0.97</v>
      </c>
      <c r="D30">
        <v>13.46</v>
      </c>
    </row>
    <row r="88" spans="2:2">
      <c r="B88" s="11"/>
    </row>
  </sheetData>
  <sheetProtection formatCells="0" formatColumns="0" formatRows="0" sort="0" autoFilter="0" pivotTables="0"/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ock_pykrx"/>
  <dimension ref="A3:I253"/>
  <sheetViews>
    <sheetView workbookViewId="0">
      <selection activeCell="G16" sqref="G16"/>
    </sheetView>
  </sheetViews>
  <sheetFormatPr defaultRowHeight="16.5"/>
  <cols>
    <col min="1" max="1" width="16.5" style="28" customWidth="1"/>
    <col min="2" max="2" width="33.34765625" customWidth="1"/>
    <col min="4" max="4" width="13.25" customWidth="1"/>
    <col min="5" max="5" width="22" customWidth="1"/>
    <col min="7" max="7" width="52.34765625" customWidth="1"/>
  </cols>
  <sheetData>
    <row r="3" spans="1:9">
      <c r="B3" s="25" t="s">
        <v>253</v>
      </c>
      <c r="G3" t="s">
        <v>351</v>
      </c>
    </row>
    <row r="4" spans="1:9">
      <c r="A4" s="29" t="s">
        <v>254</v>
      </c>
      <c r="B4">
        <v>20240317</v>
      </c>
      <c r="I4">
        <v>20240317</v>
      </c>
    </row>
    <row r="5" spans="1:9">
      <c r="A5" s="28" t="s">
        <v>247</v>
      </c>
      <c r="B5" t="s">
        <v>248</v>
      </c>
      <c r="C5" t="s">
        <v>250</v>
      </c>
      <c r="D5" t="s">
        <v>249</v>
      </c>
      <c r="E5" t="s">
        <v>251</v>
      </c>
    </row>
    <row r="6" spans="1:9">
      <c r="A6" s="28">
        <v>6740</v>
      </c>
      <c r="B6" t="s">
        <v>184</v>
      </c>
      <c r="C6">
        <v>10.41</v>
      </c>
      <c r="D6">
        <v>0.61</v>
      </c>
      <c r="E6">
        <v>38.56</v>
      </c>
    </row>
    <row r="7" spans="1:9">
      <c r="A7" s="28">
        <v>3120</v>
      </c>
      <c r="B7" t="s">
        <v>192</v>
      </c>
      <c r="C7">
        <v>1.55</v>
      </c>
      <c r="D7">
        <v>0.36</v>
      </c>
      <c r="E7">
        <v>18.29</v>
      </c>
    </row>
    <row r="8" spans="1:9">
      <c r="A8" s="28">
        <v>12700</v>
      </c>
      <c r="B8" t="s">
        <v>255</v>
      </c>
      <c r="C8">
        <v>4.51</v>
      </c>
      <c r="D8">
        <v>0.34</v>
      </c>
      <c r="E8">
        <v>14.18</v>
      </c>
    </row>
    <row r="9" spans="1:9">
      <c r="A9" s="28">
        <v>1120</v>
      </c>
      <c r="B9" t="s">
        <v>100</v>
      </c>
      <c r="C9">
        <v>1.85</v>
      </c>
      <c r="D9">
        <v>0.42</v>
      </c>
      <c r="E9">
        <v>11.34</v>
      </c>
    </row>
    <row r="10" spans="1:9">
      <c r="A10" s="28">
        <v>377740</v>
      </c>
      <c r="B10" t="s">
        <v>152</v>
      </c>
      <c r="C10">
        <v>1.39</v>
      </c>
      <c r="D10">
        <v>0.28999999999999998</v>
      </c>
      <c r="E10">
        <v>10.77</v>
      </c>
    </row>
    <row r="11" spans="1:9">
      <c r="A11" s="28">
        <v>2990</v>
      </c>
      <c r="B11" s="27" t="s">
        <v>124</v>
      </c>
      <c r="C11">
        <v>8.02</v>
      </c>
      <c r="D11">
        <v>0.31</v>
      </c>
      <c r="E11">
        <v>10.62</v>
      </c>
    </row>
    <row r="12" spans="1:9">
      <c r="A12" s="28">
        <v>5960</v>
      </c>
      <c r="B12" t="s">
        <v>140</v>
      </c>
      <c r="C12">
        <v>2.94</v>
      </c>
      <c r="D12">
        <v>0.2</v>
      </c>
      <c r="E12">
        <v>9.8000000000000007</v>
      </c>
    </row>
    <row r="13" spans="1:9">
      <c r="A13" s="28">
        <v>9410</v>
      </c>
      <c r="B13" t="s">
        <v>210</v>
      </c>
      <c r="C13">
        <v>1.44</v>
      </c>
      <c r="D13">
        <v>0.12</v>
      </c>
      <c r="E13">
        <v>9.74</v>
      </c>
    </row>
    <row r="14" spans="1:9">
      <c r="A14" s="28">
        <v>72870</v>
      </c>
      <c r="B14" t="s">
        <v>256</v>
      </c>
      <c r="C14">
        <v>6.66</v>
      </c>
      <c r="D14">
        <v>0.41</v>
      </c>
      <c r="E14">
        <v>9.6300000000000008</v>
      </c>
    </row>
    <row r="15" spans="1:9">
      <c r="A15" s="28">
        <v>16250</v>
      </c>
      <c r="B15" t="s">
        <v>258</v>
      </c>
      <c r="C15">
        <v>1.04</v>
      </c>
      <c r="D15">
        <v>0.22</v>
      </c>
      <c r="E15">
        <v>8.83</v>
      </c>
    </row>
    <row r="16" spans="1:9">
      <c r="A16" s="28">
        <v>34830</v>
      </c>
      <c r="B16" t="s">
        <v>225</v>
      </c>
      <c r="C16">
        <v>9.73</v>
      </c>
      <c r="D16">
        <v>0.23</v>
      </c>
      <c r="E16">
        <v>8.73</v>
      </c>
    </row>
    <row r="17" spans="1:5">
      <c r="A17" s="28">
        <v>6360</v>
      </c>
      <c r="B17" t="s">
        <v>82</v>
      </c>
      <c r="C17">
        <v>3.82</v>
      </c>
      <c r="D17">
        <v>0.27</v>
      </c>
      <c r="E17">
        <v>8.52</v>
      </c>
    </row>
    <row r="18" spans="1:5">
      <c r="A18" s="28">
        <v>137310</v>
      </c>
      <c r="B18" t="s">
        <v>180</v>
      </c>
      <c r="C18">
        <v>1.3</v>
      </c>
      <c r="D18">
        <v>0.41</v>
      </c>
      <c r="E18">
        <v>8.48</v>
      </c>
    </row>
    <row r="19" spans="1:5">
      <c r="A19" s="28">
        <v>352700</v>
      </c>
      <c r="B19" t="s">
        <v>257</v>
      </c>
      <c r="C19">
        <v>4.45</v>
      </c>
      <c r="D19">
        <v>0.5</v>
      </c>
      <c r="E19">
        <v>8.3699999999999992</v>
      </c>
    </row>
    <row r="20" spans="1:5">
      <c r="A20" s="28">
        <v>282690</v>
      </c>
      <c r="B20" t="s">
        <v>142</v>
      </c>
      <c r="C20">
        <v>6.97</v>
      </c>
      <c r="D20">
        <v>0.44</v>
      </c>
      <c r="E20">
        <v>8.2200000000000006</v>
      </c>
    </row>
    <row r="21" spans="1:5">
      <c r="A21" s="28">
        <v>330730</v>
      </c>
      <c r="B21" t="s">
        <v>379</v>
      </c>
      <c r="C21">
        <v>11.84</v>
      </c>
      <c r="D21">
        <v>0.99</v>
      </c>
      <c r="E21">
        <v>8.1999999999999993</v>
      </c>
    </row>
    <row r="22" spans="1:5">
      <c r="A22" s="28">
        <v>24090</v>
      </c>
      <c r="B22" t="s">
        <v>145</v>
      </c>
      <c r="C22">
        <v>2.72</v>
      </c>
      <c r="D22">
        <v>0.39</v>
      </c>
      <c r="E22">
        <v>8.09</v>
      </c>
    </row>
    <row r="23" spans="1:5">
      <c r="A23" s="28">
        <v>31330</v>
      </c>
      <c r="B23" t="s">
        <v>259</v>
      </c>
      <c r="C23">
        <v>4.83</v>
      </c>
      <c r="D23">
        <v>0.77</v>
      </c>
      <c r="E23">
        <v>8.07</v>
      </c>
    </row>
    <row r="24" spans="1:5">
      <c r="A24" s="28">
        <v>9270</v>
      </c>
      <c r="B24" t="s">
        <v>176</v>
      </c>
      <c r="C24">
        <v>5.77</v>
      </c>
      <c r="D24">
        <v>0.45</v>
      </c>
      <c r="E24">
        <v>7.74</v>
      </c>
    </row>
    <row r="25" spans="1:5">
      <c r="A25" s="28">
        <v>1750</v>
      </c>
      <c r="B25" t="s">
        <v>231</v>
      </c>
      <c r="C25">
        <v>5.66</v>
      </c>
      <c r="D25">
        <v>0.28999999999999998</v>
      </c>
      <c r="E25">
        <v>7.6</v>
      </c>
    </row>
    <row r="26" spans="1:5">
      <c r="A26" s="28">
        <v>850</v>
      </c>
      <c r="B26" t="s">
        <v>244</v>
      </c>
      <c r="C26">
        <v>1.93</v>
      </c>
      <c r="D26">
        <v>0.21</v>
      </c>
      <c r="E26">
        <v>7.59</v>
      </c>
    </row>
    <row r="27" spans="1:5">
      <c r="A27" s="28">
        <v>85910</v>
      </c>
      <c r="B27" t="s">
        <v>260</v>
      </c>
      <c r="C27">
        <v>8.2100000000000009</v>
      </c>
      <c r="D27">
        <v>0.77</v>
      </c>
      <c r="E27">
        <v>7.52</v>
      </c>
    </row>
    <row r="28" spans="1:5">
      <c r="A28" s="28">
        <v>138930</v>
      </c>
      <c r="B28" t="s">
        <v>76</v>
      </c>
      <c r="C28">
        <v>3.47</v>
      </c>
      <c r="D28">
        <v>0.27</v>
      </c>
      <c r="E28">
        <v>7.49</v>
      </c>
    </row>
    <row r="29" spans="1:5">
      <c r="A29" s="28">
        <v>316140</v>
      </c>
      <c r="B29" t="s">
        <v>186</v>
      </c>
      <c r="C29">
        <v>3.62</v>
      </c>
      <c r="D29">
        <v>0.38</v>
      </c>
      <c r="E29">
        <v>7.45</v>
      </c>
    </row>
    <row r="30" spans="1:5">
      <c r="A30" s="28">
        <v>4000</v>
      </c>
      <c r="B30" t="s">
        <v>147</v>
      </c>
      <c r="C30">
        <v>8.2200000000000006</v>
      </c>
      <c r="D30">
        <v>0.52</v>
      </c>
      <c r="E30">
        <v>7.42</v>
      </c>
    </row>
    <row r="31" spans="1:5">
      <c r="A31" s="28">
        <v>93190</v>
      </c>
      <c r="B31" t="s">
        <v>261</v>
      </c>
      <c r="C31">
        <v>8.06</v>
      </c>
      <c r="D31">
        <v>0.49</v>
      </c>
      <c r="E31">
        <v>7.37</v>
      </c>
    </row>
    <row r="32" spans="1:5">
      <c r="A32" s="28">
        <v>5090</v>
      </c>
      <c r="B32" t="s">
        <v>106</v>
      </c>
      <c r="C32">
        <v>2.86</v>
      </c>
      <c r="D32">
        <v>0.48</v>
      </c>
      <c r="E32">
        <v>7.34</v>
      </c>
    </row>
    <row r="33" spans="1:5">
      <c r="A33" s="28">
        <v>19440</v>
      </c>
      <c r="B33" t="s">
        <v>167</v>
      </c>
      <c r="C33">
        <v>6.25</v>
      </c>
      <c r="D33">
        <v>0.34</v>
      </c>
      <c r="E33">
        <v>7.33</v>
      </c>
    </row>
    <row r="34" spans="1:5">
      <c r="A34" s="28">
        <v>37710</v>
      </c>
      <c r="B34" t="s">
        <v>120</v>
      </c>
      <c r="C34">
        <v>4.24</v>
      </c>
      <c r="D34">
        <v>0.31</v>
      </c>
      <c r="E34">
        <v>7.25</v>
      </c>
    </row>
    <row r="35" spans="1:5">
      <c r="A35" s="28">
        <v>11200</v>
      </c>
      <c r="B35" t="s">
        <v>86</v>
      </c>
      <c r="C35">
        <v>0.81</v>
      </c>
      <c r="D35">
        <v>0.39</v>
      </c>
      <c r="E35">
        <v>7.24</v>
      </c>
    </row>
    <row r="36" spans="1:5">
      <c r="A36" s="28">
        <v>480</v>
      </c>
      <c r="B36" t="s">
        <v>77</v>
      </c>
      <c r="C36">
        <v>4.93</v>
      </c>
      <c r="D36">
        <v>0.28999999999999998</v>
      </c>
      <c r="E36">
        <v>7.14</v>
      </c>
    </row>
    <row r="37" spans="1:5">
      <c r="A37" s="28">
        <v>700</v>
      </c>
      <c r="B37" t="s">
        <v>188</v>
      </c>
      <c r="C37">
        <v>4.63</v>
      </c>
      <c r="D37">
        <v>0.41</v>
      </c>
      <c r="E37">
        <v>7.09</v>
      </c>
    </row>
    <row r="38" spans="1:5">
      <c r="A38" s="28">
        <v>139130</v>
      </c>
      <c r="B38" t="s">
        <v>78</v>
      </c>
      <c r="C38">
        <v>4.0999999999999996</v>
      </c>
      <c r="D38">
        <v>0.28999999999999998</v>
      </c>
      <c r="E38">
        <v>6.99</v>
      </c>
    </row>
    <row r="39" spans="1:5">
      <c r="A39" s="28">
        <v>5010</v>
      </c>
      <c r="B39" t="s">
        <v>245</v>
      </c>
      <c r="C39">
        <v>0.89</v>
      </c>
      <c r="D39">
        <v>0.31</v>
      </c>
      <c r="E39">
        <v>6.96</v>
      </c>
    </row>
    <row r="40" spans="1:5">
      <c r="A40" s="28">
        <v>317400</v>
      </c>
      <c r="B40" t="s">
        <v>195</v>
      </c>
      <c r="C40">
        <v>1.76</v>
      </c>
      <c r="D40">
        <v>0.34</v>
      </c>
      <c r="E40">
        <v>6.96</v>
      </c>
    </row>
    <row r="41" spans="1:5">
      <c r="A41" s="28">
        <v>93920</v>
      </c>
      <c r="B41" t="s">
        <v>262</v>
      </c>
      <c r="C41">
        <v>4.66</v>
      </c>
      <c r="D41">
        <v>0.54</v>
      </c>
      <c r="E41">
        <v>6.96</v>
      </c>
    </row>
    <row r="42" spans="1:5">
      <c r="A42" s="28">
        <v>122900</v>
      </c>
      <c r="B42" t="s">
        <v>178</v>
      </c>
      <c r="C42">
        <v>12.37</v>
      </c>
      <c r="D42">
        <v>0.77</v>
      </c>
      <c r="E42">
        <v>6.87</v>
      </c>
    </row>
    <row r="43" spans="1:5">
      <c r="A43" s="28">
        <v>213500</v>
      </c>
      <c r="B43" t="s">
        <v>228</v>
      </c>
      <c r="C43">
        <v>3.34</v>
      </c>
      <c r="D43">
        <v>0.33</v>
      </c>
      <c r="E43">
        <v>6.76</v>
      </c>
    </row>
    <row r="44" spans="1:5">
      <c r="A44" s="28">
        <v>3540</v>
      </c>
      <c r="B44" t="s">
        <v>132</v>
      </c>
      <c r="C44">
        <v>10.15</v>
      </c>
      <c r="D44">
        <v>0.44</v>
      </c>
      <c r="E44">
        <v>6.75</v>
      </c>
    </row>
    <row r="45" spans="1:5">
      <c r="A45" s="28">
        <v>4890</v>
      </c>
      <c r="B45" t="s">
        <v>144</v>
      </c>
      <c r="C45">
        <v>4.42</v>
      </c>
      <c r="D45">
        <v>0.23</v>
      </c>
      <c r="E45">
        <v>6.73</v>
      </c>
    </row>
    <row r="46" spans="1:5">
      <c r="A46" s="28">
        <v>267250</v>
      </c>
      <c r="B46" t="s">
        <v>84</v>
      </c>
      <c r="C46">
        <v>3.48</v>
      </c>
      <c r="D46">
        <v>0.65</v>
      </c>
      <c r="E46">
        <v>6.64</v>
      </c>
    </row>
    <row r="47" spans="1:5">
      <c r="A47" s="28">
        <v>7330</v>
      </c>
      <c r="B47" t="s">
        <v>264</v>
      </c>
      <c r="C47">
        <v>5.82</v>
      </c>
      <c r="D47">
        <v>0.38</v>
      </c>
      <c r="E47">
        <v>6.61</v>
      </c>
    </row>
    <row r="48" spans="1:5">
      <c r="A48" s="28">
        <v>32640</v>
      </c>
      <c r="B48" t="s">
        <v>99</v>
      </c>
      <c r="C48">
        <v>6.54</v>
      </c>
      <c r="D48">
        <v>0.53</v>
      </c>
      <c r="E48">
        <v>6.44</v>
      </c>
    </row>
    <row r="49" spans="1:5">
      <c r="A49" s="28">
        <v>35000</v>
      </c>
      <c r="B49" t="s">
        <v>87</v>
      </c>
      <c r="C49">
        <v>5.83</v>
      </c>
      <c r="D49">
        <v>0.57999999999999996</v>
      </c>
      <c r="E49">
        <v>6.37</v>
      </c>
    </row>
    <row r="50" spans="1:5">
      <c r="A50" s="28">
        <v>123890</v>
      </c>
      <c r="B50" t="s">
        <v>221</v>
      </c>
      <c r="C50">
        <v>3.93</v>
      </c>
      <c r="D50">
        <v>0.46</v>
      </c>
      <c r="E50">
        <v>6.33</v>
      </c>
    </row>
    <row r="51" spans="1:5">
      <c r="A51" s="28">
        <v>175330</v>
      </c>
      <c r="B51" t="s">
        <v>88</v>
      </c>
      <c r="C51">
        <v>4.45</v>
      </c>
      <c r="D51">
        <v>0.56999999999999995</v>
      </c>
      <c r="E51">
        <v>6.26</v>
      </c>
    </row>
    <row r="52" spans="1:5">
      <c r="A52" s="28">
        <v>306040</v>
      </c>
      <c r="B52" t="s">
        <v>267</v>
      </c>
      <c r="C52">
        <v>2.69</v>
      </c>
      <c r="D52">
        <v>0.61</v>
      </c>
      <c r="E52">
        <v>6.26</v>
      </c>
    </row>
    <row r="53" spans="1:5">
      <c r="A53" s="28">
        <v>53210</v>
      </c>
      <c r="B53" t="s">
        <v>170</v>
      </c>
      <c r="C53">
        <v>11.91</v>
      </c>
      <c r="D53">
        <v>0.32</v>
      </c>
      <c r="E53">
        <v>6.25</v>
      </c>
    </row>
    <row r="54" spans="1:5">
      <c r="A54" s="28">
        <v>3300</v>
      </c>
      <c r="B54" t="s">
        <v>234</v>
      </c>
      <c r="C54">
        <v>4.41</v>
      </c>
      <c r="D54">
        <v>0.28000000000000003</v>
      </c>
      <c r="E54">
        <v>6.25</v>
      </c>
    </row>
    <row r="55" spans="1:5">
      <c r="A55" s="28">
        <v>11040</v>
      </c>
      <c r="B55" t="s">
        <v>265</v>
      </c>
      <c r="C55">
        <v>14.38</v>
      </c>
      <c r="D55">
        <v>0.68</v>
      </c>
      <c r="E55">
        <v>6.22</v>
      </c>
    </row>
    <row r="56" spans="1:5">
      <c r="A56" s="28">
        <v>29780</v>
      </c>
      <c r="B56" t="s">
        <v>156</v>
      </c>
      <c r="C56">
        <v>6.93</v>
      </c>
      <c r="D56">
        <v>0.55000000000000004</v>
      </c>
      <c r="E56">
        <v>6.19</v>
      </c>
    </row>
    <row r="57" spans="1:5">
      <c r="A57" s="28">
        <v>970</v>
      </c>
      <c r="B57" t="s">
        <v>223</v>
      </c>
      <c r="C57">
        <v>11.59</v>
      </c>
      <c r="D57">
        <v>0.41</v>
      </c>
      <c r="E57">
        <v>6.17</v>
      </c>
    </row>
    <row r="58" spans="1:5">
      <c r="A58" s="28">
        <v>100250</v>
      </c>
      <c r="B58" t="s">
        <v>201</v>
      </c>
      <c r="C58">
        <v>7.23</v>
      </c>
      <c r="D58">
        <v>0.52</v>
      </c>
      <c r="E58">
        <v>6.12</v>
      </c>
    </row>
    <row r="59" spans="1:5">
      <c r="A59" s="28">
        <v>171120</v>
      </c>
      <c r="B59" t="s">
        <v>268</v>
      </c>
      <c r="C59">
        <v>13.24</v>
      </c>
      <c r="D59">
        <v>0.96</v>
      </c>
      <c r="E59">
        <v>6.12</v>
      </c>
    </row>
    <row r="60" spans="1:5">
      <c r="A60" s="28">
        <v>67990</v>
      </c>
      <c r="B60" t="s">
        <v>263</v>
      </c>
      <c r="C60">
        <v>4.8600000000000003</v>
      </c>
      <c r="D60">
        <v>0.51</v>
      </c>
      <c r="E60">
        <v>6.11</v>
      </c>
    </row>
    <row r="61" spans="1:5">
      <c r="A61" s="28">
        <v>24110</v>
      </c>
      <c r="B61" s="11" t="s">
        <v>126</v>
      </c>
      <c r="C61">
        <v>4.7300000000000004</v>
      </c>
      <c r="D61">
        <v>0.43</v>
      </c>
      <c r="E61">
        <v>6.11</v>
      </c>
    </row>
    <row r="62" spans="1:5">
      <c r="A62" s="28">
        <v>290120</v>
      </c>
      <c r="B62" t="s">
        <v>273</v>
      </c>
      <c r="C62">
        <v>1.59</v>
      </c>
      <c r="D62">
        <v>0.44</v>
      </c>
      <c r="E62">
        <v>6.08</v>
      </c>
    </row>
    <row r="63" spans="1:5">
      <c r="A63" s="28">
        <v>25000</v>
      </c>
      <c r="B63" t="s">
        <v>92</v>
      </c>
      <c r="C63">
        <v>7.57</v>
      </c>
      <c r="D63">
        <v>0.37</v>
      </c>
      <c r="E63">
        <v>6.04</v>
      </c>
    </row>
    <row r="64" spans="1:5">
      <c r="A64" s="28">
        <v>17480</v>
      </c>
      <c r="B64" t="s">
        <v>266</v>
      </c>
      <c r="C64">
        <v>4.82</v>
      </c>
      <c r="D64">
        <v>0.41</v>
      </c>
      <c r="E64">
        <v>6.01</v>
      </c>
    </row>
    <row r="65" spans="1:5">
      <c r="A65" s="28">
        <v>84010</v>
      </c>
      <c r="B65" t="s">
        <v>134</v>
      </c>
      <c r="C65">
        <v>1.97</v>
      </c>
      <c r="D65">
        <v>0.34</v>
      </c>
      <c r="E65">
        <v>6.01</v>
      </c>
    </row>
    <row r="66" spans="1:5">
      <c r="A66" s="28">
        <v>1230</v>
      </c>
      <c r="B66" t="s">
        <v>138</v>
      </c>
      <c r="C66">
        <v>1.86</v>
      </c>
      <c r="D66">
        <v>0.24</v>
      </c>
      <c r="E66">
        <v>6</v>
      </c>
    </row>
    <row r="67" spans="1:5">
      <c r="A67" s="28">
        <v>33290</v>
      </c>
      <c r="B67" t="s">
        <v>274</v>
      </c>
      <c r="C67">
        <v>4.3600000000000003</v>
      </c>
      <c r="D67">
        <v>0.55000000000000004</v>
      </c>
      <c r="E67">
        <v>5.97</v>
      </c>
    </row>
    <row r="68" spans="1:5">
      <c r="A68" s="28">
        <v>8060</v>
      </c>
      <c r="B68" t="s">
        <v>130</v>
      </c>
      <c r="C68">
        <v>12.22</v>
      </c>
      <c r="D68">
        <v>0.38</v>
      </c>
      <c r="E68">
        <v>5.96</v>
      </c>
    </row>
    <row r="69" spans="1:5">
      <c r="A69" s="28">
        <v>7680</v>
      </c>
      <c r="B69" t="s">
        <v>270</v>
      </c>
      <c r="C69">
        <v>3.46</v>
      </c>
      <c r="D69">
        <v>0.2</v>
      </c>
      <c r="E69">
        <v>5.95</v>
      </c>
    </row>
    <row r="70" spans="1:5">
      <c r="A70" s="28">
        <v>140520</v>
      </c>
      <c r="B70" t="s">
        <v>269</v>
      </c>
      <c r="C70">
        <v>0.96</v>
      </c>
      <c r="D70">
        <v>0.35</v>
      </c>
      <c r="E70">
        <v>5.92</v>
      </c>
    </row>
    <row r="71" spans="1:5">
      <c r="A71" s="28">
        <v>344820</v>
      </c>
      <c r="B71" t="s">
        <v>90</v>
      </c>
      <c r="C71">
        <v>6.92</v>
      </c>
      <c r="D71">
        <v>0.45</v>
      </c>
      <c r="E71">
        <v>5.88</v>
      </c>
    </row>
    <row r="72" spans="1:5">
      <c r="A72" s="28">
        <v>1720</v>
      </c>
      <c r="B72" t="s">
        <v>175</v>
      </c>
      <c r="C72">
        <v>5.73</v>
      </c>
      <c r="D72">
        <v>0.36</v>
      </c>
      <c r="E72">
        <v>5.87</v>
      </c>
    </row>
    <row r="73" spans="1:5">
      <c r="A73" s="28">
        <v>38390</v>
      </c>
      <c r="B73" t="s">
        <v>271</v>
      </c>
      <c r="C73">
        <v>5.99</v>
      </c>
      <c r="D73">
        <v>0.66</v>
      </c>
      <c r="E73">
        <v>5.8</v>
      </c>
    </row>
    <row r="74" spans="1:5">
      <c r="A74" s="28">
        <v>1500</v>
      </c>
      <c r="B74" t="s">
        <v>237</v>
      </c>
      <c r="C74">
        <v>3.58</v>
      </c>
      <c r="D74">
        <v>0.25</v>
      </c>
      <c r="E74">
        <v>5.78</v>
      </c>
    </row>
    <row r="75" spans="1:5">
      <c r="A75" s="28">
        <v>11370</v>
      </c>
      <c r="B75" t="s">
        <v>272</v>
      </c>
      <c r="C75">
        <v>2.23</v>
      </c>
      <c r="D75">
        <v>0.22</v>
      </c>
      <c r="E75">
        <v>5.76</v>
      </c>
    </row>
    <row r="76" spans="1:5">
      <c r="A76" s="28">
        <v>13120</v>
      </c>
      <c r="B76" t="s">
        <v>276</v>
      </c>
      <c r="C76">
        <v>3.08</v>
      </c>
      <c r="D76">
        <v>0.25</v>
      </c>
      <c r="E76">
        <v>5.73</v>
      </c>
    </row>
    <row r="77" spans="1:5">
      <c r="A77" s="28">
        <v>1270</v>
      </c>
      <c r="B77" t="s">
        <v>153</v>
      </c>
      <c r="C77">
        <v>5.58</v>
      </c>
      <c r="D77">
        <v>0.23</v>
      </c>
      <c r="E77">
        <v>5.67</v>
      </c>
    </row>
    <row r="78" spans="1:5">
      <c r="A78" s="28">
        <v>4970</v>
      </c>
      <c r="B78" t="s">
        <v>172</v>
      </c>
      <c r="C78">
        <v>9.81</v>
      </c>
      <c r="D78">
        <v>0.25</v>
      </c>
      <c r="E78">
        <v>5.67</v>
      </c>
    </row>
    <row r="79" spans="1:5">
      <c r="A79" s="28">
        <v>10960</v>
      </c>
      <c r="B79" t="s">
        <v>163</v>
      </c>
      <c r="C79">
        <v>12.7</v>
      </c>
      <c r="D79">
        <v>0.34</v>
      </c>
      <c r="E79">
        <v>5.65</v>
      </c>
    </row>
    <row r="80" spans="1:5">
      <c r="A80" s="28">
        <v>1450</v>
      </c>
      <c r="B80" t="s">
        <v>240</v>
      </c>
      <c r="C80">
        <v>4.91</v>
      </c>
      <c r="D80">
        <v>0.65</v>
      </c>
      <c r="E80">
        <v>5.64</v>
      </c>
    </row>
    <row r="81" spans="1:5">
      <c r="A81" s="28">
        <v>78000</v>
      </c>
      <c r="B81" t="s">
        <v>212</v>
      </c>
      <c r="C81">
        <v>15.48</v>
      </c>
      <c r="D81">
        <v>0.54</v>
      </c>
      <c r="E81">
        <v>5.63</v>
      </c>
    </row>
    <row r="82" spans="1:5">
      <c r="A82" s="28">
        <v>16090</v>
      </c>
      <c r="B82" t="s">
        <v>137</v>
      </c>
      <c r="C82">
        <v>3.42</v>
      </c>
      <c r="D82">
        <v>0.36</v>
      </c>
      <c r="E82">
        <v>5.6</v>
      </c>
    </row>
    <row r="83" spans="1:5">
      <c r="A83" s="28">
        <v>140</v>
      </c>
      <c r="B83" t="s">
        <v>218</v>
      </c>
      <c r="C83">
        <v>6.3</v>
      </c>
      <c r="D83">
        <v>0.34</v>
      </c>
      <c r="E83">
        <v>5.56</v>
      </c>
    </row>
    <row r="84" spans="1:5">
      <c r="A84" s="28">
        <v>98660</v>
      </c>
      <c r="B84" t="s">
        <v>278</v>
      </c>
      <c r="C84">
        <v>15.12</v>
      </c>
      <c r="D84">
        <v>0.81</v>
      </c>
      <c r="E84">
        <v>5.51</v>
      </c>
    </row>
    <row r="85" spans="1:5">
      <c r="A85" s="28">
        <v>39570</v>
      </c>
      <c r="B85" t="s">
        <v>83</v>
      </c>
      <c r="C85">
        <v>15.22</v>
      </c>
      <c r="D85">
        <v>0.72</v>
      </c>
      <c r="E85">
        <v>5.49</v>
      </c>
    </row>
    <row r="86" spans="1:5">
      <c r="A86" s="28">
        <v>3200</v>
      </c>
      <c r="B86" t="s">
        <v>193</v>
      </c>
      <c r="C86">
        <v>1.82</v>
      </c>
      <c r="D86">
        <v>0.24</v>
      </c>
      <c r="E86">
        <v>5.44</v>
      </c>
    </row>
    <row r="87" spans="1:5">
      <c r="A87" s="28">
        <v>37460</v>
      </c>
      <c r="B87" t="s">
        <v>277</v>
      </c>
      <c r="C87">
        <v>2.65</v>
      </c>
      <c r="D87">
        <v>0.41</v>
      </c>
      <c r="E87">
        <v>5.42</v>
      </c>
    </row>
    <row r="88" spans="1:5">
      <c r="A88" s="28">
        <v>16450</v>
      </c>
      <c r="B88" t="s">
        <v>227</v>
      </c>
      <c r="C88">
        <v>8.5299999999999994</v>
      </c>
      <c r="D88">
        <v>0.44</v>
      </c>
      <c r="E88">
        <v>5.4</v>
      </c>
    </row>
    <row r="89" spans="1:5">
      <c r="A89" s="28">
        <v>5940</v>
      </c>
      <c r="B89" t="s">
        <v>103</v>
      </c>
      <c r="C89">
        <v>14.82</v>
      </c>
      <c r="D89">
        <v>0.6</v>
      </c>
      <c r="E89">
        <v>5.36</v>
      </c>
    </row>
    <row r="90" spans="1:5">
      <c r="A90" s="28">
        <v>111710</v>
      </c>
      <c r="B90" t="s">
        <v>280</v>
      </c>
      <c r="C90">
        <v>5.66</v>
      </c>
      <c r="D90">
        <v>0.69</v>
      </c>
      <c r="E90">
        <v>5.28</v>
      </c>
    </row>
    <row r="91" spans="1:5">
      <c r="A91" s="28">
        <v>241770</v>
      </c>
      <c r="B91" t="s">
        <v>281</v>
      </c>
      <c r="C91">
        <v>1.94</v>
      </c>
      <c r="D91">
        <v>0.44</v>
      </c>
      <c r="E91">
        <v>5.28</v>
      </c>
    </row>
    <row r="92" spans="1:5">
      <c r="A92" s="28">
        <v>11560</v>
      </c>
      <c r="B92" t="s">
        <v>275</v>
      </c>
      <c r="C92">
        <v>4.0199999999999996</v>
      </c>
      <c r="D92">
        <v>0.52</v>
      </c>
      <c r="E92">
        <v>5.27</v>
      </c>
    </row>
    <row r="93" spans="1:5">
      <c r="A93" s="28">
        <v>57050</v>
      </c>
      <c r="B93" t="s">
        <v>241</v>
      </c>
      <c r="C93">
        <v>6.54</v>
      </c>
      <c r="D93">
        <v>0.28999999999999998</v>
      </c>
      <c r="E93">
        <v>5.27</v>
      </c>
    </row>
    <row r="94" spans="1:5">
      <c r="A94" s="28">
        <v>6200</v>
      </c>
      <c r="B94" t="s">
        <v>222</v>
      </c>
      <c r="C94">
        <v>2.57</v>
      </c>
      <c r="D94">
        <v>0.28999999999999998</v>
      </c>
      <c r="E94">
        <v>5.26</v>
      </c>
    </row>
    <row r="95" spans="1:5">
      <c r="A95" s="28">
        <v>4990</v>
      </c>
      <c r="B95" t="s">
        <v>148</v>
      </c>
      <c r="C95">
        <v>12.07</v>
      </c>
      <c r="D95">
        <v>0.28999999999999998</v>
      </c>
      <c r="E95">
        <v>5.21</v>
      </c>
    </row>
    <row r="96" spans="1:5">
      <c r="A96" s="28">
        <v>21080</v>
      </c>
      <c r="B96" t="s">
        <v>286</v>
      </c>
      <c r="C96">
        <v>4.8</v>
      </c>
      <c r="D96">
        <v>0.81</v>
      </c>
      <c r="E96">
        <v>5.21</v>
      </c>
    </row>
    <row r="97" spans="1:5">
      <c r="A97" s="28">
        <v>17940</v>
      </c>
      <c r="B97" t="s">
        <v>80</v>
      </c>
      <c r="C97">
        <v>2.82</v>
      </c>
      <c r="D97">
        <v>0.28000000000000003</v>
      </c>
      <c r="E97">
        <v>5.19</v>
      </c>
    </row>
    <row r="98" spans="1:5">
      <c r="A98" s="28">
        <v>86790</v>
      </c>
      <c r="B98" t="s">
        <v>216</v>
      </c>
      <c r="C98">
        <v>5.47</v>
      </c>
      <c r="D98">
        <v>0.52</v>
      </c>
      <c r="E98">
        <v>5.19</v>
      </c>
    </row>
    <row r="99" spans="1:5">
      <c r="A99" s="28">
        <v>194370</v>
      </c>
      <c r="B99" t="s">
        <v>197</v>
      </c>
      <c r="C99">
        <v>3.2</v>
      </c>
      <c r="D99">
        <v>0.81</v>
      </c>
      <c r="E99">
        <v>5.18</v>
      </c>
    </row>
    <row r="100" spans="1:5">
      <c r="A100" s="28">
        <v>14530</v>
      </c>
      <c r="B100" t="s">
        <v>123</v>
      </c>
      <c r="C100">
        <v>6.52</v>
      </c>
      <c r="D100">
        <v>0.67</v>
      </c>
      <c r="E100">
        <v>5.17</v>
      </c>
    </row>
    <row r="101" spans="1:5">
      <c r="A101" s="28">
        <v>129260</v>
      </c>
      <c r="B101" t="s">
        <v>191</v>
      </c>
      <c r="C101">
        <v>2.13</v>
      </c>
      <c r="D101">
        <v>0.26</v>
      </c>
      <c r="E101">
        <v>5.16</v>
      </c>
    </row>
    <row r="102" spans="1:5">
      <c r="A102" s="28">
        <v>3800</v>
      </c>
      <c r="B102" t="s">
        <v>279</v>
      </c>
      <c r="C102">
        <v>4.88</v>
      </c>
      <c r="D102">
        <v>0.44</v>
      </c>
      <c r="E102">
        <v>5.15</v>
      </c>
    </row>
    <row r="103" spans="1:5">
      <c r="A103" s="28">
        <v>1430</v>
      </c>
      <c r="B103" t="s">
        <v>165</v>
      </c>
      <c r="C103">
        <v>9.06</v>
      </c>
      <c r="D103">
        <v>0.44</v>
      </c>
      <c r="E103">
        <v>5.15</v>
      </c>
    </row>
    <row r="104" spans="1:5">
      <c r="A104" s="28">
        <v>3690</v>
      </c>
      <c r="B104" t="s">
        <v>202</v>
      </c>
      <c r="C104">
        <v>8.67</v>
      </c>
      <c r="D104">
        <v>0.43</v>
      </c>
      <c r="E104">
        <v>5.14</v>
      </c>
    </row>
    <row r="105" spans="1:5">
      <c r="A105" s="28">
        <v>19210</v>
      </c>
      <c r="B105" t="s">
        <v>284</v>
      </c>
      <c r="C105">
        <v>5.69</v>
      </c>
      <c r="D105">
        <v>0.53</v>
      </c>
      <c r="E105">
        <v>5.14</v>
      </c>
    </row>
    <row r="106" spans="1:5">
      <c r="A106" s="28">
        <v>2900</v>
      </c>
      <c r="B106" t="s">
        <v>115</v>
      </c>
      <c r="C106">
        <v>2.58</v>
      </c>
      <c r="D106">
        <v>0.75</v>
      </c>
      <c r="E106">
        <v>5.14</v>
      </c>
    </row>
    <row r="107" spans="1:5">
      <c r="A107" s="28">
        <v>5440</v>
      </c>
      <c r="B107" t="s">
        <v>236</v>
      </c>
      <c r="C107">
        <v>6.41</v>
      </c>
      <c r="D107">
        <v>0.2</v>
      </c>
      <c r="E107">
        <v>5.12</v>
      </c>
    </row>
    <row r="108" spans="1:5">
      <c r="A108" s="28">
        <v>30200</v>
      </c>
      <c r="B108" t="s">
        <v>94</v>
      </c>
      <c r="C108">
        <v>7.4</v>
      </c>
      <c r="D108">
        <v>0.59</v>
      </c>
      <c r="E108">
        <v>5.08</v>
      </c>
    </row>
    <row r="109" spans="1:5">
      <c r="A109" s="28">
        <v>9160</v>
      </c>
      <c r="B109" t="s">
        <v>107</v>
      </c>
      <c r="C109">
        <v>2.87</v>
      </c>
      <c r="D109">
        <v>0.36</v>
      </c>
      <c r="E109">
        <v>5.04</v>
      </c>
    </row>
    <row r="110" spans="1:5">
      <c r="A110" s="28">
        <v>78930</v>
      </c>
      <c r="B110" t="s">
        <v>81</v>
      </c>
      <c r="C110">
        <v>2.2000000000000002</v>
      </c>
      <c r="D110">
        <v>0.37</v>
      </c>
      <c r="E110">
        <v>5.03</v>
      </c>
    </row>
    <row r="111" spans="1:5">
      <c r="A111" s="28">
        <v>155650</v>
      </c>
      <c r="B111" t="s">
        <v>282</v>
      </c>
      <c r="C111">
        <v>4.79</v>
      </c>
      <c r="D111">
        <v>0.85</v>
      </c>
      <c r="E111">
        <v>5.01</v>
      </c>
    </row>
    <row r="112" spans="1:5">
      <c r="A112" s="28">
        <v>15890</v>
      </c>
      <c r="B112" t="s">
        <v>209</v>
      </c>
      <c r="C112">
        <v>5.2</v>
      </c>
      <c r="D112">
        <v>0.6</v>
      </c>
      <c r="E112">
        <v>5</v>
      </c>
    </row>
    <row r="113" spans="1:5">
      <c r="A113" s="28">
        <v>244920</v>
      </c>
      <c r="B113" t="s">
        <v>181</v>
      </c>
      <c r="C113">
        <v>1.8</v>
      </c>
      <c r="D113">
        <v>0.62</v>
      </c>
      <c r="E113">
        <v>4.9800000000000004</v>
      </c>
    </row>
    <row r="114" spans="1:5">
      <c r="A114" s="28">
        <v>93050</v>
      </c>
      <c r="B114" t="s">
        <v>97</v>
      </c>
      <c r="C114">
        <v>2.64</v>
      </c>
      <c r="D114">
        <v>0.27</v>
      </c>
      <c r="E114">
        <v>4.95</v>
      </c>
    </row>
    <row r="115" spans="1:5">
      <c r="A115" s="28">
        <v>34590</v>
      </c>
      <c r="B115" t="s">
        <v>190</v>
      </c>
      <c r="C115">
        <v>8.58</v>
      </c>
      <c r="D115">
        <v>0.52</v>
      </c>
      <c r="E115">
        <v>4.93</v>
      </c>
    </row>
    <row r="116" spans="1:5">
      <c r="A116" s="28">
        <v>9580</v>
      </c>
      <c r="B116" t="s">
        <v>150</v>
      </c>
      <c r="C116">
        <v>4.22</v>
      </c>
      <c r="D116">
        <v>0.28999999999999998</v>
      </c>
      <c r="E116">
        <v>4.93</v>
      </c>
    </row>
    <row r="117" spans="1:5">
      <c r="A117" s="28">
        <v>9680</v>
      </c>
      <c r="B117" t="s">
        <v>149</v>
      </c>
      <c r="C117">
        <v>8.2100000000000009</v>
      </c>
      <c r="D117">
        <v>0.41</v>
      </c>
      <c r="E117">
        <v>4.93</v>
      </c>
    </row>
    <row r="118" spans="1:5">
      <c r="A118" s="28">
        <v>2460</v>
      </c>
      <c r="B118" t="s">
        <v>243</v>
      </c>
      <c r="C118">
        <v>4.5599999999999996</v>
      </c>
      <c r="D118">
        <v>0.26</v>
      </c>
      <c r="E118">
        <v>4.92</v>
      </c>
    </row>
    <row r="119" spans="1:5">
      <c r="A119" s="28">
        <v>1800</v>
      </c>
      <c r="B119" t="s">
        <v>185</v>
      </c>
      <c r="C119">
        <v>8.3800000000000008</v>
      </c>
      <c r="D119">
        <v>0.4</v>
      </c>
      <c r="E119">
        <v>4.88</v>
      </c>
    </row>
    <row r="120" spans="1:5">
      <c r="A120" s="28">
        <v>96770</v>
      </c>
      <c r="B120" t="s">
        <v>111</v>
      </c>
      <c r="C120">
        <v>6.63</v>
      </c>
      <c r="D120">
        <v>0.53</v>
      </c>
      <c r="E120">
        <v>4.84</v>
      </c>
    </row>
    <row r="121" spans="1:5">
      <c r="A121" s="28">
        <v>70</v>
      </c>
      <c r="B121" t="s">
        <v>157</v>
      </c>
      <c r="C121">
        <v>7.93</v>
      </c>
      <c r="D121">
        <v>0.3</v>
      </c>
      <c r="E121">
        <v>4.8099999999999996</v>
      </c>
    </row>
    <row r="122" spans="1:5">
      <c r="A122" s="28">
        <v>8370</v>
      </c>
      <c r="B122" t="s">
        <v>285</v>
      </c>
      <c r="C122">
        <v>5.63</v>
      </c>
      <c r="D122">
        <v>0.55000000000000004</v>
      </c>
      <c r="E122">
        <v>4.8099999999999996</v>
      </c>
    </row>
    <row r="123" spans="1:5">
      <c r="A123" s="28">
        <v>300720</v>
      </c>
      <c r="B123" t="s">
        <v>232</v>
      </c>
      <c r="C123">
        <v>10.7</v>
      </c>
      <c r="D123">
        <v>0.57999999999999996</v>
      </c>
      <c r="E123">
        <v>4.76</v>
      </c>
    </row>
    <row r="124" spans="1:5">
      <c r="A124" s="28">
        <v>3080</v>
      </c>
      <c r="B124" t="s">
        <v>164</v>
      </c>
      <c r="C124">
        <v>14.22</v>
      </c>
      <c r="D124">
        <v>0.41</v>
      </c>
      <c r="E124">
        <v>4.66</v>
      </c>
    </row>
    <row r="125" spans="1:5">
      <c r="A125" s="28">
        <v>36190</v>
      </c>
      <c r="B125" t="s">
        <v>283</v>
      </c>
      <c r="C125">
        <v>5.93</v>
      </c>
      <c r="D125">
        <v>0.55000000000000004</v>
      </c>
      <c r="E125">
        <v>4.66</v>
      </c>
    </row>
    <row r="126" spans="1:5">
      <c r="A126" s="28">
        <v>124560</v>
      </c>
      <c r="B126" t="s">
        <v>292</v>
      </c>
      <c r="C126">
        <v>1.3</v>
      </c>
      <c r="D126">
        <v>0.57999999999999996</v>
      </c>
      <c r="E126">
        <v>4.6399999999999997</v>
      </c>
    </row>
    <row r="127" spans="1:5">
      <c r="A127" s="28">
        <v>227840</v>
      </c>
      <c r="B127" t="s">
        <v>239</v>
      </c>
      <c r="C127">
        <v>2.87</v>
      </c>
      <c r="D127">
        <v>0.43</v>
      </c>
      <c r="E127">
        <v>4.57</v>
      </c>
    </row>
    <row r="128" spans="1:5">
      <c r="A128" s="28">
        <v>267290</v>
      </c>
      <c r="B128" t="s">
        <v>117</v>
      </c>
      <c r="C128">
        <v>4.7</v>
      </c>
      <c r="D128">
        <v>0.28999999999999998</v>
      </c>
      <c r="E128">
        <v>4.53</v>
      </c>
    </row>
    <row r="129" spans="1:5">
      <c r="A129" s="28">
        <v>950</v>
      </c>
      <c r="B129" t="s">
        <v>196</v>
      </c>
      <c r="C129">
        <v>0.38</v>
      </c>
      <c r="D129">
        <v>0.12</v>
      </c>
      <c r="E129">
        <v>4.49</v>
      </c>
    </row>
    <row r="130" spans="1:5">
      <c r="A130" s="28">
        <v>23410</v>
      </c>
      <c r="B130" t="s">
        <v>288</v>
      </c>
      <c r="C130">
        <v>9.35</v>
      </c>
      <c r="D130">
        <v>0.3</v>
      </c>
      <c r="E130">
        <v>4.47</v>
      </c>
    </row>
    <row r="131" spans="1:5">
      <c r="A131" s="28">
        <v>23760</v>
      </c>
      <c r="B131" t="s">
        <v>291</v>
      </c>
      <c r="C131">
        <v>3.17</v>
      </c>
      <c r="D131">
        <v>0.43</v>
      </c>
      <c r="E131">
        <v>4.42</v>
      </c>
    </row>
    <row r="132" spans="1:5">
      <c r="A132" s="28">
        <v>192400</v>
      </c>
      <c r="B132" t="s">
        <v>206</v>
      </c>
      <c r="C132">
        <v>4.8099999999999996</v>
      </c>
      <c r="D132">
        <v>0.57999999999999996</v>
      </c>
      <c r="E132">
        <v>4.42</v>
      </c>
    </row>
    <row r="133" spans="1:5">
      <c r="A133" s="28">
        <v>383800</v>
      </c>
      <c r="B133" t="s">
        <v>101</v>
      </c>
      <c r="C133">
        <v>3.21</v>
      </c>
      <c r="D133">
        <v>0.33</v>
      </c>
      <c r="E133">
        <v>4.41</v>
      </c>
    </row>
    <row r="134" spans="1:5">
      <c r="A134" s="28">
        <v>102260</v>
      </c>
      <c r="B134" t="s">
        <v>141</v>
      </c>
      <c r="C134">
        <v>6.36</v>
      </c>
      <c r="D134">
        <v>0.59</v>
      </c>
      <c r="E134">
        <v>4.41</v>
      </c>
    </row>
    <row r="135" spans="1:5">
      <c r="A135" s="28">
        <v>204610</v>
      </c>
      <c r="B135" t="s">
        <v>287</v>
      </c>
      <c r="C135">
        <v>6.2</v>
      </c>
      <c r="D135">
        <v>0.91</v>
      </c>
      <c r="E135">
        <v>4.4000000000000004</v>
      </c>
    </row>
    <row r="136" spans="1:5">
      <c r="A136" s="28">
        <v>4960</v>
      </c>
      <c r="B136" t="s">
        <v>230</v>
      </c>
      <c r="C136">
        <v>1.74</v>
      </c>
      <c r="D136">
        <v>0.11</v>
      </c>
      <c r="E136">
        <v>4.38</v>
      </c>
    </row>
    <row r="137" spans="1:5">
      <c r="A137" s="28">
        <v>306200</v>
      </c>
      <c r="B137" t="s">
        <v>166</v>
      </c>
      <c r="C137">
        <v>2.42</v>
      </c>
      <c r="D137">
        <v>0.47</v>
      </c>
      <c r="E137">
        <v>4.3499999999999996</v>
      </c>
    </row>
    <row r="138" spans="1:5">
      <c r="A138" s="28">
        <v>109860</v>
      </c>
      <c r="B138" t="s">
        <v>294</v>
      </c>
      <c r="C138">
        <v>5.65</v>
      </c>
      <c r="D138">
        <v>0.51</v>
      </c>
      <c r="E138">
        <v>4.3</v>
      </c>
    </row>
    <row r="139" spans="1:5">
      <c r="A139" s="28">
        <v>5810</v>
      </c>
      <c r="B139" t="s">
        <v>215</v>
      </c>
      <c r="C139">
        <v>5.87</v>
      </c>
      <c r="D139">
        <v>0.45</v>
      </c>
      <c r="E139">
        <v>4.3</v>
      </c>
    </row>
    <row r="140" spans="1:5">
      <c r="A140" s="28">
        <v>2810</v>
      </c>
      <c r="B140" t="s">
        <v>158</v>
      </c>
      <c r="C140">
        <v>4.57</v>
      </c>
      <c r="D140">
        <v>0.53</v>
      </c>
      <c r="E140">
        <v>4.3</v>
      </c>
    </row>
    <row r="141" spans="1:5">
      <c r="A141" s="28">
        <v>2920</v>
      </c>
      <c r="B141" t="s">
        <v>187</v>
      </c>
      <c r="C141">
        <v>3.78</v>
      </c>
      <c r="D141">
        <v>0.25</v>
      </c>
      <c r="E141">
        <v>4.29</v>
      </c>
    </row>
    <row r="142" spans="1:5">
      <c r="A142" s="28">
        <v>4590</v>
      </c>
      <c r="B142" t="s">
        <v>290</v>
      </c>
      <c r="C142">
        <v>5.19</v>
      </c>
      <c r="D142">
        <v>0.37</v>
      </c>
      <c r="E142">
        <v>4.29</v>
      </c>
    </row>
    <row r="143" spans="1:5">
      <c r="A143" s="28">
        <v>39240</v>
      </c>
      <c r="B143" t="s">
        <v>293</v>
      </c>
      <c r="C143">
        <v>8.4600000000000009</v>
      </c>
      <c r="D143">
        <v>0.79</v>
      </c>
      <c r="E143">
        <v>4.29</v>
      </c>
    </row>
    <row r="144" spans="1:5">
      <c r="A144" s="28">
        <v>3070</v>
      </c>
      <c r="B144" t="s">
        <v>204</v>
      </c>
      <c r="C144">
        <v>1.64</v>
      </c>
      <c r="D144">
        <v>0.41</v>
      </c>
      <c r="E144">
        <v>4.28</v>
      </c>
    </row>
    <row r="145" spans="1:5">
      <c r="A145" s="28">
        <v>18670</v>
      </c>
      <c r="B145" t="s">
        <v>108</v>
      </c>
      <c r="C145">
        <v>5.31</v>
      </c>
      <c r="D145">
        <v>0.57999999999999996</v>
      </c>
      <c r="E145">
        <v>4.28</v>
      </c>
    </row>
    <row r="146" spans="1:5">
      <c r="A146" s="28">
        <v>104700</v>
      </c>
      <c r="B146" t="s">
        <v>224</v>
      </c>
      <c r="C146">
        <v>3.42</v>
      </c>
      <c r="D146">
        <v>0.35</v>
      </c>
      <c r="E146">
        <v>4.2699999999999996</v>
      </c>
    </row>
    <row r="147" spans="1:5">
      <c r="A147" s="28">
        <v>320</v>
      </c>
      <c r="B147" t="s">
        <v>127</v>
      </c>
      <c r="C147">
        <v>4.92</v>
      </c>
      <c r="D147">
        <v>0.31</v>
      </c>
      <c r="E147">
        <v>4.25</v>
      </c>
    </row>
    <row r="148" spans="1:5">
      <c r="A148" s="28">
        <v>53620</v>
      </c>
      <c r="B148" t="s">
        <v>295</v>
      </c>
      <c r="C148">
        <v>8.65</v>
      </c>
      <c r="D148">
        <v>0.33</v>
      </c>
      <c r="E148">
        <v>4.2</v>
      </c>
    </row>
    <row r="149" spans="1:5">
      <c r="A149" s="28">
        <v>111110</v>
      </c>
      <c r="B149" t="s">
        <v>242</v>
      </c>
      <c r="C149">
        <v>2.44</v>
      </c>
      <c r="D149">
        <v>0.49</v>
      </c>
      <c r="E149">
        <v>4.2</v>
      </c>
    </row>
    <row r="150" spans="1:5">
      <c r="A150" s="28">
        <v>1680</v>
      </c>
      <c r="B150" t="s">
        <v>131</v>
      </c>
      <c r="C150">
        <v>8.27</v>
      </c>
      <c r="D150">
        <v>0.51</v>
      </c>
      <c r="E150">
        <v>4.1900000000000004</v>
      </c>
    </row>
    <row r="151" spans="1:5">
      <c r="A151" s="28">
        <v>121440</v>
      </c>
      <c r="B151" t="s">
        <v>297</v>
      </c>
      <c r="C151">
        <v>1.91</v>
      </c>
      <c r="D151">
        <v>0.24</v>
      </c>
      <c r="E151">
        <v>4.1900000000000004</v>
      </c>
    </row>
    <row r="152" spans="1:5">
      <c r="A152" s="28">
        <v>79000</v>
      </c>
      <c r="B152" t="s">
        <v>296</v>
      </c>
      <c r="C152">
        <v>6.5</v>
      </c>
      <c r="D152">
        <v>0.44</v>
      </c>
      <c r="E152">
        <v>4.17</v>
      </c>
    </row>
    <row r="153" spans="1:5">
      <c r="A153" s="28">
        <v>44450</v>
      </c>
      <c r="B153" t="s">
        <v>93</v>
      </c>
      <c r="C153">
        <v>4.1900000000000004</v>
      </c>
      <c r="D153">
        <v>0.47</v>
      </c>
      <c r="E153">
        <v>4.1500000000000004</v>
      </c>
    </row>
    <row r="154" spans="1:5">
      <c r="A154" s="28">
        <v>35510</v>
      </c>
      <c r="B154" t="s">
        <v>173</v>
      </c>
      <c r="C154">
        <v>1.91</v>
      </c>
      <c r="D154">
        <v>0.44</v>
      </c>
      <c r="E154">
        <v>4.1100000000000003</v>
      </c>
    </row>
    <row r="155" spans="1:5">
      <c r="A155" s="28">
        <v>147830</v>
      </c>
      <c r="B155" t="s">
        <v>289</v>
      </c>
      <c r="C155">
        <v>8.06</v>
      </c>
      <c r="D155">
        <v>0.99</v>
      </c>
      <c r="E155">
        <v>4.07</v>
      </c>
    </row>
    <row r="156" spans="1:5">
      <c r="A156" s="28">
        <v>46440</v>
      </c>
      <c r="B156" t="s">
        <v>302</v>
      </c>
      <c r="C156">
        <v>7.16</v>
      </c>
      <c r="D156">
        <v>0.65</v>
      </c>
      <c r="E156">
        <v>4.07</v>
      </c>
    </row>
    <row r="157" spans="1:5">
      <c r="A157" s="28">
        <v>58860</v>
      </c>
      <c r="B157" t="s">
        <v>96</v>
      </c>
      <c r="C157">
        <v>5.9</v>
      </c>
      <c r="D157">
        <v>0.46</v>
      </c>
      <c r="E157">
        <v>4.0599999999999996</v>
      </c>
    </row>
    <row r="158" spans="1:5">
      <c r="A158" s="28">
        <v>16360</v>
      </c>
      <c r="B158" t="s">
        <v>155</v>
      </c>
      <c r="C158">
        <v>8.8699999999999992</v>
      </c>
      <c r="D158">
        <v>0.6</v>
      </c>
      <c r="E158">
        <v>4.05</v>
      </c>
    </row>
    <row r="159" spans="1:5">
      <c r="A159" s="28">
        <v>115310</v>
      </c>
      <c r="B159" t="s">
        <v>299</v>
      </c>
      <c r="C159">
        <v>7.95</v>
      </c>
      <c r="D159">
        <v>0.47</v>
      </c>
      <c r="E159">
        <v>4.04</v>
      </c>
    </row>
    <row r="160" spans="1:5">
      <c r="A160" s="28">
        <v>3470</v>
      </c>
      <c r="B160" t="s">
        <v>189</v>
      </c>
      <c r="C160">
        <v>13.06</v>
      </c>
      <c r="D160">
        <v>0.34</v>
      </c>
      <c r="E160">
        <v>4.03</v>
      </c>
    </row>
    <row r="161" spans="1:5">
      <c r="A161" s="28">
        <v>30210</v>
      </c>
      <c r="B161" t="s">
        <v>129</v>
      </c>
      <c r="C161">
        <v>3.65</v>
      </c>
      <c r="D161">
        <v>0.33</v>
      </c>
      <c r="E161">
        <v>4.03</v>
      </c>
    </row>
    <row r="162" spans="1:5">
      <c r="A162" s="28">
        <v>332370</v>
      </c>
      <c r="B162" t="s">
        <v>298</v>
      </c>
      <c r="C162">
        <v>4.8</v>
      </c>
      <c r="D162">
        <v>0.98</v>
      </c>
      <c r="E162">
        <v>4.0199999999999996</v>
      </c>
    </row>
    <row r="163" spans="1:5">
      <c r="A163" s="28">
        <v>55550</v>
      </c>
      <c r="B163" t="s">
        <v>177</v>
      </c>
      <c r="C163">
        <v>6.09</v>
      </c>
      <c r="D163">
        <v>0.54</v>
      </c>
      <c r="E163">
        <v>4.01</v>
      </c>
    </row>
    <row r="164" spans="1:5">
      <c r="A164" s="28">
        <v>2100</v>
      </c>
      <c r="B164" t="s">
        <v>116</v>
      </c>
      <c r="C164">
        <v>6.66</v>
      </c>
      <c r="D164">
        <v>0.77</v>
      </c>
      <c r="E164">
        <v>4</v>
      </c>
    </row>
    <row r="165" spans="1:5">
      <c r="A165" s="28">
        <v>29530</v>
      </c>
      <c r="B165" t="s">
        <v>171</v>
      </c>
      <c r="C165">
        <v>7.51</v>
      </c>
      <c r="D165">
        <v>0.34</v>
      </c>
      <c r="E165">
        <v>3.99</v>
      </c>
    </row>
    <row r="166" spans="1:5">
      <c r="A166" s="28">
        <v>7590</v>
      </c>
      <c r="B166" t="s">
        <v>139</v>
      </c>
      <c r="C166">
        <v>11.5</v>
      </c>
      <c r="D166">
        <v>0.52</v>
      </c>
      <c r="E166">
        <v>3.98</v>
      </c>
    </row>
    <row r="167" spans="1:5">
      <c r="A167" s="28">
        <v>6390</v>
      </c>
      <c r="B167" t="s">
        <v>233</v>
      </c>
      <c r="C167">
        <v>7.66</v>
      </c>
      <c r="D167">
        <v>0.8</v>
      </c>
      <c r="E167">
        <v>3.98</v>
      </c>
    </row>
    <row r="168" spans="1:5">
      <c r="A168" s="28">
        <v>51390</v>
      </c>
      <c r="B168" t="s">
        <v>300</v>
      </c>
      <c r="C168">
        <v>10.74</v>
      </c>
      <c r="D168">
        <v>0.43</v>
      </c>
      <c r="E168">
        <v>3.97</v>
      </c>
    </row>
    <row r="169" spans="1:5">
      <c r="A169" s="28">
        <v>363280</v>
      </c>
      <c r="B169" t="s">
        <v>213</v>
      </c>
      <c r="C169">
        <v>1.47</v>
      </c>
      <c r="D169">
        <v>0.09</v>
      </c>
      <c r="E169">
        <v>3.97</v>
      </c>
    </row>
    <row r="170" spans="1:5">
      <c r="A170" s="28">
        <v>2450</v>
      </c>
      <c r="B170" t="s">
        <v>161</v>
      </c>
      <c r="C170">
        <v>6.78</v>
      </c>
      <c r="D170">
        <v>0.39</v>
      </c>
      <c r="E170">
        <v>3.97</v>
      </c>
    </row>
    <row r="171" spans="1:5">
      <c r="A171" s="28">
        <v>92220</v>
      </c>
      <c r="B171" t="s">
        <v>91</v>
      </c>
      <c r="C171">
        <v>10.84</v>
      </c>
      <c r="D171">
        <v>0.79</v>
      </c>
      <c r="E171">
        <v>3.96</v>
      </c>
    </row>
    <row r="172" spans="1:5">
      <c r="A172" s="28">
        <v>5500</v>
      </c>
      <c r="B172" t="s">
        <v>162</v>
      </c>
      <c r="C172">
        <v>11.72</v>
      </c>
      <c r="D172">
        <v>0.97</v>
      </c>
      <c r="E172">
        <v>3.95</v>
      </c>
    </row>
    <row r="173" spans="1:5">
      <c r="A173" s="28">
        <v>4150</v>
      </c>
      <c r="B173" t="s">
        <v>229</v>
      </c>
      <c r="C173">
        <v>2.66</v>
      </c>
      <c r="D173">
        <v>0.22</v>
      </c>
      <c r="E173">
        <v>3.95</v>
      </c>
    </row>
    <row r="174" spans="1:5">
      <c r="A174" s="28">
        <v>23150</v>
      </c>
      <c r="B174" t="s">
        <v>102</v>
      </c>
      <c r="C174">
        <v>8.36</v>
      </c>
      <c r="D174">
        <v>0.63</v>
      </c>
      <c r="E174">
        <v>3.91</v>
      </c>
    </row>
    <row r="175" spans="1:5">
      <c r="A175" s="28">
        <v>10240</v>
      </c>
      <c r="B175" t="s">
        <v>304</v>
      </c>
      <c r="C175">
        <v>7.61</v>
      </c>
      <c r="D175">
        <v>0.71</v>
      </c>
      <c r="E175">
        <v>3.91</v>
      </c>
    </row>
    <row r="176" spans="1:5">
      <c r="A176" s="28">
        <v>136540</v>
      </c>
      <c r="B176" t="s">
        <v>301</v>
      </c>
      <c r="C176">
        <v>8.36</v>
      </c>
      <c r="D176">
        <v>0.94</v>
      </c>
      <c r="E176">
        <v>3.89</v>
      </c>
    </row>
    <row r="177" spans="1:5">
      <c r="A177" s="28">
        <v>240</v>
      </c>
      <c r="B177" t="s">
        <v>220</v>
      </c>
      <c r="C177">
        <v>9.59</v>
      </c>
      <c r="D177">
        <v>0.41</v>
      </c>
      <c r="E177">
        <v>3.87</v>
      </c>
    </row>
    <row r="178" spans="1:5">
      <c r="A178" s="28">
        <v>11780</v>
      </c>
      <c r="B178" t="s">
        <v>125</v>
      </c>
      <c r="C178">
        <v>3.76</v>
      </c>
      <c r="D178">
        <v>0.6</v>
      </c>
      <c r="E178">
        <v>3.85</v>
      </c>
    </row>
    <row r="179" spans="1:5">
      <c r="A179" s="28">
        <v>101240</v>
      </c>
      <c r="B179" t="s">
        <v>307</v>
      </c>
      <c r="C179">
        <v>7.93</v>
      </c>
      <c r="D179">
        <v>0.66</v>
      </c>
      <c r="E179">
        <v>3.85</v>
      </c>
    </row>
    <row r="180" spans="1:5">
      <c r="A180" s="28">
        <v>161000</v>
      </c>
      <c r="B180" t="s">
        <v>179</v>
      </c>
      <c r="C180">
        <v>11.55</v>
      </c>
      <c r="D180">
        <v>0.95</v>
      </c>
      <c r="E180">
        <v>3.81</v>
      </c>
    </row>
    <row r="181" spans="1:5">
      <c r="A181" s="28">
        <v>13890</v>
      </c>
      <c r="B181" t="s">
        <v>199</v>
      </c>
      <c r="C181">
        <v>9.19</v>
      </c>
      <c r="D181">
        <v>0.45</v>
      </c>
      <c r="E181">
        <v>3.81</v>
      </c>
    </row>
    <row r="182" spans="1:5">
      <c r="A182" s="28">
        <v>30720</v>
      </c>
      <c r="B182" t="s">
        <v>143</v>
      </c>
      <c r="C182">
        <v>4.95</v>
      </c>
      <c r="D182">
        <v>0.49</v>
      </c>
      <c r="E182">
        <v>3.8</v>
      </c>
    </row>
    <row r="183" spans="1:5">
      <c r="A183" s="28">
        <v>20000</v>
      </c>
      <c r="B183" t="s">
        <v>226</v>
      </c>
      <c r="C183">
        <v>3.52</v>
      </c>
      <c r="D183">
        <v>0.32</v>
      </c>
      <c r="E183">
        <v>3.8</v>
      </c>
    </row>
    <row r="184" spans="1:5">
      <c r="A184" s="28">
        <v>32540</v>
      </c>
      <c r="B184" t="s">
        <v>380</v>
      </c>
      <c r="C184">
        <v>18.850000000000001</v>
      </c>
      <c r="D184">
        <v>0.99</v>
      </c>
      <c r="E184">
        <v>3.79</v>
      </c>
    </row>
    <row r="185" spans="1:5">
      <c r="A185" s="28">
        <v>6120</v>
      </c>
      <c r="B185" t="s">
        <v>109</v>
      </c>
      <c r="C185">
        <v>2.09</v>
      </c>
      <c r="D185">
        <v>0.3</v>
      </c>
      <c r="E185">
        <v>3.76</v>
      </c>
    </row>
    <row r="186" spans="1:5">
      <c r="A186" s="28">
        <v>2600</v>
      </c>
      <c r="B186" t="s">
        <v>198</v>
      </c>
      <c r="C186">
        <v>9.31</v>
      </c>
      <c r="D186">
        <v>0.67</v>
      </c>
      <c r="E186">
        <v>3.76</v>
      </c>
    </row>
    <row r="187" spans="1:5">
      <c r="A187" s="28">
        <v>30610</v>
      </c>
      <c r="B187" t="s">
        <v>121</v>
      </c>
      <c r="C187">
        <v>7.84</v>
      </c>
      <c r="D187">
        <v>0.22</v>
      </c>
      <c r="E187">
        <v>3.75</v>
      </c>
    </row>
    <row r="188" spans="1:5">
      <c r="A188" s="28">
        <v>105560</v>
      </c>
      <c r="B188" t="s">
        <v>89</v>
      </c>
      <c r="C188">
        <v>7.17</v>
      </c>
      <c r="D188">
        <v>0.63</v>
      </c>
      <c r="E188">
        <v>3.75</v>
      </c>
    </row>
    <row r="189" spans="1:5">
      <c r="A189" s="28">
        <v>91700</v>
      </c>
      <c r="B189" t="s">
        <v>303</v>
      </c>
      <c r="C189">
        <v>11.41</v>
      </c>
      <c r="D189">
        <v>0.91</v>
      </c>
      <c r="E189">
        <v>3.75</v>
      </c>
    </row>
    <row r="190" spans="1:5">
      <c r="A190" s="28">
        <v>293480</v>
      </c>
      <c r="B190" t="s">
        <v>217</v>
      </c>
      <c r="C190">
        <v>9.7200000000000006</v>
      </c>
      <c r="D190">
        <v>0.88</v>
      </c>
      <c r="E190">
        <v>3.74</v>
      </c>
    </row>
    <row r="191" spans="1:5">
      <c r="A191" s="28">
        <v>49960</v>
      </c>
      <c r="B191" t="s">
        <v>310</v>
      </c>
      <c r="C191">
        <v>10.039999999999999</v>
      </c>
      <c r="D191">
        <v>0.76</v>
      </c>
      <c r="E191">
        <v>3.73</v>
      </c>
    </row>
    <row r="192" spans="1:5">
      <c r="A192" s="28">
        <v>37760</v>
      </c>
      <c r="B192" t="s">
        <v>313</v>
      </c>
      <c r="C192">
        <v>4.9400000000000004</v>
      </c>
      <c r="D192">
        <v>0.47</v>
      </c>
      <c r="E192">
        <v>3.72</v>
      </c>
    </row>
    <row r="193" spans="1:5">
      <c r="A193" s="28">
        <v>54040</v>
      </c>
      <c r="B193" t="s">
        <v>311</v>
      </c>
      <c r="C193">
        <v>6.11</v>
      </c>
      <c r="D193">
        <v>0.79</v>
      </c>
      <c r="E193">
        <v>3.71</v>
      </c>
    </row>
    <row r="194" spans="1:5">
      <c r="A194" s="28">
        <v>72710</v>
      </c>
      <c r="B194" t="s">
        <v>128</v>
      </c>
      <c r="C194">
        <v>9.18</v>
      </c>
      <c r="D194">
        <v>0.28999999999999998</v>
      </c>
      <c r="E194">
        <v>3.7</v>
      </c>
    </row>
    <row r="195" spans="1:5">
      <c r="A195" s="28">
        <v>1790</v>
      </c>
      <c r="B195" t="s">
        <v>135</v>
      </c>
      <c r="C195">
        <v>11.76</v>
      </c>
      <c r="D195">
        <v>0.54</v>
      </c>
      <c r="E195">
        <v>3.7</v>
      </c>
    </row>
    <row r="196" spans="1:5">
      <c r="A196" s="28">
        <v>263770</v>
      </c>
      <c r="B196" t="s">
        <v>314</v>
      </c>
      <c r="C196">
        <v>5.0999999999999996</v>
      </c>
      <c r="D196">
        <v>0.92</v>
      </c>
      <c r="E196">
        <v>3.68</v>
      </c>
    </row>
    <row r="197" spans="1:5">
      <c r="A197" s="28">
        <v>34120</v>
      </c>
      <c r="B197" t="s">
        <v>105</v>
      </c>
      <c r="C197">
        <v>3.16</v>
      </c>
      <c r="D197">
        <v>0.59</v>
      </c>
      <c r="E197">
        <v>3.67</v>
      </c>
    </row>
    <row r="198" spans="1:5">
      <c r="A198" s="28">
        <v>23000</v>
      </c>
      <c r="B198" t="s">
        <v>160</v>
      </c>
      <c r="C198">
        <v>8.82</v>
      </c>
      <c r="D198">
        <v>0.5</v>
      </c>
      <c r="E198">
        <v>3.64</v>
      </c>
    </row>
    <row r="199" spans="1:5">
      <c r="A199" s="28">
        <v>2290</v>
      </c>
      <c r="B199" t="s">
        <v>321</v>
      </c>
      <c r="C199">
        <v>17.16</v>
      </c>
      <c r="D199">
        <v>0.68</v>
      </c>
      <c r="E199">
        <v>3.62</v>
      </c>
    </row>
    <row r="200" spans="1:5">
      <c r="A200" s="28">
        <v>111770</v>
      </c>
      <c r="B200" t="s">
        <v>182</v>
      </c>
      <c r="C200">
        <v>2.76</v>
      </c>
      <c r="D200">
        <v>0.66</v>
      </c>
      <c r="E200">
        <v>3.6</v>
      </c>
    </row>
    <row r="201" spans="1:5">
      <c r="A201" s="28">
        <v>15230</v>
      </c>
      <c r="B201" t="s">
        <v>133</v>
      </c>
      <c r="C201">
        <v>3.92</v>
      </c>
      <c r="D201">
        <v>0.61</v>
      </c>
      <c r="E201">
        <v>3.6</v>
      </c>
    </row>
    <row r="202" spans="1:5">
      <c r="A202" s="28">
        <v>91590</v>
      </c>
      <c r="B202" t="s">
        <v>324</v>
      </c>
      <c r="C202">
        <v>3.23</v>
      </c>
      <c r="D202">
        <v>0.39</v>
      </c>
      <c r="E202">
        <v>3.6</v>
      </c>
    </row>
    <row r="203" spans="1:5">
      <c r="A203" s="28">
        <v>7690</v>
      </c>
      <c r="B203" t="s">
        <v>122</v>
      </c>
      <c r="C203">
        <v>4.53</v>
      </c>
      <c r="D203">
        <v>0.39</v>
      </c>
      <c r="E203">
        <v>3.59</v>
      </c>
    </row>
    <row r="204" spans="1:5">
      <c r="A204" s="28">
        <v>58650</v>
      </c>
      <c r="B204" t="s">
        <v>168</v>
      </c>
      <c r="C204">
        <v>3.53</v>
      </c>
      <c r="D204">
        <v>0.21</v>
      </c>
      <c r="E204">
        <v>3.59</v>
      </c>
    </row>
    <row r="205" spans="1:5">
      <c r="A205" s="28">
        <v>13580</v>
      </c>
      <c r="B205" t="s">
        <v>118</v>
      </c>
      <c r="C205">
        <v>2.04</v>
      </c>
      <c r="D205">
        <v>0.17</v>
      </c>
      <c r="E205">
        <v>3.58</v>
      </c>
    </row>
    <row r="206" spans="1:5">
      <c r="A206" s="28">
        <v>36640</v>
      </c>
      <c r="B206" t="s">
        <v>306</v>
      </c>
      <c r="C206">
        <v>8.89</v>
      </c>
      <c r="D206">
        <v>0.84</v>
      </c>
      <c r="E206">
        <v>3.58</v>
      </c>
    </row>
    <row r="207" spans="1:5">
      <c r="A207" s="28">
        <v>131180</v>
      </c>
      <c r="B207" t="s">
        <v>309</v>
      </c>
      <c r="C207">
        <v>11.91</v>
      </c>
      <c r="D207">
        <v>0.53</v>
      </c>
      <c r="E207">
        <v>3.57</v>
      </c>
    </row>
    <row r="208" spans="1:5">
      <c r="A208" s="28">
        <v>93380</v>
      </c>
      <c r="B208" t="s">
        <v>319</v>
      </c>
      <c r="C208">
        <v>8.1999999999999993</v>
      </c>
      <c r="D208">
        <v>0.5</v>
      </c>
      <c r="E208">
        <v>3.57</v>
      </c>
    </row>
    <row r="209" spans="1:5">
      <c r="A209" s="28">
        <v>64960</v>
      </c>
      <c r="B209" t="s">
        <v>112</v>
      </c>
      <c r="C209">
        <v>6.95</v>
      </c>
      <c r="D209">
        <v>0.68</v>
      </c>
      <c r="E209">
        <v>3.56</v>
      </c>
    </row>
    <row r="210" spans="1:5">
      <c r="A210" s="28">
        <v>221980</v>
      </c>
      <c r="B210" t="s">
        <v>320</v>
      </c>
      <c r="C210">
        <v>5.66</v>
      </c>
      <c r="D210">
        <v>0.48</v>
      </c>
      <c r="E210">
        <v>3.55</v>
      </c>
    </row>
    <row r="211" spans="1:5">
      <c r="A211" s="28">
        <v>69510</v>
      </c>
      <c r="B211" t="s">
        <v>317</v>
      </c>
      <c r="C211">
        <v>7.49</v>
      </c>
      <c r="D211">
        <v>0.51</v>
      </c>
      <c r="E211">
        <v>3.53</v>
      </c>
    </row>
    <row r="212" spans="1:5">
      <c r="A212" s="28">
        <v>45100</v>
      </c>
      <c r="B212" t="s">
        <v>312</v>
      </c>
      <c r="C212">
        <v>4.24</v>
      </c>
      <c r="D212">
        <v>0.62</v>
      </c>
      <c r="E212">
        <v>3.5</v>
      </c>
    </row>
    <row r="213" spans="1:5">
      <c r="A213" s="28">
        <v>110790</v>
      </c>
      <c r="B213" t="s">
        <v>326</v>
      </c>
      <c r="C213">
        <v>5.86</v>
      </c>
      <c r="D213">
        <v>0.49</v>
      </c>
      <c r="E213">
        <v>3.47</v>
      </c>
    </row>
    <row r="214" spans="1:5">
      <c r="A214" s="28">
        <v>55490</v>
      </c>
      <c r="B214" t="s">
        <v>211</v>
      </c>
      <c r="C214">
        <v>6.45</v>
      </c>
      <c r="D214">
        <v>0.83</v>
      </c>
      <c r="E214">
        <v>3.47</v>
      </c>
    </row>
    <row r="215" spans="1:5">
      <c r="A215" s="28">
        <v>138070</v>
      </c>
      <c r="B215" t="s">
        <v>308</v>
      </c>
      <c r="C215">
        <v>11.29</v>
      </c>
      <c r="D215">
        <v>0.64</v>
      </c>
      <c r="E215">
        <v>3.47</v>
      </c>
    </row>
    <row r="216" spans="1:5">
      <c r="A216" s="28">
        <v>4430</v>
      </c>
      <c r="B216" t="s">
        <v>169</v>
      </c>
      <c r="C216">
        <v>2.63</v>
      </c>
      <c r="D216">
        <v>0.51</v>
      </c>
      <c r="E216">
        <v>3.46</v>
      </c>
    </row>
    <row r="217" spans="1:5">
      <c r="A217" s="28">
        <v>15860</v>
      </c>
      <c r="B217" t="s">
        <v>194</v>
      </c>
      <c r="C217">
        <v>10.84</v>
      </c>
      <c r="D217">
        <v>0.46</v>
      </c>
      <c r="E217">
        <v>3.46</v>
      </c>
    </row>
    <row r="218" spans="1:5">
      <c r="A218" s="28">
        <v>35890</v>
      </c>
      <c r="B218" t="s">
        <v>316</v>
      </c>
      <c r="C218">
        <v>2.89</v>
      </c>
      <c r="D218">
        <v>0.39</v>
      </c>
      <c r="E218">
        <v>3.43</v>
      </c>
    </row>
    <row r="219" spans="1:5">
      <c r="A219" s="28">
        <v>122450</v>
      </c>
      <c r="B219" t="s">
        <v>322</v>
      </c>
      <c r="C219">
        <v>9.99</v>
      </c>
      <c r="D219">
        <v>0.82</v>
      </c>
      <c r="E219">
        <v>3.42</v>
      </c>
    </row>
    <row r="220" spans="1:5">
      <c r="A220" s="28">
        <v>120110</v>
      </c>
      <c r="B220" t="s">
        <v>205</v>
      </c>
      <c r="C220">
        <v>6.41</v>
      </c>
      <c r="D220">
        <v>0.4</v>
      </c>
      <c r="E220">
        <v>3.42</v>
      </c>
    </row>
    <row r="221" spans="1:5">
      <c r="A221" s="28">
        <v>28670</v>
      </c>
      <c r="B221" t="s">
        <v>214</v>
      </c>
      <c r="C221">
        <v>3.49</v>
      </c>
      <c r="D221">
        <v>0.53</v>
      </c>
      <c r="E221">
        <v>3.39</v>
      </c>
    </row>
    <row r="222" spans="1:5">
      <c r="A222" s="28">
        <v>73560</v>
      </c>
      <c r="B222" t="s">
        <v>323</v>
      </c>
      <c r="C222">
        <v>4.08</v>
      </c>
      <c r="D222">
        <v>0.4</v>
      </c>
      <c r="E222">
        <v>3.39</v>
      </c>
    </row>
    <row r="223" spans="1:5">
      <c r="A223" s="28">
        <v>3490</v>
      </c>
      <c r="B223" t="s">
        <v>136</v>
      </c>
      <c r="C223">
        <v>4.6500000000000004</v>
      </c>
      <c r="D223">
        <v>0.91</v>
      </c>
      <c r="E223">
        <v>3.37</v>
      </c>
    </row>
    <row r="224" spans="1:5">
      <c r="A224" s="28">
        <v>52330</v>
      </c>
      <c r="B224" t="s">
        <v>315</v>
      </c>
      <c r="C224">
        <v>3.76</v>
      </c>
      <c r="D224">
        <v>0.33</v>
      </c>
      <c r="E224">
        <v>3.36</v>
      </c>
    </row>
    <row r="225" spans="1:5">
      <c r="A225" s="28">
        <v>88790</v>
      </c>
      <c r="B225" t="s">
        <v>200</v>
      </c>
      <c r="C225">
        <v>5.68</v>
      </c>
      <c r="D225">
        <v>0.25</v>
      </c>
      <c r="E225">
        <v>3.36</v>
      </c>
    </row>
    <row r="226" spans="1:5">
      <c r="A226" s="28">
        <v>89860</v>
      </c>
      <c r="B226" t="s">
        <v>146</v>
      </c>
      <c r="C226">
        <v>10.5</v>
      </c>
      <c r="D226">
        <v>0.77</v>
      </c>
      <c r="E226">
        <v>3.33</v>
      </c>
    </row>
    <row r="227" spans="1:5">
      <c r="A227" s="28">
        <v>36530</v>
      </c>
      <c r="B227" t="s">
        <v>114</v>
      </c>
      <c r="C227">
        <v>5.91</v>
      </c>
      <c r="D227">
        <v>0.31</v>
      </c>
      <c r="E227">
        <v>3.33</v>
      </c>
    </row>
    <row r="228" spans="1:5">
      <c r="A228" s="28">
        <v>36560</v>
      </c>
      <c r="B228" t="s">
        <v>328</v>
      </c>
      <c r="C228">
        <v>12.23</v>
      </c>
      <c r="D228">
        <v>0.56000000000000005</v>
      </c>
      <c r="E228">
        <v>3.32</v>
      </c>
    </row>
    <row r="229" spans="1:5">
      <c r="A229" s="28">
        <v>2020</v>
      </c>
      <c r="B229" t="s">
        <v>203</v>
      </c>
      <c r="C229">
        <v>1.66</v>
      </c>
      <c r="D229">
        <v>0.22</v>
      </c>
      <c r="E229">
        <v>3.32</v>
      </c>
    </row>
    <row r="230" spans="1:5">
      <c r="A230" s="28">
        <v>9970</v>
      </c>
      <c r="B230" t="s">
        <v>183</v>
      </c>
      <c r="C230">
        <v>2.42</v>
      </c>
      <c r="D230">
        <v>0.52</v>
      </c>
      <c r="E230">
        <v>3.31</v>
      </c>
    </row>
    <row r="231" spans="1:5">
      <c r="A231" s="28">
        <v>228850</v>
      </c>
      <c r="B231" s="11" t="s">
        <v>327</v>
      </c>
      <c r="C231">
        <v>6.47</v>
      </c>
      <c r="D231">
        <v>0.64</v>
      </c>
      <c r="E231">
        <v>3.31</v>
      </c>
    </row>
    <row r="232" spans="1:5">
      <c r="A232" s="28">
        <v>67010</v>
      </c>
      <c r="B232" t="s">
        <v>329</v>
      </c>
      <c r="C232">
        <v>9.58</v>
      </c>
      <c r="D232">
        <v>0.8</v>
      </c>
      <c r="E232">
        <v>3.31</v>
      </c>
    </row>
    <row r="233" spans="1:5">
      <c r="A233" s="28">
        <v>56190</v>
      </c>
      <c r="B233" t="s">
        <v>318</v>
      </c>
      <c r="C233">
        <v>11.91</v>
      </c>
      <c r="D233">
        <v>0.82</v>
      </c>
      <c r="E233">
        <v>3.3</v>
      </c>
    </row>
    <row r="234" spans="1:5">
      <c r="A234" s="28">
        <v>36670</v>
      </c>
      <c r="B234" t="s">
        <v>325</v>
      </c>
      <c r="C234">
        <v>4.57</v>
      </c>
      <c r="D234">
        <v>0.83</v>
      </c>
      <c r="E234">
        <v>3.3</v>
      </c>
    </row>
    <row r="235" spans="1:5">
      <c r="A235" s="28">
        <v>100840</v>
      </c>
      <c r="B235" t="s">
        <v>113</v>
      </c>
      <c r="C235">
        <v>10.58</v>
      </c>
      <c r="D235">
        <v>0.63</v>
      </c>
      <c r="E235">
        <v>3.3</v>
      </c>
    </row>
    <row r="236" spans="1:5">
      <c r="A236" s="28">
        <v>284740</v>
      </c>
      <c r="B236" t="s">
        <v>207</v>
      </c>
      <c r="C236">
        <v>4.16</v>
      </c>
      <c r="D236">
        <v>0.68</v>
      </c>
      <c r="E236">
        <v>3.29</v>
      </c>
    </row>
    <row r="237" spans="1:5">
      <c r="A237" s="28">
        <v>11760</v>
      </c>
      <c r="B237" t="s">
        <v>238</v>
      </c>
      <c r="C237">
        <v>2.81</v>
      </c>
      <c r="D237">
        <v>0.51</v>
      </c>
      <c r="E237">
        <v>3.26</v>
      </c>
    </row>
    <row r="238" spans="1:5">
      <c r="A238" s="28">
        <v>210980</v>
      </c>
      <c r="B238" t="s">
        <v>110</v>
      </c>
      <c r="C238">
        <v>8.01</v>
      </c>
      <c r="D238">
        <v>0.79</v>
      </c>
      <c r="E238">
        <v>3.24</v>
      </c>
    </row>
    <row r="239" spans="1:5">
      <c r="A239" s="28">
        <v>34310</v>
      </c>
      <c r="B239" t="s">
        <v>104</v>
      </c>
      <c r="C239">
        <v>12.5</v>
      </c>
      <c r="D239">
        <v>0.6</v>
      </c>
      <c r="E239">
        <v>3.24</v>
      </c>
    </row>
    <row r="240" spans="1:5">
      <c r="A240" s="28">
        <v>35600</v>
      </c>
      <c r="B240" t="s">
        <v>333</v>
      </c>
      <c r="C240">
        <v>5.75</v>
      </c>
      <c r="D240">
        <v>0.82</v>
      </c>
      <c r="E240">
        <v>3.23</v>
      </c>
    </row>
    <row r="241" spans="1:5">
      <c r="A241" s="28">
        <v>58850</v>
      </c>
      <c r="B241" t="s">
        <v>95</v>
      </c>
      <c r="C241">
        <v>8.58</v>
      </c>
      <c r="D241">
        <v>0.77</v>
      </c>
      <c r="E241">
        <v>3.21</v>
      </c>
    </row>
    <row r="242" spans="1:5">
      <c r="A242" s="28">
        <v>10470</v>
      </c>
      <c r="B242" t="s">
        <v>381</v>
      </c>
      <c r="C242">
        <v>8.01</v>
      </c>
      <c r="D242">
        <v>0.92</v>
      </c>
      <c r="E242">
        <v>3.18</v>
      </c>
    </row>
    <row r="243" spans="1:5">
      <c r="A243" s="28">
        <v>5680</v>
      </c>
      <c r="B243" t="s">
        <v>159</v>
      </c>
      <c r="C243">
        <v>10.39</v>
      </c>
      <c r="D243">
        <v>0.36</v>
      </c>
      <c r="E243">
        <v>3.18</v>
      </c>
    </row>
    <row r="244" spans="1:5">
      <c r="A244" s="28">
        <v>71050</v>
      </c>
      <c r="B244" t="s">
        <v>219</v>
      </c>
      <c r="C244">
        <v>6.65</v>
      </c>
      <c r="D244">
        <v>0.5</v>
      </c>
      <c r="E244">
        <v>3.17</v>
      </c>
    </row>
    <row r="245" spans="1:5">
      <c r="A245" s="28">
        <v>7340</v>
      </c>
      <c r="B245" t="s">
        <v>79</v>
      </c>
      <c r="C245">
        <v>3.75</v>
      </c>
      <c r="D245">
        <v>0.78</v>
      </c>
      <c r="E245">
        <v>3.17</v>
      </c>
    </row>
    <row r="246" spans="1:5">
      <c r="A246" s="28">
        <v>3650</v>
      </c>
      <c r="B246" t="s">
        <v>151</v>
      </c>
      <c r="C246">
        <v>5.13</v>
      </c>
      <c r="D246">
        <v>0.37</v>
      </c>
      <c r="E246">
        <v>3.15</v>
      </c>
    </row>
    <row r="247" spans="1:5">
      <c r="A247" s="28">
        <v>31430</v>
      </c>
      <c r="B247" t="s">
        <v>174</v>
      </c>
      <c r="C247">
        <v>4.8</v>
      </c>
      <c r="D247">
        <v>0.68</v>
      </c>
      <c r="E247">
        <v>3.14</v>
      </c>
    </row>
    <row r="248" spans="1:5">
      <c r="A248" s="28">
        <v>36890</v>
      </c>
      <c r="B248" t="s">
        <v>330</v>
      </c>
      <c r="C248">
        <v>4.22</v>
      </c>
      <c r="D248">
        <v>0.91</v>
      </c>
      <c r="E248">
        <v>3.13</v>
      </c>
    </row>
    <row r="249" spans="1:5">
      <c r="A249" s="28">
        <v>267270</v>
      </c>
      <c r="B249" t="s">
        <v>85</v>
      </c>
      <c r="C249">
        <v>9.18</v>
      </c>
      <c r="D249">
        <v>0.7</v>
      </c>
      <c r="E249">
        <v>3.12</v>
      </c>
    </row>
    <row r="250" spans="1:5">
      <c r="A250" s="28">
        <v>78340</v>
      </c>
      <c r="B250" t="s">
        <v>332</v>
      </c>
      <c r="C250">
        <v>14.89</v>
      </c>
      <c r="D250">
        <v>0.44</v>
      </c>
      <c r="E250">
        <v>3.11</v>
      </c>
    </row>
    <row r="251" spans="1:5">
      <c r="A251" s="28">
        <v>4690</v>
      </c>
      <c r="B251" t="s">
        <v>382</v>
      </c>
      <c r="C251">
        <v>6.75</v>
      </c>
      <c r="D251">
        <v>0.24</v>
      </c>
      <c r="E251">
        <v>3.09</v>
      </c>
    </row>
    <row r="252" spans="1:5">
      <c r="A252" s="28">
        <v>3480</v>
      </c>
      <c r="B252" t="s">
        <v>235</v>
      </c>
      <c r="C252">
        <v>5.78</v>
      </c>
      <c r="D252">
        <v>0.25</v>
      </c>
      <c r="E252">
        <v>3.07</v>
      </c>
    </row>
    <row r="253" spans="1:5">
      <c r="A253" s="28">
        <v>17390</v>
      </c>
      <c r="B253" t="s">
        <v>383</v>
      </c>
      <c r="C253">
        <v>12.69</v>
      </c>
      <c r="D253">
        <v>0.21</v>
      </c>
      <c r="E253">
        <v>3.03</v>
      </c>
    </row>
  </sheetData>
  <sheetProtection formatCells="0" formatColumns="0" formatRows="0" sort="0" autoFilter="0" pivotTables="0"/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ock_fnguide"/>
  <dimension ref="A2:AE1222"/>
  <sheetViews>
    <sheetView workbookViewId="0">
      <selection activeCell="G121" sqref="G121"/>
    </sheetView>
  </sheetViews>
  <sheetFormatPr defaultRowHeight="16.5"/>
  <cols>
    <col min="1" max="1" width="14.34765625" style="28" customWidth="1"/>
    <col min="2" max="2" width="22" customWidth="1"/>
    <col min="4" max="4" width="9.75" customWidth="1"/>
    <col min="5" max="5" width="15.25" customWidth="1"/>
    <col min="6" max="6" width="14.09765625" customWidth="1"/>
    <col min="7" max="7" width="19" customWidth="1"/>
    <col min="8" max="8" width="16.59765625" customWidth="1"/>
    <col min="14" max="14" width="12" customWidth="1"/>
    <col min="15" max="15" width="14" customWidth="1"/>
    <col min="17" max="17" width="12" customWidth="1"/>
    <col min="18" max="18" width="16.34765625" customWidth="1"/>
    <col min="21" max="21" width="10.25" customWidth="1"/>
    <col min="22" max="22" width="13.25" customWidth="1"/>
    <col min="23" max="23" width="15.59765625" customWidth="1"/>
    <col min="24" max="24" width="14.59765625" customWidth="1"/>
    <col min="30" max="30" width="12.09765625" customWidth="1"/>
    <col min="31" max="31" width="13.59765625" customWidth="1"/>
  </cols>
  <sheetData>
    <row r="2" spans="1:31">
      <c r="F2" s="26"/>
    </row>
    <row r="3" spans="1:31">
      <c r="F3" s="26"/>
    </row>
    <row r="4" spans="1:31">
      <c r="A4" s="29" t="s">
        <v>346</v>
      </c>
      <c r="B4">
        <v>20240323</v>
      </c>
      <c r="I4">
        <v>20240323</v>
      </c>
      <c r="Q4" s="35" t="s">
        <v>377</v>
      </c>
    </row>
    <row r="5" spans="1:31">
      <c r="A5" s="28" t="s">
        <v>247</v>
      </c>
      <c r="B5" t="s">
        <v>248</v>
      </c>
      <c r="C5" t="s">
        <v>335</v>
      </c>
      <c r="D5" t="s">
        <v>336</v>
      </c>
      <c r="E5" t="s">
        <v>337</v>
      </c>
      <c r="F5" t="s">
        <v>338</v>
      </c>
      <c r="G5" t="s">
        <v>339</v>
      </c>
      <c r="H5" t="s">
        <v>340</v>
      </c>
      <c r="I5" t="s">
        <v>341</v>
      </c>
      <c r="J5" t="s">
        <v>342</v>
      </c>
      <c r="K5" t="s">
        <v>343</v>
      </c>
      <c r="L5" t="s">
        <v>344</v>
      </c>
      <c r="M5" t="s">
        <v>250</v>
      </c>
      <c r="N5" t="s">
        <v>249</v>
      </c>
      <c r="O5" t="s">
        <v>345</v>
      </c>
      <c r="Q5" s="34" t="s">
        <v>247</v>
      </c>
      <c r="R5" s="32" t="s">
        <v>248</v>
      </c>
      <c r="S5" s="32" t="s">
        <v>335</v>
      </c>
      <c r="T5" s="32" t="s">
        <v>336</v>
      </c>
      <c r="U5" s="32" t="s">
        <v>337</v>
      </c>
      <c r="V5" s="32" t="s">
        <v>338</v>
      </c>
      <c r="W5" s="32" t="s">
        <v>339</v>
      </c>
      <c r="X5" s="32" t="s">
        <v>340</v>
      </c>
      <c r="Y5" s="32" t="s">
        <v>341</v>
      </c>
      <c r="Z5" s="32" t="s">
        <v>342</v>
      </c>
      <c r="AA5" s="32" t="s">
        <v>343</v>
      </c>
      <c r="AB5" s="32" t="s">
        <v>344</v>
      </c>
      <c r="AC5" s="32" t="s">
        <v>250</v>
      </c>
      <c r="AD5" s="32" t="s">
        <v>249</v>
      </c>
      <c r="AE5" s="33" t="s">
        <v>345</v>
      </c>
    </row>
    <row r="6" spans="1:31">
      <c r="A6" s="28">
        <v>57050</v>
      </c>
      <c r="B6" t="s">
        <v>241</v>
      </c>
      <c r="C6">
        <v>379</v>
      </c>
      <c r="D6" t="s">
        <v>347</v>
      </c>
      <c r="E6">
        <v>20.57</v>
      </c>
      <c r="F6">
        <v>2574.12</v>
      </c>
      <c r="G6">
        <v>1.97</v>
      </c>
      <c r="H6">
        <v>50.87</v>
      </c>
      <c r="I6">
        <v>3.74</v>
      </c>
      <c r="J6">
        <v>4.43</v>
      </c>
      <c r="K6">
        <v>5627</v>
      </c>
      <c r="L6">
        <v>133706</v>
      </c>
      <c r="M6">
        <v>9.58</v>
      </c>
      <c r="N6">
        <v>0.4</v>
      </c>
      <c r="O6">
        <v>5</v>
      </c>
      <c r="T6" t="s">
        <v>378</v>
      </c>
      <c r="U6" t="s">
        <v>375</v>
      </c>
      <c r="Z6" t="s">
        <v>376</v>
      </c>
    </row>
    <row r="7" spans="1:31">
      <c r="A7" s="28">
        <v>1450</v>
      </c>
      <c r="B7" t="s">
        <v>240</v>
      </c>
      <c r="C7">
        <v>342</v>
      </c>
      <c r="D7" t="s">
        <v>347</v>
      </c>
      <c r="E7">
        <v>1166.22</v>
      </c>
      <c r="F7">
        <v>9169.44</v>
      </c>
      <c r="G7">
        <v>6</v>
      </c>
      <c r="H7">
        <v>27.96</v>
      </c>
      <c r="I7">
        <v>1.08</v>
      </c>
      <c r="J7">
        <v>12.51</v>
      </c>
      <c r="K7">
        <v>6274</v>
      </c>
      <c r="L7">
        <v>46347</v>
      </c>
      <c r="M7">
        <v>4.6900000000000004</v>
      </c>
      <c r="N7">
        <v>0.64</v>
      </c>
    </row>
    <row r="8" spans="1:31">
      <c r="A8" s="28">
        <v>300720</v>
      </c>
      <c r="B8" t="s">
        <v>232</v>
      </c>
      <c r="C8">
        <v>219</v>
      </c>
      <c r="D8" t="s">
        <v>347</v>
      </c>
      <c r="E8">
        <v>43.07</v>
      </c>
      <c r="F8">
        <v>3775.41</v>
      </c>
      <c r="G8">
        <v>16.760000000000002</v>
      </c>
      <c r="H8">
        <v>-3.26</v>
      </c>
      <c r="I8">
        <v>3.45</v>
      </c>
      <c r="J8">
        <v>5.01</v>
      </c>
      <c r="K8">
        <v>945</v>
      </c>
      <c r="L8">
        <v>19377</v>
      </c>
      <c r="M8">
        <v>12.32</v>
      </c>
      <c r="N8">
        <v>0.6</v>
      </c>
      <c r="O8">
        <v>8.65</v>
      </c>
    </row>
    <row r="9" spans="1:31">
      <c r="A9" s="28">
        <v>20000</v>
      </c>
      <c r="B9" t="s">
        <v>226</v>
      </c>
      <c r="C9">
        <v>285</v>
      </c>
      <c r="D9" t="s">
        <v>347</v>
      </c>
      <c r="E9">
        <v>25.47</v>
      </c>
      <c r="F9">
        <v>11002.68</v>
      </c>
      <c r="G9">
        <v>11</v>
      </c>
      <c r="H9">
        <v>7.34</v>
      </c>
      <c r="I9">
        <v>7.71</v>
      </c>
      <c r="J9">
        <v>9.66</v>
      </c>
      <c r="K9">
        <v>5078</v>
      </c>
      <c r="L9">
        <v>55513</v>
      </c>
      <c r="M9">
        <v>5.33</v>
      </c>
      <c r="N9">
        <v>0.49</v>
      </c>
      <c r="O9">
        <v>2.88</v>
      </c>
      <c r="Q9" s="28" t="s">
        <v>247</v>
      </c>
      <c r="R9" t="s">
        <v>248</v>
      </c>
      <c r="S9" t="s">
        <v>335</v>
      </c>
      <c r="T9" t="s">
        <v>336</v>
      </c>
      <c r="U9" t="s">
        <v>337</v>
      </c>
      <c r="V9" t="s">
        <v>338</v>
      </c>
      <c r="W9" t="s">
        <v>339</v>
      </c>
      <c r="X9" t="s">
        <v>340</v>
      </c>
      <c r="Y9" t="s">
        <v>341</v>
      </c>
      <c r="Z9" t="s">
        <v>342</v>
      </c>
      <c r="AA9" t="s">
        <v>343</v>
      </c>
      <c r="AB9" t="s">
        <v>344</v>
      </c>
      <c r="AC9" t="s">
        <v>250</v>
      </c>
      <c r="AD9" t="s">
        <v>249</v>
      </c>
      <c r="AE9" t="s">
        <v>345</v>
      </c>
    </row>
    <row r="10" spans="1:31">
      <c r="A10" s="28">
        <v>34830</v>
      </c>
      <c r="B10" t="s">
        <v>225</v>
      </c>
      <c r="C10">
        <v>431</v>
      </c>
      <c r="D10" t="s">
        <v>347</v>
      </c>
      <c r="E10">
        <v>67.52</v>
      </c>
      <c r="F10">
        <v>267.48</v>
      </c>
      <c r="G10">
        <v>-8.2100000000000009</v>
      </c>
      <c r="H10">
        <v>-39.26</v>
      </c>
      <c r="I10">
        <v>2.83</v>
      </c>
      <c r="J10">
        <v>4.75</v>
      </c>
      <c r="K10">
        <v>164</v>
      </c>
      <c r="L10">
        <v>3675</v>
      </c>
      <c r="M10">
        <v>7.99</v>
      </c>
      <c r="N10">
        <v>0.36</v>
      </c>
      <c r="Q10" s="28">
        <v>91700</v>
      </c>
      <c r="R10" t="s">
        <v>303</v>
      </c>
      <c r="S10">
        <v>430</v>
      </c>
      <c r="T10" t="s">
        <v>348</v>
      </c>
      <c r="U10">
        <v>38.299999999999997</v>
      </c>
      <c r="V10">
        <v>1628.44</v>
      </c>
      <c r="W10">
        <v>-8.01</v>
      </c>
      <c r="X10">
        <v>-70.19</v>
      </c>
      <c r="Y10">
        <v>3.68</v>
      </c>
      <c r="Z10">
        <v>5.14</v>
      </c>
      <c r="AA10">
        <v>409</v>
      </c>
      <c r="AB10">
        <v>8642</v>
      </c>
      <c r="AC10">
        <v>19.8</v>
      </c>
      <c r="AD10">
        <v>0.94</v>
      </c>
      <c r="AE10">
        <v>7.49</v>
      </c>
    </row>
    <row r="11" spans="1:31">
      <c r="A11" s="28">
        <v>240</v>
      </c>
      <c r="B11" t="s">
        <v>220</v>
      </c>
      <c r="C11">
        <v>113</v>
      </c>
      <c r="D11" t="s">
        <v>347</v>
      </c>
      <c r="E11">
        <v>10.17</v>
      </c>
      <c r="F11">
        <v>5581.64</v>
      </c>
      <c r="G11">
        <v>37.090000000000003</v>
      </c>
      <c r="H11">
        <v>-17.670000000000002</v>
      </c>
      <c r="I11">
        <v>1.99</v>
      </c>
      <c r="J11">
        <v>2.2000000000000002</v>
      </c>
      <c r="K11">
        <v>623</v>
      </c>
      <c r="L11">
        <v>28408</v>
      </c>
      <c r="M11">
        <v>22.39</v>
      </c>
      <c r="N11">
        <v>0.49</v>
      </c>
      <c r="O11">
        <v>9.94</v>
      </c>
      <c r="Q11" s="28">
        <v>78340</v>
      </c>
      <c r="R11" t="s">
        <v>332</v>
      </c>
      <c r="S11">
        <v>400</v>
      </c>
      <c r="T11" t="s">
        <v>348</v>
      </c>
      <c r="U11">
        <v>30.27</v>
      </c>
      <c r="V11">
        <v>18663.86</v>
      </c>
      <c r="W11">
        <v>-1.43</v>
      </c>
      <c r="X11">
        <v>-30.13</v>
      </c>
      <c r="Y11">
        <v>4.38</v>
      </c>
      <c r="Z11">
        <v>5.62</v>
      </c>
      <c r="AA11">
        <v>4880</v>
      </c>
      <c r="AB11">
        <v>93819</v>
      </c>
      <c r="AC11">
        <v>12.21</v>
      </c>
      <c r="AD11">
        <v>0.64</v>
      </c>
      <c r="AE11">
        <v>16.41</v>
      </c>
    </row>
    <row r="12" spans="1:31">
      <c r="A12" s="28">
        <v>71050</v>
      </c>
      <c r="B12" t="s">
        <v>219</v>
      </c>
      <c r="C12">
        <v>459</v>
      </c>
      <c r="D12" t="s">
        <v>347</v>
      </c>
      <c r="E12">
        <v>48.81</v>
      </c>
      <c r="F12">
        <v>1626.75</v>
      </c>
      <c r="G12">
        <v>-17.510000000000002</v>
      </c>
      <c r="H12">
        <v>139.05000000000001</v>
      </c>
      <c r="I12">
        <v>8.82</v>
      </c>
      <c r="J12">
        <v>12.98</v>
      </c>
      <c r="K12">
        <v>10779</v>
      </c>
      <c r="L12">
        <v>86338</v>
      </c>
      <c r="M12">
        <v>4.95</v>
      </c>
      <c r="N12">
        <v>0.62</v>
      </c>
      <c r="Q12" s="28">
        <v>56190</v>
      </c>
      <c r="R12" t="s">
        <v>318</v>
      </c>
      <c r="S12">
        <v>311</v>
      </c>
      <c r="T12" t="s">
        <v>348</v>
      </c>
      <c r="U12">
        <v>29.41</v>
      </c>
      <c r="V12">
        <v>5992.01</v>
      </c>
      <c r="W12">
        <v>8.5500000000000007</v>
      </c>
      <c r="X12">
        <v>9.18</v>
      </c>
      <c r="Y12">
        <v>5.76</v>
      </c>
      <c r="Z12">
        <v>7.22</v>
      </c>
      <c r="AA12">
        <v>2110</v>
      </c>
      <c r="AB12">
        <v>30460</v>
      </c>
      <c r="AC12">
        <v>17.25</v>
      </c>
      <c r="AD12">
        <v>1.2</v>
      </c>
      <c r="AE12">
        <v>12.71</v>
      </c>
    </row>
    <row r="13" spans="1:31">
      <c r="A13" s="28">
        <v>86790</v>
      </c>
      <c r="B13" t="s">
        <v>216</v>
      </c>
      <c r="C13">
        <v>436</v>
      </c>
      <c r="D13" t="s">
        <v>347</v>
      </c>
      <c r="E13">
        <v>34.520000000000003</v>
      </c>
      <c r="F13">
        <v>1150.1099999999999</v>
      </c>
      <c r="G13">
        <v>-9.34</v>
      </c>
      <c r="H13">
        <v>2.34</v>
      </c>
      <c r="I13">
        <v>4.7</v>
      </c>
      <c r="J13">
        <v>6.29</v>
      </c>
      <c r="K13">
        <v>3856</v>
      </c>
      <c r="L13">
        <v>63422</v>
      </c>
      <c r="M13">
        <v>10.9</v>
      </c>
      <c r="N13">
        <v>0.66</v>
      </c>
      <c r="Q13" s="28"/>
    </row>
    <row r="14" spans="1:31">
      <c r="A14" s="28">
        <v>28670</v>
      </c>
      <c r="B14" t="s">
        <v>214</v>
      </c>
      <c r="C14">
        <v>100</v>
      </c>
      <c r="D14" t="s">
        <v>347</v>
      </c>
      <c r="E14">
        <v>66.48</v>
      </c>
      <c r="F14">
        <v>730.55</v>
      </c>
      <c r="G14">
        <v>40.090000000000003</v>
      </c>
      <c r="H14">
        <v>28.46</v>
      </c>
      <c r="I14">
        <v>9.85</v>
      </c>
      <c r="J14">
        <v>16.95</v>
      </c>
      <c r="K14">
        <v>1266</v>
      </c>
      <c r="L14">
        <v>8306</v>
      </c>
      <c r="M14">
        <v>4.53</v>
      </c>
      <c r="N14">
        <v>0.69</v>
      </c>
      <c r="O14">
        <v>3.09</v>
      </c>
      <c r="Q14" s="28"/>
    </row>
    <row r="15" spans="1:31">
      <c r="A15" s="28">
        <v>91700</v>
      </c>
      <c r="B15" t="s">
        <v>303</v>
      </c>
      <c r="C15">
        <v>430</v>
      </c>
      <c r="D15" t="s">
        <v>348</v>
      </c>
      <c r="E15">
        <v>38.299999999999997</v>
      </c>
      <c r="F15">
        <v>1628.44</v>
      </c>
      <c r="G15">
        <v>-8.01</v>
      </c>
      <c r="H15">
        <v>-70.19</v>
      </c>
      <c r="I15">
        <v>3.68</v>
      </c>
      <c r="J15">
        <v>5.14</v>
      </c>
      <c r="K15">
        <v>409</v>
      </c>
      <c r="L15">
        <v>8642</v>
      </c>
      <c r="M15">
        <v>19.8</v>
      </c>
      <c r="N15">
        <v>0.94</v>
      </c>
      <c r="O15">
        <v>7.49</v>
      </c>
      <c r="Q15" s="28"/>
    </row>
    <row r="16" spans="1:31">
      <c r="A16" s="28">
        <v>363280</v>
      </c>
      <c r="B16" t="s">
        <v>213</v>
      </c>
      <c r="C16">
        <v>15</v>
      </c>
      <c r="D16" t="s">
        <v>347</v>
      </c>
      <c r="E16">
        <v>9</v>
      </c>
      <c r="F16">
        <v>3686.81</v>
      </c>
      <c r="G16">
        <v>187.81</v>
      </c>
      <c r="H16">
        <v>348.83</v>
      </c>
      <c r="I16">
        <v>3.88</v>
      </c>
      <c r="J16">
        <v>4.3600000000000003</v>
      </c>
      <c r="K16">
        <v>716</v>
      </c>
      <c r="L16">
        <v>18934</v>
      </c>
      <c r="M16">
        <v>14.59</v>
      </c>
      <c r="N16">
        <v>0.55000000000000004</v>
      </c>
      <c r="O16">
        <v>15.62</v>
      </c>
      <c r="Q16" s="28"/>
    </row>
    <row r="17" spans="1:18">
      <c r="A17" s="28">
        <v>284740</v>
      </c>
      <c r="B17" t="s">
        <v>207</v>
      </c>
      <c r="C17">
        <v>246</v>
      </c>
      <c r="D17" t="s">
        <v>347</v>
      </c>
      <c r="E17">
        <v>17.989999999999998</v>
      </c>
      <c r="F17">
        <v>28677.59</v>
      </c>
      <c r="G17">
        <v>14.45</v>
      </c>
      <c r="H17">
        <v>87.61</v>
      </c>
      <c r="I17">
        <v>15.82</v>
      </c>
      <c r="J17">
        <v>19.59</v>
      </c>
      <c r="K17">
        <v>5185</v>
      </c>
      <c r="L17">
        <v>28778</v>
      </c>
      <c r="M17">
        <v>5.67</v>
      </c>
      <c r="N17">
        <v>1.02</v>
      </c>
      <c r="O17">
        <v>3.83</v>
      </c>
      <c r="Q17" s="28"/>
    </row>
    <row r="18" spans="1:18">
      <c r="A18" s="28">
        <v>192400</v>
      </c>
      <c r="B18" t="s">
        <v>206</v>
      </c>
      <c r="C18">
        <v>130</v>
      </c>
      <c r="D18" t="s">
        <v>347</v>
      </c>
      <c r="E18">
        <v>9.9600000000000009</v>
      </c>
      <c r="F18">
        <v>17253.759999999998</v>
      </c>
      <c r="G18">
        <v>32.54</v>
      </c>
      <c r="H18">
        <v>39.799999999999997</v>
      </c>
      <c r="I18">
        <v>6.32</v>
      </c>
      <c r="J18">
        <v>7.02</v>
      </c>
      <c r="K18">
        <v>1125</v>
      </c>
      <c r="L18">
        <v>17354</v>
      </c>
      <c r="M18">
        <v>14.63</v>
      </c>
      <c r="N18">
        <v>0.95</v>
      </c>
      <c r="O18">
        <v>15.31</v>
      </c>
      <c r="Q18" s="28"/>
    </row>
    <row r="19" spans="1:18">
      <c r="A19" s="28">
        <v>33290</v>
      </c>
      <c r="B19" t="s">
        <v>274</v>
      </c>
      <c r="C19">
        <v>428</v>
      </c>
      <c r="D19" t="s">
        <v>348</v>
      </c>
      <c r="E19">
        <v>57.8</v>
      </c>
      <c r="F19">
        <v>984.11</v>
      </c>
      <c r="G19">
        <v>-7.81</v>
      </c>
      <c r="H19">
        <v>-3.05</v>
      </c>
      <c r="I19">
        <v>8.3699999999999992</v>
      </c>
      <c r="J19">
        <v>13.32</v>
      </c>
      <c r="K19">
        <v>696</v>
      </c>
      <c r="L19">
        <v>5700</v>
      </c>
      <c r="M19">
        <v>5.39</v>
      </c>
      <c r="N19">
        <v>0.66</v>
      </c>
      <c r="O19">
        <v>10.01</v>
      </c>
      <c r="Q19" s="28"/>
    </row>
    <row r="20" spans="1:18">
      <c r="A20" s="28">
        <v>120110</v>
      </c>
      <c r="B20" t="s">
        <v>205</v>
      </c>
      <c r="C20">
        <v>261</v>
      </c>
      <c r="D20" t="s">
        <v>347</v>
      </c>
      <c r="E20">
        <v>104.91</v>
      </c>
      <c r="F20">
        <v>1378.89</v>
      </c>
      <c r="G20">
        <v>12.88</v>
      </c>
      <c r="H20">
        <v>-46.88</v>
      </c>
      <c r="I20">
        <v>1.4</v>
      </c>
      <c r="J20">
        <v>2.81</v>
      </c>
      <c r="K20">
        <v>2065</v>
      </c>
      <c r="L20">
        <v>73945</v>
      </c>
      <c r="M20">
        <v>19.93</v>
      </c>
      <c r="N20">
        <v>0.56000000000000005</v>
      </c>
      <c r="O20">
        <v>8.98</v>
      </c>
      <c r="Q20" s="28"/>
    </row>
    <row r="21" spans="1:18">
      <c r="A21" s="28">
        <v>3690</v>
      </c>
      <c r="B21" t="s">
        <v>202</v>
      </c>
      <c r="C21">
        <v>226</v>
      </c>
      <c r="D21" t="s">
        <v>347</v>
      </c>
      <c r="E21">
        <v>407.21</v>
      </c>
      <c r="F21">
        <v>4188.6099999999997</v>
      </c>
      <c r="G21">
        <v>16.13</v>
      </c>
      <c r="H21">
        <v>-1.53</v>
      </c>
      <c r="I21">
        <v>1.27</v>
      </c>
      <c r="J21">
        <v>6.44</v>
      </c>
      <c r="K21">
        <v>1060</v>
      </c>
      <c r="L21">
        <v>18260</v>
      </c>
      <c r="M21">
        <v>5.48</v>
      </c>
      <c r="N21">
        <v>0.32</v>
      </c>
      <c r="Q21" s="28"/>
    </row>
    <row r="22" spans="1:18">
      <c r="A22" s="28">
        <v>78340</v>
      </c>
      <c r="B22" t="s">
        <v>332</v>
      </c>
      <c r="C22">
        <v>400</v>
      </c>
      <c r="D22" t="s">
        <v>348</v>
      </c>
      <c r="E22">
        <v>30.27</v>
      </c>
      <c r="F22">
        <v>18663.86</v>
      </c>
      <c r="G22">
        <v>-1.43</v>
      </c>
      <c r="H22">
        <v>-30.13</v>
      </c>
      <c r="I22">
        <v>4.38</v>
      </c>
      <c r="J22">
        <v>5.62</v>
      </c>
      <c r="K22">
        <v>4880</v>
      </c>
      <c r="L22">
        <v>93819</v>
      </c>
      <c r="M22">
        <v>12.21</v>
      </c>
      <c r="N22">
        <v>0.64</v>
      </c>
      <c r="O22">
        <v>16.41</v>
      </c>
      <c r="Q22" s="28"/>
    </row>
    <row r="23" spans="1:18">
      <c r="A23" s="28">
        <v>13890</v>
      </c>
      <c r="B23" t="s">
        <v>199</v>
      </c>
      <c r="C23">
        <v>464</v>
      </c>
      <c r="D23" t="s">
        <v>347</v>
      </c>
      <c r="E23">
        <v>55.04</v>
      </c>
      <c r="F23">
        <v>5171.62</v>
      </c>
      <c r="G23">
        <v>-19.04</v>
      </c>
      <c r="H23">
        <v>-89.81</v>
      </c>
      <c r="I23">
        <v>0.35</v>
      </c>
      <c r="J23">
        <v>0.56999999999999995</v>
      </c>
      <c r="K23">
        <v>121</v>
      </c>
      <c r="L23">
        <v>24026</v>
      </c>
      <c r="M23">
        <v>264.74</v>
      </c>
      <c r="N23">
        <v>1.33</v>
      </c>
      <c r="O23">
        <v>27.78</v>
      </c>
      <c r="Q23" s="28"/>
    </row>
    <row r="24" spans="1:18">
      <c r="A24" s="28">
        <v>316140</v>
      </c>
      <c r="B24" t="s">
        <v>186</v>
      </c>
      <c r="C24">
        <v>6</v>
      </c>
      <c r="D24" t="s">
        <v>347</v>
      </c>
      <c r="E24">
        <v>9.68</v>
      </c>
      <c r="F24">
        <v>528.98</v>
      </c>
      <c r="G24">
        <v>504.67</v>
      </c>
      <c r="H24">
        <v>97.96</v>
      </c>
      <c r="I24">
        <v>4.87</v>
      </c>
      <c r="J24">
        <v>5.31</v>
      </c>
      <c r="K24">
        <v>1625</v>
      </c>
      <c r="L24">
        <v>31449</v>
      </c>
      <c r="M24">
        <v>7.11</v>
      </c>
      <c r="N24">
        <v>0.37</v>
      </c>
      <c r="Q24" s="28"/>
    </row>
    <row r="25" spans="1:18">
      <c r="A25" s="28">
        <v>1800</v>
      </c>
      <c r="B25" t="s">
        <v>185</v>
      </c>
      <c r="C25">
        <v>288</v>
      </c>
      <c r="D25" t="s">
        <v>347</v>
      </c>
      <c r="E25">
        <v>6.55</v>
      </c>
      <c r="F25">
        <v>5900</v>
      </c>
      <c r="G25">
        <v>10.69</v>
      </c>
      <c r="H25">
        <v>-19.059999999999999</v>
      </c>
      <c r="I25">
        <v>0.97</v>
      </c>
      <c r="J25">
        <v>1.02</v>
      </c>
      <c r="K25">
        <v>305</v>
      </c>
      <c r="L25">
        <v>30000</v>
      </c>
      <c r="M25">
        <v>50.29</v>
      </c>
      <c r="N25">
        <v>0.51</v>
      </c>
      <c r="O25">
        <v>54.62</v>
      </c>
      <c r="Q25" s="28"/>
    </row>
    <row r="26" spans="1:18">
      <c r="A26" s="28">
        <v>9970</v>
      </c>
      <c r="B26" t="s">
        <v>183</v>
      </c>
      <c r="C26">
        <v>28</v>
      </c>
      <c r="D26" t="s">
        <v>347</v>
      </c>
      <c r="E26">
        <v>5.76</v>
      </c>
      <c r="F26">
        <v>8699.1299999999992</v>
      </c>
      <c r="G26">
        <v>110.95</v>
      </c>
      <c r="H26">
        <v>127.06</v>
      </c>
      <c r="I26">
        <v>8.92</v>
      </c>
      <c r="J26">
        <v>9.42</v>
      </c>
      <c r="K26">
        <v>3929</v>
      </c>
      <c r="L26">
        <v>43996</v>
      </c>
      <c r="M26">
        <v>15.63</v>
      </c>
      <c r="N26">
        <v>1.4</v>
      </c>
      <c r="O26">
        <v>15</v>
      </c>
      <c r="Q26" s="28"/>
      <c r="R26" s="11"/>
    </row>
    <row r="27" spans="1:18">
      <c r="A27" s="28">
        <v>111770</v>
      </c>
      <c r="B27" t="s">
        <v>182</v>
      </c>
      <c r="C27">
        <v>81</v>
      </c>
      <c r="D27" t="s">
        <v>347</v>
      </c>
      <c r="E27">
        <v>19.52</v>
      </c>
      <c r="F27">
        <v>7128.3</v>
      </c>
      <c r="G27">
        <v>48.71</v>
      </c>
      <c r="H27">
        <v>49.64</v>
      </c>
      <c r="I27">
        <v>10.84</v>
      </c>
      <c r="J27">
        <v>13.85</v>
      </c>
      <c r="K27">
        <v>4609</v>
      </c>
      <c r="L27">
        <v>36142</v>
      </c>
      <c r="M27">
        <v>10.19</v>
      </c>
      <c r="N27">
        <v>1.3</v>
      </c>
      <c r="O27">
        <v>8.2799999999999994</v>
      </c>
      <c r="Q27" s="28"/>
    </row>
    <row r="28" spans="1:18">
      <c r="A28" s="28">
        <v>56190</v>
      </c>
      <c r="B28" t="s">
        <v>318</v>
      </c>
      <c r="C28">
        <v>311</v>
      </c>
      <c r="D28" t="s">
        <v>348</v>
      </c>
      <c r="E28">
        <v>29.41</v>
      </c>
      <c r="F28">
        <v>5992.01</v>
      </c>
      <c r="G28">
        <v>8.5500000000000007</v>
      </c>
      <c r="H28">
        <v>9.18</v>
      </c>
      <c r="I28">
        <v>5.76</v>
      </c>
      <c r="J28">
        <v>7.22</v>
      </c>
      <c r="K28">
        <v>2110</v>
      </c>
      <c r="L28">
        <v>30460</v>
      </c>
      <c r="M28">
        <v>17.25</v>
      </c>
      <c r="N28">
        <v>1.2</v>
      </c>
      <c r="O28">
        <v>12.71</v>
      </c>
      <c r="Q28" s="28"/>
    </row>
    <row r="29" spans="1:18">
      <c r="A29" s="28">
        <v>137310</v>
      </c>
      <c r="B29" t="s">
        <v>180</v>
      </c>
      <c r="C29">
        <v>397</v>
      </c>
      <c r="D29" t="s">
        <v>347</v>
      </c>
      <c r="E29">
        <v>9.2100000000000009</v>
      </c>
      <c r="F29">
        <v>5678.26</v>
      </c>
      <c r="G29">
        <v>-0.93</v>
      </c>
      <c r="H29">
        <v>-21.42</v>
      </c>
      <c r="I29">
        <v>29.5</v>
      </c>
      <c r="J29">
        <v>35.380000000000003</v>
      </c>
      <c r="K29">
        <v>8740</v>
      </c>
      <c r="L29">
        <v>28892</v>
      </c>
      <c r="M29">
        <v>3.45</v>
      </c>
      <c r="N29">
        <v>1.04</v>
      </c>
      <c r="O29">
        <v>2.73</v>
      </c>
      <c r="Q29" s="28"/>
    </row>
    <row r="30" spans="1:18">
      <c r="A30" s="28">
        <v>161000</v>
      </c>
      <c r="B30" t="s">
        <v>179</v>
      </c>
      <c r="C30">
        <v>70</v>
      </c>
      <c r="D30" t="s">
        <v>347</v>
      </c>
      <c r="E30">
        <v>52.4</v>
      </c>
      <c r="F30">
        <v>2790.41</v>
      </c>
      <c r="G30">
        <v>53.43</v>
      </c>
      <c r="H30">
        <v>-34.840000000000003</v>
      </c>
      <c r="I30">
        <v>5.25</v>
      </c>
      <c r="J30">
        <v>8.25</v>
      </c>
      <c r="K30">
        <v>1157</v>
      </c>
      <c r="L30">
        <v>14452</v>
      </c>
      <c r="M30">
        <v>7.66</v>
      </c>
      <c r="N30">
        <v>0.61</v>
      </c>
      <c r="O30">
        <v>4.6900000000000004</v>
      </c>
      <c r="Q30" s="28"/>
    </row>
    <row r="31" spans="1:18">
      <c r="A31" s="28">
        <v>55550</v>
      </c>
      <c r="B31" t="s">
        <v>177</v>
      </c>
      <c r="C31">
        <v>106</v>
      </c>
      <c r="D31" t="s">
        <v>347</v>
      </c>
      <c r="E31">
        <v>40.409999999999997</v>
      </c>
      <c r="F31">
        <v>799.85</v>
      </c>
      <c r="G31">
        <v>38.4</v>
      </c>
      <c r="H31">
        <v>-11.16</v>
      </c>
      <c r="I31">
        <v>3.36</v>
      </c>
      <c r="J31">
        <v>4.71</v>
      </c>
      <c r="K31">
        <v>2352</v>
      </c>
      <c r="L31">
        <v>50777</v>
      </c>
      <c r="M31">
        <v>14.97</v>
      </c>
      <c r="N31">
        <v>0.69</v>
      </c>
      <c r="Q31" s="28"/>
    </row>
    <row r="32" spans="1:18">
      <c r="A32" s="28">
        <v>31430</v>
      </c>
      <c r="B32" t="s">
        <v>174</v>
      </c>
      <c r="C32">
        <v>320</v>
      </c>
      <c r="D32" t="s">
        <v>347</v>
      </c>
      <c r="E32">
        <v>59.18</v>
      </c>
      <c r="F32">
        <v>1895.92</v>
      </c>
      <c r="G32">
        <v>8.01</v>
      </c>
      <c r="H32">
        <v>59.38</v>
      </c>
      <c r="I32">
        <v>8.18</v>
      </c>
      <c r="J32">
        <v>13.34</v>
      </c>
      <c r="K32">
        <v>2507</v>
      </c>
      <c r="L32">
        <v>19959</v>
      </c>
      <c r="M32">
        <v>9.8699999999999992</v>
      </c>
      <c r="N32">
        <v>1.24</v>
      </c>
      <c r="O32">
        <v>7.22</v>
      </c>
      <c r="Q32" s="28"/>
    </row>
    <row r="33" spans="1:17">
      <c r="A33" s="28">
        <v>53210</v>
      </c>
      <c r="B33" t="s">
        <v>170</v>
      </c>
      <c r="C33">
        <v>325</v>
      </c>
      <c r="D33" t="s">
        <v>347</v>
      </c>
      <c r="E33">
        <v>44.57</v>
      </c>
      <c r="F33">
        <v>576.91</v>
      </c>
      <c r="G33">
        <v>7.56</v>
      </c>
      <c r="H33">
        <v>-33.03</v>
      </c>
      <c r="I33">
        <v>2.98</v>
      </c>
      <c r="J33">
        <v>4.3499999999999996</v>
      </c>
      <c r="K33">
        <v>718</v>
      </c>
      <c r="L33">
        <v>16923</v>
      </c>
      <c r="M33">
        <v>11.34</v>
      </c>
      <c r="N33">
        <v>0.48</v>
      </c>
      <c r="O33">
        <v>4.42</v>
      </c>
      <c r="Q33" s="28"/>
    </row>
    <row r="34" spans="1:17">
      <c r="A34" s="28">
        <v>4430</v>
      </c>
      <c r="B34" t="s">
        <v>169</v>
      </c>
      <c r="C34">
        <v>475</v>
      </c>
      <c r="D34" t="s">
        <v>347</v>
      </c>
      <c r="E34">
        <v>50.53</v>
      </c>
      <c r="F34">
        <v>5263.07</v>
      </c>
      <c r="G34">
        <v>-30.77</v>
      </c>
      <c r="H34">
        <v>-85.78</v>
      </c>
      <c r="I34">
        <v>1.67</v>
      </c>
      <c r="J34">
        <v>2.72</v>
      </c>
      <c r="K34">
        <v>728</v>
      </c>
      <c r="L34">
        <v>26815</v>
      </c>
      <c r="M34">
        <v>22.47</v>
      </c>
      <c r="N34">
        <v>0.61</v>
      </c>
      <c r="O34">
        <v>11.8</v>
      </c>
    </row>
    <row r="35" spans="1:17">
      <c r="A35" s="28">
        <v>306200</v>
      </c>
      <c r="B35" t="s">
        <v>166</v>
      </c>
      <c r="C35">
        <v>191</v>
      </c>
      <c r="D35" t="s">
        <v>347</v>
      </c>
      <c r="E35">
        <v>76.73</v>
      </c>
      <c r="F35">
        <v>5763.24</v>
      </c>
      <c r="G35">
        <v>20.329999999999998</v>
      </c>
      <c r="H35">
        <v>74.290000000000006</v>
      </c>
      <c r="I35">
        <v>11.83</v>
      </c>
      <c r="J35">
        <v>21.12</v>
      </c>
      <c r="K35">
        <v>56163</v>
      </c>
      <c r="L35">
        <v>293162</v>
      </c>
      <c r="M35">
        <v>2.31</v>
      </c>
      <c r="N35">
        <v>0.44</v>
      </c>
      <c r="O35">
        <v>1.52</v>
      </c>
    </row>
    <row r="36" spans="1:17">
      <c r="A36" s="28">
        <v>1430</v>
      </c>
      <c r="B36" t="s">
        <v>165</v>
      </c>
      <c r="C36">
        <v>491</v>
      </c>
      <c r="D36" t="s">
        <v>347</v>
      </c>
      <c r="E36">
        <v>15.87</v>
      </c>
      <c r="F36">
        <v>591.71</v>
      </c>
      <c r="G36">
        <v>-67.989999999999995</v>
      </c>
      <c r="H36" t="s">
        <v>349</v>
      </c>
      <c r="I36">
        <v>-0.03</v>
      </c>
      <c r="J36">
        <v>-0.04</v>
      </c>
      <c r="K36">
        <v>-16</v>
      </c>
      <c r="L36">
        <v>42301</v>
      </c>
      <c r="N36">
        <v>0.39</v>
      </c>
      <c r="O36">
        <v>10.67</v>
      </c>
    </row>
    <row r="37" spans="1:17">
      <c r="A37" s="28">
        <v>70</v>
      </c>
      <c r="B37" t="s">
        <v>157</v>
      </c>
      <c r="C37">
        <v>481</v>
      </c>
      <c r="D37" t="s">
        <v>347</v>
      </c>
      <c r="E37">
        <v>15.86</v>
      </c>
      <c r="F37">
        <v>3959.87</v>
      </c>
      <c r="G37">
        <v>-40.090000000000003</v>
      </c>
      <c r="H37">
        <v>-67.16</v>
      </c>
      <c r="I37">
        <v>3.8</v>
      </c>
      <c r="J37">
        <v>4.49</v>
      </c>
      <c r="K37">
        <v>8925</v>
      </c>
      <c r="L37">
        <v>202994</v>
      </c>
      <c r="M37">
        <v>7.7</v>
      </c>
      <c r="N37">
        <v>0.34</v>
      </c>
      <c r="O37">
        <v>7.6</v>
      </c>
    </row>
    <row r="38" spans="1:17">
      <c r="A38" s="28">
        <v>29780</v>
      </c>
      <c r="B38" t="s">
        <v>156</v>
      </c>
      <c r="C38">
        <v>368</v>
      </c>
      <c r="D38" t="s">
        <v>347</v>
      </c>
      <c r="E38">
        <v>275.02</v>
      </c>
      <c r="F38">
        <v>1241.1500000000001</v>
      </c>
      <c r="G38">
        <v>2.91</v>
      </c>
      <c r="H38">
        <v>11.99</v>
      </c>
      <c r="I38">
        <v>2.19</v>
      </c>
      <c r="J38">
        <v>8.0500000000000007</v>
      </c>
      <c r="K38">
        <v>5327</v>
      </c>
      <c r="L38">
        <v>71167</v>
      </c>
      <c r="M38">
        <v>5.55</v>
      </c>
      <c r="N38">
        <v>0.42</v>
      </c>
    </row>
    <row r="39" spans="1:17">
      <c r="A39" s="28">
        <v>16360</v>
      </c>
      <c r="B39" t="s">
        <v>155</v>
      </c>
      <c r="C39">
        <v>482</v>
      </c>
      <c r="D39" t="s">
        <v>347</v>
      </c>
      <c r="E39">
        <v>697.84</v>
      </c>
      <c r="F39">
        <v>1204.25</v>
      </c>
      <c r="G39">
        <v>-40.520000000000003</v>
      </c>
      <c r="H39">
        <v>-59.7</v>
      </c>
      <c r="I39">
        <v>0.7</v>
      </c>
      <c r="J39">
        <v>6.34</v>
      </c>
      <c r="K39">
        <v>4227</v>
      </c>
      <c r="L39">
        <v>66962</v>
      </c>
      <c r="M39">
        <v>7.44</v>
      </c>
      <c r="N39">
        <v>0.47</v>
      </c>
    </row>
    <row r="40" spans="1:17">
      <c r="A40" s="28">
        <v>32830</v>
      </c>
      <c r="B40" t="s">
        <v>154</v>
      </c>
      <c r="C40">
        <v>331</v>
      </c>
      <c r="D40" t="s">
        <v>347</v>
      </c>
      <c r="E40">
        <v>1491.6</v>
      </c>
      <c r="F40">
        <v>19696.88</v>
      </c>
      <c r="G40">
        <v>7.04</v>
      </c>
      <c r="H40">
        <v>-27.61</v>
      </c>
      <c r="I40">
        <v>0.21</v>
      </c>
      <c r="J40">
        <v>2.38</v>
      </c>
      <c r="K40">
        <v>3083</v>
      </c>
      <c r="L40">
        <v>98984</v>
      </c>
      <c r="M40">
        <v>23.03</v>
      </c>
      <c r="N40">
        <v>0.72</v>
      </c>
    </row>
    <row r="41" spans="1:17">
      <c r="A41" s="28">
        <v>377740</v>
      </c>
      <c r="B41" t="s">
        <v>152</v>
      </c>
      <c r="C41">
        <v>470</v>
      </c>
      <c r="D41" t="s">
        <v>347</v>
      </c>
      <c r="E41">
        <v>4.74</v>
      </c>
      <c r="F41">
        <v>1955.39</v>
      </c>
      <c r="G41">
        <v>-23.37</v>
      </c>
      <c r="H41">
        <v>-62.25</v>
      </c>
      <c r="I41">
        <v>14.32</v>
      </c>
      <c r="J41">
        <v>15.6</v>
      </c>
      <c r="K41">
        <v>1594</v>
      </c>
      <c r="L41">
        <v>10277</v>
      </c>
      <c r="M41">
        <v>5.38</v>
      </c>
      <c r="N41">
        <v>0.83</v>
      </c>
      <c r="O41">
        <v>2.87</v>
      </c>
    </row>
    <row r="42" spans="1:17">
      <c r="A42" s="28">
        <v>4990</v>
      </c>
      <c r="B42" t="s">
        <v>148</v>
      </c>
      <c r="C42">
        <v>140</v>
      </c>
      <c r="D42" t="s">
        <v>347</v>
      </c>
      <c r="E42">
        <v>89.23</v>
      </c>
      <c r="F42">
        <v>32376.09</v>
      </c>
      <c r="G42">
        <v>30.95</v>
      </c>
      <c r="H42" t="s">
        <v>350</v>
      </c>
      <c r="I42">
        <v>0.72</v>
      </c>
      <c r="J42">
        <v>1.3</v>
      </c>
      <c r="K42">
        <v>602</v>
      </c>
      <c r="L42">
        <v>64952</v>
      </c>
      <c r="M42">
        <v>51.16</v>
      </c>
      <c r="N42">
        <v>0.47</v>
      </c>
      <c r="O42">
        <v>38.619999999999997</v>
      </c>
    </row>
    <row r="43" spans="1:17">
      <c r="A43" s="28">
        <v>4000</v>
      </c>
      <c r="B43" t="s">
        <v>147</v>
      </c>
      <c r="C43">
        <v>107</v>
      </c>
      <c r="D43" t="s">
        <v>347</v>
      </c>
      <c r="E43">
        <v>19.36</v>
      </c>
      <c r="F43">
        <v>1538.48</v>
      </c>
      <c r="G43">
        <v>38.380000000000003</v>
      </c>
      <c r="H43">
        <v>45.85</v>
      </c>
      <c r="I43">
        <v>16.79</v>
      </c>
      <c r="J43">
        <v>19.96</v>
      </c>
      <c r="K43">
        <v>14982</v>
      </c>
      <c r="L43">
        <v>81924</v>
      </c>
      <c r="M43">
        <v>3.78</v>
      </c>
      <c r="N43">
        <v>0.69</v>
      </c>
      <c r="O43">
        <v>2.76</v>
      </c>
    </row>
    <row r="44" spans="1:17">
      <c r="A44" s="28">
        <v>89860</v>
      </c>
      <c r="B44" t="s">
        <v>146</v>
      </c>
      <c r="C44">
        <v>263</v>
      </c>
      <c r="D44" t="s">
        <v>347</v>
      </c>
      <c r="E44">
        <v>449.33</v>
      </c>
      <c r="F44">
        <v>501</v>
      </c>
      <c r="G44">
        <v>12.8</v>
      </c>
      <c r="H44">
        <v>-27.56</v>
      </c>
      <c r="I44">
        <v>1.38</v>
      </c>
      <c r="J44">
        <v>7.24</v>
      </c>
      <c r="K44">
        <v>2129</v>
      </c>
      <c r="L44">
        <v>30050</v>
      </c>
      <c r="M44">
        <v>12.98</v>
      </c>
      <c r="N44">
        <v>0.92</v>
      </c>
      <c r="O44">
        <v>3.54</v>
      </c>
    </row>
    <row r="45" spans="1:17">
      <c r="A45" s="28">
        <v>3490</v>
      </c>
      <c r="B45" t="s">
        <v>136</v>
      </c>
      <c r="C45">
        <v>71</v>
      </c>
      <c r="D45" t="s">
        <v>347</v>
      </c>
      <c r="E45">
        <v>204.21</v>
      </c>
      <c r="F45">
        <v>399.59</v>
      </c>
      <c r="G45">
        <v>53.23</v>
      </c>
      <c r="H45">
        <v>142.47</v>
      </c>
      <c r="I45">
        <v>6.56</v>
      </c>
      <c r="J45">
        <v>21.97</v>
      </c>
      <c r="K45">
        <v>4819</v>
      </c>
      <c r="L45">
        <v>24979</v>
      </c>
      <c r="M45">
        <v>4.76</v>
      </c>
      <c r="N45">
        <v>0.92</v>
      </c>
      <c r="O45">
        <v>3.05</v>
      </c>
    </row>
    <row r="46" spans="1:17">
      <c r="A46" s="28">
        <v>84010</v>
      </c>
      <c r="B46" t="s">
        <v>134</v>
      </c>
      <c r="C46">
        <v>276</v>
      </c>
      <c r="D46" t="s">
        <v>347</v>
      </c>
      <c r="E46">
        <v>37.020000000000003</v>
      </c>
      <c r="F46">
        <v>3145.88</v>
      </c>
      <c r="G46">
        <v>11.93</v>
      </c>
      <c r="H46">
        <v>-15.58</v>
      </c>
      <c r="I46">
        <v>13.47</v>
      </c>
      <c r="J46">
        <v>19</v>
      </c>
      <c r="K46">
        <v>5225</v>
      </c>
      <c r="L46">
        <v>32459</v>
      </c>
      <c r="M46">
        <v>2.08</v>
      </c>
      <c r="N46">
        <v>0.33</v>
      </c>
      <c r="O46">
        <v>1.75</v>
      </c>
    </row>
    <row r="47" spans="1:17">
      <c r="A47" s="28">
        <v>1680</v>
      </c>
      <c r="B47" t="s">
        <v>131</v>
      </c>
      <c r="C47">
        <v>248</v>
      </c>
      <c r="D47" t="s">
        <v>347</v>
      </c>
      <c r="E47">
        <v>121.84</v>
      </c>
      <c r="F47">
        <v>3477.97</v>
      </c>
      <c r="G47">
        <v>14.41</v>
      </c>
      <c r="H47">
        <v>-39.479999999999997</v>
      </c>
      <c r="I47">
        <v>3.09</v>
      </c>
      <c r="J47">
        <v>6.78</v>
      </c>
      <c r="K47">
        <v>2353</v>
      </c>
      <c r="L47">
        <v>35780</v>
      </c>
      <c r="M47">
        <v>9.31</v>
      </c>
      <c r="N47">
        <v>0.61</v>
      </c>
      <c r="O47">
        <v>6.55</v>
      </c>
    </row>
    <row r="48" spans="1:17">
      <c r="A48" s="28">
        <v>24110</v>
      </c>
      <c r="B48" t="s">
        <v>126</v>
      </c>
      <c r="C48">
        <v>85</v>
      </c>
      <c r="D48" t="s">
        <v>347</v>
      </c>
      <c r="E48">
        <v>1361.59</v>
      </c>
      <c r="F48">
        <v>546.42999999999995</v>
      </c>
      <c r="G48">
        <v>45.28</v>
      </c>
      <c r="H48">
        <v>21</v>
      </c>
      <c r="I48">
        <v>0.64</v>
      </c>
      <c r="J48">
        <v>9.3000000000000007</v>
      </c>
      <c r="K48">
        <v>3078</v>
      </c>
      <c r="L48">
        <v>34139</v>
      </c>
      <c r="M48">
        <v>3.19</v>
      </c>
      <c r="N48">
        <v>0.28999999999999998</v>
      </c>
    </row>
    <row r="49" spans="1:15">
      <c r="A49" s="28">
        <v>11780</v>
      </c>
      <c r="B49" t="s">
        <v>125</v>
      </c>
      <c r="C49">
        <v>425</v>
      </c>
      <c r="D49" t="s">
        <v>347</v>
      </c>
      <c r="E49">
        <v>33.99</v>
      </c>
      <c r="F49">
        <v>1829.47</v>
      </c>
      <c r="G49">
        <v>-7.53</v>
      </c>
      <c r="H49">
        <v>-40.98</v>
      </c>
      <c r="I49">
        <v>12.88</v>
      </c>
      <c r="J49">
        <v>18.34</v>
      </c>
      <c r="K49">
        <v>17396</v>
      </c>
      <c r="L49">
        <v>99914</v>
      </c>
      <c r="M49">
        <v>7.24</v>
      </c>
      <c r="N49">
        <v>1.26</v>
      </c>
      <c r="O49">
        <v>5.19</v>
      </c>
    </row>
    <row r="50" spans="1:15">
      <c r="A50" s="28">
        <v>7690</v>
      </c>
      <c r="B50" t="s">
        <v>122</v>
      </c>
      <c r="C50">
        <v>423</v>
      </c>
      <c r="D50" t="s">
        <v>347</v>
      </c>
      <c r="E50">
        <v>61.3</v>
      </c>
      <c r="F50">
        <v>1750.27</v>
      </c>
      <c r="G50">
        <v>-7.41</v>
      </c>
      <c r="H50">
        <v>-47.83</v>
      </c>
      <c r="I50">
        <v>7.89</v>
      </c>
      <c r="J50">
        <v>12.9</v>
      </c>
      <c r="K50">
        <v>11001</v>
      </c>
      <c r="L50">
        <v>92514</v>
      </c>
      <c r="M50">
        <v>3.89</v>
      </c>
      <c r="N50">
        <v>0.46</v>
      </c>
      <c r="O50">
        <v>4.1399999999999997</v>
      </c>
    </row>
    <row r="51" spans="1:15">
      <c r="A51" s="28">
        <v>30610</v>
      </c>
      <c r="B51" t="s">
        <v>121</v>
      </c>
      <c r="C51">
        <v>472</v>
      </c>
      <c r="D51" t="s">
        <v>347</v>
      </c>
      <c r="E51">
        <v>676.37</v>
      </c>
      <c r="F51">
        <v>385.92</v>
      </c>
      <c r="G51">
        <v>-27.32</v>
      </c>
      <c r="H51">
        <v>-68.959999999999994</v>
      </c>
      <c r="I51">
        <v>0.39</v>
      </c>
      <c r="J51">
        <v>3.01</v>
      </c>
      <c r="K51">
        <v>690</v>
      </c>
      <c r="L51">
        <v>24296</v>
      </c>
      <c r="M51">
        <v>7.63</v>
      </c>
      <c r="N51">
        <v>0.22</v>
      </c>
    </row>
    <row r="52" spans="1:15">
      <c r="A52" s="28">
        <v>10130</v>
      </c>
      <c r="B52" t="s">
        <v>119</v>
      </c>
      <c r="C52">
        <v>262</v>
      </c>
      <c r="D52" t="s">
        <v>347</v>
      </c>
      <c r="E52">
        <v>20.13</v>
      </c>
      <c r="F52">
        <v>8358.33</v>
      </c>
      <c r="G52">
        <v>12.83</v>
      </c>
      <c r="H52">
        <v>-14.63</v>
      </c>
      <c r="I52">
        <v>7.13</v>
      </c>
      <c r="J52">
        <v>8.43</v>
      </c>
      <c r="K52">
        <v>34110</v>
      </c>
      <c r="L52">
        <v>422917</v>
      </c>
      <c r="M52">
        <v>16.53</v>
      </c>
      <c r="N52">
        <v>1.33</v>
      </c>
      <c r="O52">
        <v>9.6300000000000008</v>
      </c>
    </row>
    <row r="53" spans="1:15">
      <c r="A53" s="28">
        <v>2900</v>
      </c>
      <c r="B53" t="s">
        <v>115</v>
      </c>
      <c r="C53">
        <v>50</v>
      </c>
      <c r="D53" t="s">
        <v>347</v>
      </c>
      <c r="E53">
        <v>124.87</v>
      </c>
      <c r="F53">
        <v>344.28</v>
      </c>
      <c r="G53">
        <v>71.319999999999993</v>
      </c>
      <c r="H53">
        <v>116.26</v>
      </c>
      <c r="I53">
        <v>15.83</v>
      </c>
      <c r="J53">
        <v>34.340000000000003</v>
      </c>
      <c r="K53">
        <v>2187</v>
      </c>
      <c r="L53">
        <v>7512</v>
      </c>
      <c r="M53">
        <v>4.45</v>
      </c>
      <c r="N53">
        <v>1.3</v>
      </c>
      <c r="O53">
        <v>6.44</v>
      </c>
    </row>
    <row r="54" spans="1:15">
      <c r="A54" s="28">
        <v>64960</v>
      </c>
      <c r="B54" t="s">
        <v>112</v>
      </c>
      <c r="C54">
        <v>286</v>
      </c>
      <c r="D54" t="s">
        <v>347</v>
      </c>
      <c r="E54">
        <v>28.02</v>
      </c>
      <c r="F54">
        <v>1267.56</v>
      </c>
      <c r="G54">
        <v>10.94</v>
      </c>
      <c r="H54">
        <v>-0.94</v>
      </c>
      <c r="I54">
        <v>7.44</v>
      </c>
      <c r="J54">
        <v>9.92</v>
      </c>
      <c r="K54">
        <v>6167</v>
      </c>
      <c r="L54">
        <v>68378</v>
      </c>
      <c r="M54">
        <v>7.01</v>
      </c>
      <c r="N54">
        <v>0.63</v>
      </c>
      <c r="O54">
        <v>4.29</v>
      </c>
    </row>
    <row r="55" spans="1:15">
      <c r="A55" s="28">
        <v>96770</v>
      </c>
      <c r="B55" t="s">
        <v>111</v>
      </c>
      <c r="C55">
        <v>487</v>
      </c>
      <c r="D55" t="s">
        <v>347</v>
      </c>
      <c r="E55">
        <v>22.43</v>
      </c>
      <c r="F55">
        <v>3592</v>
      </c>
      <c r="G55">
        <v>-50.24</v>
      </c>
      <c r="H55">
        <v>-65.59</v>
      </c>
      <c r="I55">
        <v>2.38</v>
      </c>
      <c r="J55">
        <v>2.88</v>
      </c>
      <c r="K55">
        <v>4778</v>
      </c>
      <c r="L55">
        <v>182378</v>
      </c>
      <c r="M55">
        <v>31.72</v>
      </c>
      <c r="N55">
        <v>0.83</v>
      </c>
      <c r="O55">
        <v>21.6</v>
      </c>
    </row>
    <row r="56" spans="1:15">
      <c r="A56" s="28">
        <v>210980</v>
      </c>
      <c r="B56" t="s">
        <v>110</v>
      </c>
      <c r="C56">
        <v>477</v>
      </c>
      <c r="D56" t="s">
        <v>347</v>
      </c>
      <c r="E56">
        <v>179.21</v>
      </c>
      <c r="F56">
        <v>2772.83</v>
      </c>
      <c r="G56">
        <v>-36.69</v>
      </c>
      <c r="H56">
        <v>-40.08</v>
      </c>
      <c r="I56">
        <v>4.0199999999999996</v>
      </c>
      <c r="J56">
        <v>11.05</v>
      </c>
      <c r="K56">
        <v>3056</v>
      </c>
      <c r="L56">
        <v>28728</v>
      </c>
      <c r="M56">
        <v>6.56</v>
      </c>
      <c r="N56">
        <v>0.7</v>
      </c>
      <c r="O56">
        <v>19.47</v>
      </c>
    </row>
    <row r="57" spans="1:15">
      <c r="A57" s="28">
        <v>6120</v>
      </c>
      <c r="B57" t="s">
        <v>109</v>
      </c>
      <c r="C57">
        <v>30</v>
      </c>
      <c r="D57" t="s">
        <v>347</v>
      </c>
      <c r="E57">
        <v>54.02</v>
      </c>
      <c r="F57">
        <v>894.43</v>
      </c>
      <c r="G57">
        <v>107.41</v>
      </c>
      <c r="H57">
        <v>320.92</v>
      </c>
      <c r="I57">
        <v>10.09</v>
      </c>
      <c r="J57">
        <v>15.99</v>
      </c>
      <c r="K57">
        <v>7980</v>
      </c>
      <c r="L57">
        <v>54449</v>
      </c>
      <c r="M57">
        <v>3.79</v>
      </c>
      <c r="N57">
        <v>0.56000000000000005</v>
      </c>
      <c r="O57">
        <v>20.14</v>
      </c>
    </row>
    <row r="58" spans="1:15">
      <c r="A58" s="28">
        <v>18670</v>
      </c>
      <c r="B58" t="s">
        <v>108</v>
      </c>
      <c r="C58">
        <v>103</v>
      </c>
      <c r="D58" t="s">
        <v>347</v>
      </c>
      <c r="E58">
        <v>141.35</v>
      </c>
      <c r="F58">
        <v>4393.38</v>
      </c>
      <c r="G58">
        <v>39.630000000000003</v>
      </c>
      <c r="H58">
        <v>18.34</v>
      </c>
      <c r="I58">
        <v>5.56</v>
      </c>
      <c r="J58">
        <v>13.67</v>
      </c>
      <c r="K58">
        <v>29133</v>
      </c>
      <c r="L58">
        <v>224669</v>
      </c>
      <c r="M58">
        <v>3.96</v>
      </c>
      <c r="N58">
        <v>0.51</v>
      </c>
      <c r="O58">
        <v>5.07</v>
      </c>
    </row>
    <row r="59" spans="1:15">
      <c r="A59" s="28">
        <v>9160</v>
      </c>
      <c r="B59" t="s">
        <v>107</v>
      </c>
      <c r="C59">
        <v>370</v>
      </c>
      <c r="D59" t="s">
        <v>347</v>
      </c>
      <c r="E59">
        <v>51.63</v>
      </c>
      <c r="F59">
        <v>1597.69</v>
      </c>
      <c r="G59">
        <v>2.77</v>
      </c>
      <c r="H59">
        <v>-27.24</v>
      </c>
      <c r="I59">
        <v>6.01</v>
      </c>
      <c r="J59">
        <v>9.43</v>
      </c>
      <c r="K59">
        <v>726</v>
      </c>
      <c r="L59">
        <v>8488</v>
      </c>
      <c r="M59">
        <v>6.45</v>
      </c>
      <c r="N59">
        <v>0.55000000000000004</v>
      </c>
      <c r="O59">
        <v>3.26</v>
      </c>
    </row>
    <row r="60" spans="1:15">
      <c r="A60" s="28">
        <v>5090</v>
      </c>
      <c r="B60" t="s">
        <v>106</v>
      </c>
      <c r="C60">
        <v>35</v>
      </c>
      <c r="D60" t="s">
        <v>347</v>
      </c>
      <c r="E60">
        <v>167.8</v>
      </c>
      <c r="F60">
        <v>775.49</v>
      </c>
      <c r="G60">
        <v>93.95</v>
      </c>
      <c r="H60">
        <v>104.87</v>
      </c>
      <c r="I60">
        <v>5.09</v>
      </c>
      <c r="J60">
        <v>13.78</v>
      </c>
      <c r="K60">
        <v>5629</v>
      </c>
      <c r="L60">
        <v>43775</v>
      </c>
      <c r="M60">
        <v>5.5</v>
      </c>
      <c r="N60">
        <v>0.71</v>
      </c>
      <c r="O60">
        <v>5.16</v>
      </c>
    </row>
    <row r="61" spans="1:15">
      <c r="A61" s="28">
        <v>34120</v>
      </c>
      <c r="B61" t="s">
        <v>105</v>
      </c>
      <c r="C61">
        <v>282</v>
      </c>
      <c r="D61" t="s">
        <v>347</v>
      </c>
      <c r="E61">
        <v>73.23</v>
      </c>
      <c r="F61">
        <v>690.51</v>
      </c>
      <c r="G61">
        <v>11.3</v>
      </c>
      <c r="H61">
        <v>11.79</v>
      </c>
      <c r="I61">
        <v>9.9499999999999993</v>
      </c>
      <c r="J61">
        <v>18.510000000000002</v>
      </c>
      <c r="K61">
        <v>6595</v>
      </c>
      <c r="L61">
        <v>39526</v>
      </c>
      <c r="M61">
        <v>5.24</v>
      </c>
      <c r="N61">
        <v>0.87</v>
      </c>
      <c r="O61">
        <v>4.24</v>
      </c>
    </row>
    <row r="62" spans="1:15">
      <c r="A62" s="28">
        <v>5940</v>
      </c>
      <c r="B62" t="s">
        <v>103</v>
      </c>
      <c r="C62">
        <v>480</v>
      </c>
      <c r="D62" t="s">
        <v>347</v>
      </c>
      <c r="E62">
        <v>635.53</v>
      </c>
      <c r="F62">
        <v>285.24</v>
      </c>
      <c r="G62">
        <v>-39.33</v>
      </c>
      <c r="H62">
        <v>-62.34</v>
      </c>
      <c r="I62">
        <v>0.64</v>
      </c>
      <c r="J62">
        <v>5.08</v>
      </c>
      <c r="K62">
        <v>984</v>
      </c>
      <c r="L62">
        <v>19590</v>
      </c>
      <c r="M62">
        <v>8.91</v>
      </c>
      <c r="N62">
        <v>0.45</v>
      </c>
    </row>
    <row r="63" spans="1:15">
      <c r="A63" s="28">
        <v>1120</v>
      </c>
      <c r="B63" t="s">
        <v>100</v>
      </c>
      <c r="C63">
        <v>398</v>
      </c>
      <c r="D63" t="s">
        <v>347</v>
      </c>
      <c r="E63">
        <v>63.8</v>
      </c>
      <c r="F63">
        <v>1112.69</v>
      </c>
      <c r="G63">
        <v>-1.1399999999999999</v>
      </c>
      <c r="H63">
        <v>51.88</v>
      </c>
      <c r="I63">
        <v>15.54</v>
      </c>
      <c r="J63">
        <v>25.69</v>
      </c>
      <c r="K63">
        <v>13637</v>
      </c>
      <c r="L63">
        <v>60634</v>
      </c>
      <c r="M63">
        <v>2.4900000000000002</v>
      </c>
      <c r="N63">
        <v>0.56000000000000005</v>
      </c>
      <c r="O63">
        <v>14.42</v>
      </c>
    </row>
    <row r="64" spans="1:15">
      <c r="A64" s="28">
        <v>32640</v>
      </c>
      <c r="B64" t="s">
        <v>99</v>
      </c>
      <c r="C64">
        <v>393</v>
      </c>
      <c r="D64" t="s">
        <v>347</v>
      </c>
      <c r="E64">
        <v>128.59</v>
      </c>
      <c r="F64">
        <v>220.36</v>
      </c>
      <c r="G64">
        <v>-0.18</v>
      </c>
      <c r="H64">
        <v>-2.57</v>
      </c>
      <c r="I64">
        <v>3.59</v>
      </c>
      <c r="J64">
        <v>8.36</v>
      </c>
      <c r="K64">
        <v>1516</v>
      </c>
      <c r="L64">
        <v>18886</v>
      </c>
      <c r="M64">
        <v>7.29</v>
      </c>
      <c r="N64">
        <v>0.59</v>
      </c>
      <c r="O64">
        <v>3.2</v>
      </c>
    </row>
    <row r="65" spans="1:15">
      <c r="A65" s="28">
        <v>3550</v>
      </c>
      <c r="B65" s="11" t="s">
        <v>98</v>
      </c>
      <c r="C65">
        <v>323</v>
      </c>
      <c r="D65" t="s">
        <v>347</v>
      </c>
      <c r="E65">
        <v>3.81</v>
      </c>
      <c r="F65">
        <v>1111.8499999999999</v>
      </c>
      <c r="G65">
        <v>7.86</v>
      </c>
      <c r="H65">
        <v>-38.31</v>
      </c>
      <c r="I65">
        <v>7.52</v>
      </c>
      <c r="J65">
        <v>7.78</v>
      </c>
      <c r="K65">
        <v>4599</v>
      </c>
      <c r="L65">
        <v>60592</v>
      </c>
      <c r="M65">
        <v>16.98</v>
      </c>
      <c r="N65">
        <v>1.29</v>
      </c>
      <c r="O65">
        <v>14.71</v>
      </c>
    </row>
    <row r="66" spans="1:15">
      <c r="A66" s="28">
        <v>93050</v>
      </c>
      <c r="B66" t="s">
        <v>97</v>
      </c>
      <c r="C66">
        <v>284</v>
      </c>
      <c r="D66" t="s">
        <v>347</v>
      </c>
      <c r="E66">
        <v>30.04</v>
      </c>
      <c r="F66">
        <v>943.79</v>
      </c>
      <c r="G66">
        <v>11.04</v>
      </c>
      <c r="H66">
        <v>8.98</v>
      </c>
      <c r="I66">
        <v>8.17</v>
      </c>
      <c r="J66">
        <v>10.73</v>
      </c>
      <c r="K66">
        <v>5328</v>
      </c>
      <c r="L66">
        <v>52190</v>
      </c>
      <c r="M66">
        <v>2.98</v>
      </c>
      <c r="N66">
        <v>0.3</v>
      </c>
      <c r="O66">
        <v>3.72</v>
      </c>
    </row>
    <row r="67" spans="1:15">
      <c r="A67" s="28">
        <v>30200</v>
      </c>
      <c r="B67" t="s">
        <v>94</v>
      </c>
      <c r="C67">
        <v>394</v>
      </c>
      <c r="D67" t="s">
        <v>347</v>
      </c>
      <c r="E67">
        <v>104.72</v>
      </c>
      <c r="F67">
        <v>862.63</v>
      </c>
      <c r="G67">
        <v>-0.53</v>
      </c>
      <c r="H67">
        <v>-22.89</v>
      </c>
      <c r="I67">
        <v>2.56</v>
      </c>
      <c r="J67">
        <v>5.32</v>
      </c>
      <c r="K67">
        <v>2925</v>
      </c>
      <c r="L67">
        <v>57678</v>
      </c>
      <c r="M67">
        <v>11.56</v>
      </c>
      <c r="N67">
        <v>0.59</v>
      </c>
      <c r="O67">
        <v>3.7</v>
      </c>
    </row>
    <row r="68" spans="1:15">
      <c r="A68" s="28">
        <v>35600</v>
      </c>
      <c r="B68" t="s">
        <v>333</v>
      </c>
      <c r="C68">
        <v>280</v>
      </c>
      <c r="D68" t="s">
        <v>348</v>
      </c>
      <c r="E68">
        <v>129.33000000000001</v>
      </c>
      <c r="F68">
        <v>2409.52</v>
      </c>
      <c r="G68">
        <v>11.49</v>
      </c>
      <c r="H68">
        <v>11.53</v>
      </c>
      <c r="I68">
        <v>6.83</v>
      </c>
      <c r="J68">
        <v>15.9</v>
      </c>
      <c r="K68">
        <v>1814</v>
      </c>
      <c r="L68">
        <v>12548</v>
      </c>
      <c r="M68">
        <v>6.45</v>
      </c>
      <c r="N68">
        <v>0.93</v>
      </c>
      <c r="O68">
        <v>5.63</v>
      </c>
    </row>
    <row r="69" spans="1:15">
      <c r="A69" s="28">
        <v>92220</v>
      </c>
      <c r="B69" t="s">
        <v>91</v>
      </c>
      <c r="C69">
        <v>408</v>
      </c>
      <c r="D69" t="s">
        <v>347</v>
      </c>
      <c r="E69">
        <v>48.22</v>
      </c>
      <c r="F69">
        <v>312.11</v>
      </c>
      <c r="G69">
        <v>-3.23</v>
      </c>
      <c r="H69">
        <v>127.81</v>
      </c>
      <c r="I69">
        <v>4.9400000000000004</v>
      </c>
      <c r="J69">
        <v>7.65</v>
      </c>
      <c r="K69">
        <v>144</v>
      </c>
      <c r="L69">
        <v>1971</v>
      </c>
      <c r="M69">
        <v>12.59</v>
      </c>
      <c r="N69">
        <v>0.92</v>
      </c>
      <c r="O69">
        <v>16.63</v>
      </c>
    </row>
    <row r="70" spans="1:15">
      <c r="A70" s="28">
        <v>105560</v>
      </c>
      <c r="B70" t="s">
        <v>89</v>
      </c>
      <c r="C70">
        <v>31</v>
      </c>
      <c r="D70" t="s">
        <v>347</v>
      </c>
      <c r="E70">
        <v>25.68</v>
      </c>
      <c r="F70">
        <v>1099.1099999999999</v>
      </c>
      <c r="G70">
        <v>106.58</v>
      </c>
      <c r="H70">
        <v>18.350000000000001</v>
      </c>
      <c r="I70">
        <v>5.68</v>
      </c>
      <c r="J70">
        <v>7.21</v>
      </c>
      <c r="K70">
        <v>4095</v>
      </c>
      <c r="L70">
        <v>61306</v>
      </c>
      <c r="M70">
        <v>11.84</v>
      </c>
      <c r="N70">
        <v>0.79</v>
      </c>
    </row>
    <row r="71" spans="1:15">
      <c r="A71" s="28">
        <v>175330</v>
      </c>
      <c r="B71" t="s">
        <v>88</v>
      </c>
      <c r="C71">
        <v>45</v>
      </c>
      <c r="D71" t="s">
        <v>347</v>
      </c>
      <c r="E71">
        <v>36.39</v>
      </c>
      <c r="F71">
        <v>131.61000000000001</v>
      </c>
      <c r="G71">
        <v>76.739999999999995</v>
      </c>
      <c r="H71">
        <v>163.72999999999999</v>
      </c>
      <c r="I71">
        <v>11.55</v>
      </c>
      <c r="J71">
        <v>15.64</v>
      </c>
      <c r="K71">
        <v>1727</v>
      </c>
      <c r="L71">
        <v>11581</v>
      </c>
      <c r="M71">
        <v>4.57</v>
      </c>
      <c r="N71">
        <v>0.68</v>
      </c>
    </row>
    <row r="72" spans="1:15">
      <c r="A72" s="28">
        <v>11200</v>
      </c>
      <c r="B72" t="s">
        <v>86</v>
      </c>
      <c r="C72">
        <v>124</v>
      </c>
      <c r="D72" t="s">
        <v>347</v>
      </c>
      <c r="E72">
        <v>24.58</v>
      </c>
      <c r="F72">
        <v>743.14</v>
      </c>
      <c r="G72">
        <v>34.869999999999997</v>
      </c>
      <c r="H72">
        <v>87.69</v>
      </c>
      <c r="I72">
        <v>46.42</v>
      </c>
      <c r="J72">
        <v>65</v>
      </c>
      <c r="K72">
        <v>20546</v>
      </c>
      <c r="L72">
        <v>42157</v>
      </c>
      <c r="M72">
        <v>0.95</v>
      </c>
      <c r="N72">
        <v>0.46</v>
      </c>
      <c r="O72">
        <v>0.89</v>
      </c>
    </row>
    <row r="73" spans="1:15">
      <c r="A73" s="28">
        <v>267270</v>
      </c>
      <c r="B73" t="s">
        <v>85</v>
      </c>
      <c r="C73">
        <v>194</v>
      </c>
      <c r="D73" t="s">
        <v>347</v>
      </c>
      <c r="E73">
        <v>84.58</v>
      </c>
      <c r="F73">
        <v>1307.5899999999999</v>
      </c>
      <c r="G73">
        <v>19.97</v>
      </c>
      <c r="H73">
        <v>-3.71</v>
      </c>
      <c r="I73">
        <v>4.49</v>
      </c>
      <c r="J73">
        <v>8.6</v>
      </c>
      <c r="K73">
        <v>5439</v>
      </c>
      <c r="L73">
        <v>70380</v>
      </c>
      <c r="M73">
        <v>11.44</v>
      </c>
      <c r="N73">
        <v>0.88</v>
      </c>
      <c r="O73">
        <v>8.91</v>
      </c>
    </row>
    <row r="74" spans="1:15">
      <c r="A74" s="28">
        <v>267250</v>
      </c>
      <c r="B74" t="s">
        <v>84</v>
      </c>
      <c r="C74">
        <v>115</v>
      </c>
      <c r="D74" t="s">
        <v>347</v>
      </c>
      <c r="E74">
        <v>56.38</v>
      </c>
      <c r="F74">
        <v>7313.61</v>
      </c>
      <c r="G74">
        <v>36.840000000000003</v>
      </c>
      <c r="H74">
        <v>-56.32</v>
      </c>
      <c r="I74">
        <v>2.61</v>
      </c>
      <c r="J74">
        <v>3.92</v>
      </c>
      <c r="K74">
        <v>2776</v>
      </c>
      <c r="L74">
        <v>76426</v>
      </c>
      <c r="M74">
        <v>20.57</v>
      </c>
      <c r="N74">
        <v>0.75</v>
      </c>
      <c r="O74">
        <v>22.72</v>
      </c>
    </row>
    <row r="75" spans="1:15">
      <c r="A75" s="28">
        <v>6360</v>
      </c>
      <c r="B75" t="s">
        <v>82</v>
      </c>
      <c r="C75">
        <v>289</v>
      </c>
      <c r="D75" t="s">
        <v>347</v>
      </c>
      <c r="E75">
        <v>158.24</v>
      </c>
      <c r="F75">
        <v>1061.3599999999999</v>
      </c>
      <c r="G75">
        <v>10.49</v>
      </c>
      <c r="H75">
        <v>-24.12</v>
      </c>
      <c r="I75">
        <v>1.88</v>
      </c>
      <c r="J75">
        <v>4.93</v>
      </c>
      <c r="K75">
        <v>2812</v>
      </c>
      <c r="L75">
        <v>58068</v>
      </c>
      <c r="M75">
        <v>7.52</v>
      </c>
      <c r="N75">
        <v>0.36</v>
      </c>
      <c r="O75">
        <v>7.86</v>
      </c>
    </row>
    <row r="76" spans="1:15">
      <c r="A76" s="28">
        <v>78930</v>
      </c>
      <c r="B76" t="s">
        <v>81</v>
      </c>
      <c r="C76">
        <v>19</v>
      </c>
      <c r="D76" t="s">
        <v>347</v>
      </c>
      <c r="E76">
        <v>19.190000000000001</v>
      </c>
      <c r="F76">
        <v>1073.72</v>
      </c>
      <c r="G76">
        <v>144.35</v>
      </c>
      <c r="H76">
        <v>48.57</v>
      </c>
      <c r="I76">
        <v>6.88</v>
      </c>
      <c r="J76">
        <v>8.2100000000000009</v>
      </c>
      <c r="K76">
        <v>4704</v>
      </c>
      <c r="L76">
        <v>58686</v>
      </c>
      <c r="M76">
        <v>9.31</v>
      </c>
      <c r="N76">
        <v>0.75</v>
      </c>
      <c r="O76">
        <v>10.27</v>
      </c>
    </row>
    <row r="77" spans="1:15">
      <c r="A77" s="28">
        <v>7340</v>
      </c>
      <c r="B77" t="s">
        <v>79</v>
      </c>
      <c r="C77">
        <v>13</v>
      </c>
      <c r="D77" t="s">
        <v>347</v>
      </c>
      <c r="E77">
        <v>144.80000000000001</v>
      </c>
      <c r="F77">
        <v>13385.03</v>
      </c>
      <c r="G77">
        <v>228.58</v>
      </c>
      <c r="H77">
        <v>-87.99</v>
      </c>
      <c r="I77">
        <v>2.63</v>
      </c>
      <c r="J77">
        <v>5.72</v>
      </c>
      <c r="K77">
        <v>3789</v>
      </c>
      <c r="L77">
        <v>67425</v>
      </c>
      <c r="M77">
        <v>16.920000000000002</v>
      </c>
      <c r="N77">
        <v>0.95</v>
      </c>
      <c r="O77">
        <v>12</v>
      </c>
    </row>
    <row r="78" spans="1:15">
      <c r="A78" s="28">
        <v>139130</v>
      </c>
      <c r="B78" t="s">
        <v>78</v>
      </c>
      <c r="C78">
        <v>462</v>
      </c>
      <c r="D78" t="s">
        <v>347</v>
      </c>
      <c r="E78">
        <v>34.590000000000003</v>
      </c>
      <c r="F78">
        <v>282.5</v>
      </c>
      <c r="G78">
        <v>-18.22</v>
      </c>
      <c r="H78">
        <v>6.79</v>
      </c>
      <c r="I78">
        <v>3.61</v>
      </c>
      <c r="J78">
        <v>4.66</v>
      </c>
      <c r="K78">
        <v>888</v>
      </c>
      <c r="L78">
        <v>19125</v>
      </c>
      <c r="M78">
        <v>7.87</v>
      </c>
      <c r="N78">
        <v>0.37</v>
      </c>
    </row>
    <row r="79" spans="1:15">
      <c r="A79" s="28">
        <v>138930</v>
      </c>
      <c r="B79" t="s">
        <v>76</v>
      </c>
      <c r="C79">
        <v>385</v>
      </c>
      <c r="D79" t="s">
        <v>347</v>
      </c>
      <c r="E79">
        <v>29.33</v>
      </c>
      <c r="F79">
        <v>228.56</v>
      </c>
      <c r="G79">
        <v>1.1599999999999999</v>
      </c>
      <c r="H79">
        <v>47.96</v>
      </c>
      <c r="I79">
        <v>4.4400000000000004</v>
      </c>
      <c r="J79">
        <v>5.76</v>
      </c>
      <c r="K79">
        <v>937</v>
      </c>
      <c r="L79">
        <v>16428</v>
      </c>
      <c r="M79">
        <v>6.94</v>
      </c>
      <c r="N79">
        <v>0.4</v>
      </c>
    </row>
    <row r="100" spans="1:14">
      <c r="A100" s="38" t="s">
        <v>2774</v>
      </c>
    </row>
    <row r="101" spans="1:14">
      <c r="A101" s="39" t="s">
        <v>2775</v>
      </c>
      <c r="B101" s="8" t="s">
        <v>2776</v>
      </c>
      <c r="C101" s="8" t="s">
        <v>2777</v>
      </c>
      <c r="D101" s="8" t="s">
        <v>2778</v>
      </c>
      <c r="E101" s="8" t="s">
        <v>2779</v>
      </c>
      <c r="F101" s="8" t="s">
        <v>2780</v>
      </c>
      <c r="G101" s="8" t="s">
        <v>2781</v>
      </c>
      <c r="H101" s="8" t="s">
        <v>2782</v>
      </c>
      <c r="I101" s="40" t="s">
        <v>342</v>
      </c>
      <c r="J101" s="40" t="s">
        <v>2783</v>
      </c>
      <c r="K101" s="40" t="s">
        <v>2784</v>
      </c>
      <c r="L101" s="40" t="s">
        <v>2785</v>
      </c>
      <c r="M101" s="40" t="s">
        <v>2786</v>
      </c>
      <c r="N101" s="41" t="s">
        <v>2787</v>
      </c>
    </row>
    <row r="102" spans="1:14">
      <c r="A102" s="28">
        <v>1017</v>
      </c>
      <c r="B102" t="s">
        <v>114</v>
      </c>
      <c r="C102" t="s">
        <v>347</v>
      </c>
      <c r="D102">
        <v>0.21</v>
      </c>
      <c r="E102">
        <v>5534.22</v>
      </c>
      <c r="F102">
        <v>8.8000000000000007</v>
      </c>
      <c r="G102">
        <v>12.38</v>
      </c>
      <c r="H102">
        <v>4.8600000000000003</v>
      </c>
      <c r="I102">
        <v>4.87</v>
      </c>
      <c r="J102">
        <v>1311.44</v>
      </c>
      <c r="K102">
        <v>28862.26</v>
      </c>
      <c r="L102">
        <v>13.18</v>
      </c>
      <c r="M102">
        <v>0.6</v>
      </c>
      <c r="N102">
        <v>13.56</v>
      </c>
    </row>
    <row r="103" spans="1:14">
      <c r="A103" s="28">
        <v>400</v>
      </c>
      <c r="B103" t="s">
        <v>751</v>
      </c>
      <c r="C103" t="s">
        <v>347</v>
      </c>
      <c r="D103">
        <v>0.35</v>
      </c>
      <c r="E103">
        <v>3058.63</v>
      </c>
      <c r="F103">
        <v>31.74</v>
      </c>
      <c r="G103">
        <v>83.28</v>
      </c>
      <c r="H103">
        <v>3.69</v>
      </c>
      <c r="I103">
        <v>3.7</v>
      </c>
      <c r="J103">
        <v>1280.55</v>
      </c>
      <c r="K103">
        <v>36077.269999999997</v>
      </c>
      <c r="L103">
        <v>18.59</v>
      </c>
      <c r="M103">
        <v>0.66</v>
      </c>
      <c r="N103">
        <v>22.99</v>
      </c>
    </row>
    <row r="104" spans="1:14">
      <c r="A104" s="28">
        <v>10</v>
      </c>
      <c r="B104" t="s">
        <v>740</v>
      </c>
      <c r="C104" t="s">
        <v>347</v>
      </c>
      <c r="D104">
        <v>0.44</v>
      </c>
      <c r="E104">
        <v>9759.2099999999991</v>
      </c>
      <c r="F104">
        <v>1358.39</v>
      </c>
      <c r="G104">
        <v>-99.28</v>
      </c>
      <c r="H104">
        <v>1.23</v>
      </c>
      <c r="I104">
        <v>1.24</v>
      </c>
      <c r="J104">
        <v>606.83000000000004</v>
      </c>
      <c r="K104">
        <v>49296.05</v>
      </c>
      <c r="L104">
        <v>50.18</v>
      </c>
      <c r="M104">
        <v>0.62</v>
      </c>
      <c r="N104">
        <v>43.04</v>
      </c>
    </row>
    <row r="105" spans="1:14">
      <c r="A105" s="28">
        <v>431</v>
      </c>
      <c r="B105" t="s">
        <v>1036</v>
      </c>
      <c r="C105" t="s">
        <v>347</v>
      </c>
      <c r="D105">
        <v>0.47</v>
      </c>
      <c r="E105">
        <v>2484.61</v>
      </c>
      <c r="F105">
        <v>29.52</v>
      </c>
      <c r="G105" t="s">
        <v>349</v>
      </c>
      <c r="H105">
        <v>-2.46</v>
      </c>
      <c r="I105">
        <v>-2.4700000000000002</v>
      </c>
      <c r="J105">
        <v>-3140.59</v>
      </c>
      <c r="K105">
        <v>129230.53</v>
      </c>
      <c r="M105">
        <v>0.76</v>
      </c>
      <c r="N105">
        <v>89.61</v>
      </c>
    </row>
    <row r="106" spans="1:14">
      <c r="A106" s="28">
        <v>254</v>
      </c>
      <c r="B106" t="s">
        <v>130</v>
      </c>
      <c r="C106" t="s">
        <v>347</v>
      </c>
      <c r="D106">
        <v>0.47</v>
      </c>
      <c r="E106">
        <v>2870.72</v>
      </c>
      <c r="F106">
        <v>45.96</v>
      </c>
      <c r="G106" t="s">
        <v>349</v>
      </c>
      <c r="H106">
        <v>-1.39</v>
      </c>
      <c r="I106">
        <v>-1.39</v>
      </c>
      <c r="J106">
        <v>-210.69</v>
      </c>
      <c r="K106">
        <v>14853.62</v>
      </c>
      <c r="M106">
        <v>0.42</v>
      </c>
      <c r="N106">
        <v>33.340000000000003</v>
      </c>
    </row>
    <row r="107" spans="1:14">
      <c r="A107" s="28">
        <v>378</v>
      </c>
      <c r="B107" t="s">
        <v>1169</v>
      </c>
      <c r="C107" t="s">
        <v>347</v>
      </c>
      <c r="D107">
        <v>1.21</v>
      </c>
      <c r="E107">
        <v>2596.92</v>
      </c>
      <c r="F107">
        <v>32.78</v>
      </c>
      <c r="G107">
        <v>182.81</v>
      </c>
      <c r="H107">
        <v>3.04</v>
      </c>
      <c r="I107">
        <v>3.08</v>
      </c>
      <c r="J107">
        <v>404.71</v>
      </c>
      <c r="K107">
        <v>13484.58</v>
      </c>
      <c r="L107">
        <v>17.12</v>
      </c>
      <c r="M107">
        <v>0.51</v>
      </c>
      <c r="N107">
        <v>21.88</v>
      </c>
    </row>
    <row r="108" spans="1:14">
      <c r="A108" s="28">
        <v>178</v>
      </c>
      <c r="B108" t="s">
        <v>222</v>
      </c>
      <c r="C108" t="s">
        <v>347</v>
      </c>
      <c r="D108">
        <v>1.8</v>
      </c>
      <c r="E108">
        <v>561.29</v>
      </c>
      <c r="F108">
        <v>61.94</v>
      </c>
      <c r="G108">
        <v>-26.19</v>
      </c>
      <c r="H108">
        <v>9.6</v>
      </c>
      <c r="I108">
        <v>9.8000000000000007</v>
      </c>
      <c r="J108">
        <v>293.01</v>
      </c>
      <c r="K108">
        <v>3306.46</v>
      </c>
      <c r="L108">
        <v>3.41</v>
      </c>
      <c r="M108">
        <v>0.3</v>
      </c>
      <c r="N108">
        <v>3.38</v>
      </c>
    </row>
    <row r="109" spans="1:14">
      <c r="A109" s="28">
        <v>312</v>
      </c>
      <c r="B109" t="s">
        <v>2191</v>
      </c>
      <c r="C109" t="s">
        <v>348</v>
      </c>
      <c r="D109">
        <v>10.029999999999999</v>
      </c>
      <c r="E109">
        <v>388.81</v>
      </c>
      <c r="F109">
        <v>39.39</v>
      </c>
      <c r="G109">
        <v>22.9</v>
      </c>
      <c r="H109">
        <v>15.32</v>
      </c>
      <c r="I109">
        <v>16.68</v>
      </c>
      <c r="J109">
        <v>373.59</v>
      </c>
      <c r="K109">
        <v>2444.0500000000002</v>
      </c>
    </row>
    <row r="110" spans="1:14">
      <c r="A110" s="28">
        <v>700</v>
      </c>
      <c r="B110" t="s">
        <v>2150</v>
      </c>
      <c r="C110" t="s">
        <v>348</v>
      </c>
      <c r="D110">
        <v>10.050000000000001</v>
      </c>
      <c r="E110">
        <v>138.15</v>
      </c>
      <c r="F110">
        <v>16.739999999999998</v>
      </c>
      <c r="G110">
        <v>59.52</v>
      </c>
      <c r="H110">
        <v>5.73</v>
      </c>
      <c r="I110">
        <v>6.62</v>
      </c>
      <c r="J110">
        <v>77.5</v>
      </c>
      <c r="K110">
        <v>1209.3800000000001</v>
      </c>
      <c r="L110">
        <v>25.01</v>
      </c>
      <c r="M110">
        <v>1.6</v>
      </c>
      <c r="N110">
        <v>18.13</v>
      </c>
    </row>
    <row r="111" spans="1:14">
      <c r="A111" s="28">
        <v>295</v>
      </c>
      <c r="B111" t="s">
        <v>1132</v>
      </c>
      <c r="C111" t="s">
        <v>348</v>
      </c>
      <c r="D111">
        <v>10.050000000000001</v>
      </c>
      <c r="E111">
        <v>2844.27</v>
      </c>
      <c r="F111">
        <v>41.49</v>
      </c>
      <c r="G111">
        <v>29.93</v>
      </c>
      <c r="H111">
        <v>21.08</v>
      </c>
      <c r="I111">
        <v>23.29</v>
      </c>
      <c r="J111">
        <v>3375.82</v>
      </c>
      <c r="K111">
        <v>16170.28</v>
      </c>
      <c r="L111">
        <v>11.85</v>
      </c>
      <c r="M111">
        <v>2.4700000000000002</v>
      </c>
      <c r="N111">
        <v>9.5</v>
      </c>
    </row>
    <row r="112" spans="1:14">
      <c r="A112" s="28">
        <v>406</v>
      </c>
      <c r="B112" t="s">
        <v>2224</v>
      </c>
      <c r="C112" t="s">
        <v>348</v>
      </c>
      <c r="D112">
        <v>10.130000000000001</v>
      </c>
      <c r="E112">
        <v>669.29</v>
      </c>
      <c r="F112">
        <v>31.2</v>
      </c>
      <c r="G112" t="s">
        <v>2788</v>
      </c>
      <c r="H112">
        <v>-24.23</v>
      </c>
      <c r="I112">
        <v>-29.81</v>
      </c>
      <c r="J112">
        <v>-937.6</v>
      </c>
      <c r="K112">
        <v>3846.46</v>
      </c>
      <c r="M112">
        <v>3.24</v>
      </c>
    </row>
    <row r="113" spans="1:14">
      <c r="A113" s="28">
        <v>333</v>
      </c>
      <c r="B113" t="s">
        <v>220</v>
      </c>
      <c r="C113" t="s">
        <v>347</v>
      </c>
      <c r="D113">
        <v>10.17</v>
      </c>
      <c r="E113">
        <v>5581.64</v>
      </c>
      <c r="F113">
        <v>37.090000000000003</v>
      </c>
      <c r="G113">
        <v>-17.670000000000002</v>
      </c>
      <c r="H113">
        <v>1.99</v>
      </c>
      <c r="I113">
        <v>2.2000000000000002</v>
      </c>
      <c r="J113">
        <v>623</v>
      </c>
      <c r="K113">
        <v>28408.2</v>
      </c>
      <c r="L113">
        <v>22.39</v>
      </c>
      <c r="M113">
        <v>0.49</v>
      </c>
      <c r="N113">
        <v>9.94</v>
      </c>
    </row>
    <row r="114" spans="1:14">
      <c r="A114" s="28">
        <v>837</v>
      </c>
      <c r="B114" t="s">
        <v>901</v>
      </c>
      <c r="C114" t="s">
        <v>348</v>
      </c>
      <c r="D114">
        <v>10.48</v>
      </c>
      <c r="E114">
        <v>1199.42</v>
      </c>
      <c r="F114">
        <v>13.08</v>
      </c>
      <c r="G114">
        <v>43.19</v>
      </c>
      <c r="H114">
        <v>5.43</v>
      </c>
      <c r="I114">
        <v>6.06</v>
      </c>
      <c r="J114">
        <v>377.92</v>
      </c>
      <c r="K114">
        <v>6497.1</v>
      </c>
      <c r="L114">
        <v>15.37</v>
      </c>
      <c r="M114">
        <v>0.89</v>
      </c>
      <c r="N114">
        <v>8.82</v>
      </c>
    </row>
    <row r="115" spans="1:14">
      <c r="A115" s="28">
        <v>1071</v>
      </c>
      <c r="B115" t="s">
        <v>1801</v>
      </c>
      <c r="C115" t="s">
        <v>348</v>
      </c>
      <c r="D115">
        <v>10.56</v>
      </c>
      <c r="E115">
        <v>576.27</v>
      </c>
      <c r="F115">
        <v>7.67</v>
      </c>
      <c r="G115">
        <v>-5.36</v>
      </c>
      <c r="H115">
        <v>9.16</v>
      </c>
      <c r="I115">
        <v>10.09</v>
      </c>
      <c r="J115">
        <v>314.11</v>
      </c>
      <c r="K115">
        <v>3381.34</v>
      </c>
      <c r="L115">
        <v>13.31</v>
      </c>
      <c r="M115">
        <v>1.24</v>
      </c>
      <c r="N115">
        <v>8.27</v>
      </c>
    </row>
    <row r="116" spans="1:14">
      <c r="A116" s="28">
        <v>693</v>
      </c>
      <c r="B116" t="s">
        <v>2602</v>
      </c>
      <c r="C116" t="s">
        <v>348</v>
      </c>
      <c r="D116">
        <v>10.59</v>
      </c>
      <c r="E116">
        <v>3534.37</v>
      </c>
      <c r="F116">
        <v>16.989999999999998</v>
      </c>
      <c r="G116">
        <v>1510.23</v>
      </c>
      <c r="H116">
        <v>28.41</v>
      </c>
      <c r="I116">
        <v>30.73</v>
      </c>
      <c r="J116">
        <v>4585.97</v>
      </c>
      <c r="K116">
        <v>18171.849999999999</v>
      </c>
      <c r="L116">
        <v>1.47</v>
      </c>
      <c r="M116">
        <v>0.37</v>
      </c>
    </row>
    <row r="117" spans="1:14">
      <c r="A117" s="28">
        <v>778</v>
      </c>
      <c r="B117" t="s">
        <v>1214</v>
      </c>
      <c r="C117" t="s">
        <v>348</v>
      </c>
      <c r="D117">
        <v>10.63</v>
      </c>
      <c r="E117">
        <v>569.64</v>
      </c>
      <c r="F117">
        <v>14.67</v>
      </c>
      <c r="G117" t="s">
        <v>349</v>
      </c>
      <c r="H117">
        <v>-37.76</v>
      </c>
      <c r="I117">
        <v>-47.34</v>
      </c>
      <c r="J117">
        <v>-1283.08</v>
      </c>
      <c r="K117">
        <v>3394.33</v>
      </c>
      <c r="M117">
        <v>9.3800000000000008</v>
      </c>
      <c r="N117">
        <v>65.53</v>
      </c>
    </row>
    <row r="118" spans="1:14">
      <c r="A118" s="28">
        <v>954</v>
      </c>
      <c r="B118" t="s">
        <v>547</v>
      </c>
      <c r="C118" t="s">
        <v>348</v>
      </c>
      <c r="D118">
        <v>10.76</v>
      </c>
      <c r="E118">
        <v>1353.55</v>
      </c>
      <c r="F118">
        <v>10.01</v>
      </c>
      <c r="G118">
        <v>5.46</v>
      </c>
      <c r="H118">
        <v>8.74</v>
      </c>
      <c r="I118">
        <v>9.67</v>
      </c>
      <c r="J118">
        <v>636.34</v>
      </c>
      <c r="K118">
        <v>7267.74</v>
      </c>
      <c r="L118">
        <v>11.86</v>
      </c>
      <c r="M118">
        <v>1.04</v>
      </c>
      <c r="N118">
        <v>9.17</v>
      </c>
    </row>
    <row r="119" spans="1:14">
      <c r="A119" s="28">
        <v>592</v>
      </c>
      <c r="B119" t="s">
        <v>1722</v>
      </c>
      <c r="C119" t="s">
        <v>348</v>
      </c>
      <c r="D119">
        <v>10.85</v>
      </c>
      <c r="E119">
        <v>1405.14</v>
      </c>
      <c r="F119">
        <v>21.14</v>
      </c>
      <c r="G119" t="s">
        <v>2788</v>
      </c>
      <c r="H119">
        <v>-63.34</v>
      </c>
      <c r="I119">
        <v>-164.11</v>
      </c>
      <c r="J119">
        <v>-6214.67</v>
      </c>
      <c r="K119">
        <v>7525.71</v>
      </c>
      <c r="M119">
        <v>2.04</v>
      </c>
    </row>
    <row r="120" spans="1:14">
      <c r="A120" s="28">
        <v>759</v>
      </c>
      <c r="B120" t="s">
        <v>615</v>
      </c>
      <c r="C120" t="s">
        <v>348</v>
      </c>
      <c r="D120">
        <v>10.89</v>
      </c>
      <c r="E120">
        <v>3856.62</v>
      </c>
      <c r="F120">
        <v>15.22</v>
      </c>
      <c r="G120">
        <v>30.42</v>
      </c>
      <c r="H120">
        <v>14.11</v>
      </c>
      <c r="I120">
        <v>15.53</v>
      </c>
      <c r="J120">
        <v>2852.17</v>
      </c>
      <c r="K120">
        <v>19783.11</v>
      </c>
      <c r="L120">
        <v>9.06</v>
      </c>
      <c r="M120">
        <v>1.31</v>
      </c>
      <c r="N120">
        <v>7.78</v>
      </c>
    </row>
    <row r="121" spans="1:14">
      <c r="A121" s="28">
        <v>896</v>
      </c>
      <c r="B121" t="s">
        <v>2259</v>
      </c>
      <c r="C121" t="s">
        <v>347</v>
      </c>
      <c r="D121">
        <v>100.17</v>
      </c>
      <c r="E121">
        <v>1456.13</v>
      </c>
      <c r="F121">
        <v>11.23</v>
      </c>
      <c r="G121">
        <v>367.02</v>
      </c>
      <c r="H121">
        <v>4.5199999999999996</v>
      </c>
      <c r="I121">
        <v>9.61</v>
      </c>
      <c r="J121">
        <v>714.8</v>
      </c>
      <c r="K121">
        <v>8021.35</v>
      </c>
      <c r="L121">
        <v>5.95</v>
      </c>
      <c r="M121">
        <v>0.53</v>
      </c>
      <c r="N121">
        <v>4.92</v>
      </c>
    </row>
    <row r="122" spans="1:14">
      <c r="A122" s="28">
        <v>826</v>
      </c>
      <c r="B122" t="s">
        <v>278</v>
      </c>
      <c r="C122" t="s">
        <v>348</v>
      </c>
      <c r="D122">
        <v>100.52</v>
      </c>
      <c r="E122">
        <v>407.25</v>
      </c>
      <c r="F122">
        <v>13.45</v>
      </c>
      <c r="G122">
        <v>529.16999999999996</v>
      </c>
      <c r="H122">
        <v>3.16</v>
      </c>
      <c r="I122">
        <v>6.46</v>
      </c>
      <c r="J122">
        <v>153.93</v>
      </c>
      <c r="K122">
        <v>2536.23</v>
      </c>
      <c r="L122">
        <v>15.72</v>
      </c>
      <c r="M122">
        <v>0.95</v>
      </c>
      <c r="N122">
        <v>7.6</v>
      </c>
    </row>
    <row r="123" spans="1:14">
      <c r="A123" s="28">
        <v>305</v>
      </c>
      <c r="B123" t="s">
        <v>905</v>
      </c>
      <c r="C123" t="s">
        <v>348</v>
      </c>
      <c r="D123">
        <v>101.14</v>
      </c>
      <c r="E123">
        <v>935.67</v>
      </c>
      <c r="F123">
        <v>40.47</v>
      </c>
      <c r="G123">
        <v>131.32</v>
      </c>
      <c r="H123">
        <v>11.14</v>
      </c>
      <c r="I123">
        <v>24.72</v>
      </c>
      <c r="J123">
        <v>1121.08</v>
      </c>
      <c r="K123">
        <v>5178.37</v>
      </c>
      <c r="L123">
        <v>3.37</v>
      </c>
      <c r="M123">
        <v>0.73</v>
      </c>
      <c r="N123">
        <v>4.43</v>
      </c>
    </row>
    <row r="124" spans="1:14">
      <c r="A124" s="28">
        <v>905</v>
      </c>
      <c r="B124" t="s">
        <v>670</v>
      </c>
      <c r="C124" t="s">
        <v>348</v>
      </c>
      <c r="D124">
        <v>101.38</v>
      </c>
      <c r="E124">
        <v>1023.43</v>
      </c>
      <c r="F124">
        <v>11.09</v>
      </c>
      <c r="G124">
        <v>-2.27</v>
      </c>
      <c r="H124">
        <v>2.83</v>
      </c>
      <c r="I124">
        <v>5.86</v>
      </c>
      <c r="J124">
        <v>318.36</v>
      </c>
      <c r="K124">
        <v>5617.13</v>
      </c>
      <c r="L124">
        <v>12.97</v>
      </c>
      <c r="M124">
        <v>0.74</v>
      </c>
      <c r="N124">
        <v>7.16</v>
      </c>
    </row>
    <row r="125" spans="1:14">
      <c r="A125" s="28">
        <v>57</v>
      </c>
      <c r="B125" t="s">
        <v>1404</v>
      </c>
      <c r="C125" t="s">
        <v>348</v>
      </c>
      <c r="D125">
        <v>101.5</v>
      </c>
      <c r="E125">
        <v>17164.37</v>
      </c>
      <c r="F125">
        <v>177.07</v>
      </c>
      <c r="G125" t="s">
        <v>350</v>
      </c>
      <c r="H125">
        <v>11.63</v>
      </c>
      <c r="I125">
        <v>29.1</v>
      </c>
      <c r="J125">
        <v>3789.62</v>
      </c>
      <c r="K125">
        <v>17264.37</v>
      </c>
      <c r="L125">
        <v>11.72</v>
      </c>
      <c r="M125">
        <v>2.57</v>
      </c>
      <c r="N125">
        <v>10.33</v>
      </c>
    </row>
    <row r="126" spans="1:14">
      <c r="A126" s="28">
        <v>953</v>
      </c>
      <c r="B126" t="s">
        <v>870</v>
      </c>
      <c r="C126" t="s">
        <v>348</v>
      </c>
      <c r="D126">
        <v>101.7</v>
      </c>
      <c r="E126">
        <v>518.09</v>
      </c>
      <c r="F126">
        <v>10.02</v>
      </c>
      <c r="G126" t="s">
        <v>2788</v>
      </c>
      <c r="H126">
        <v>-4.99</v>
      </c>
      <c r="I126">
        <v>-10.35</v>
      </c>
      <c r="J126">
        <v>-332.91</v>
      </c>
      <c r="K126">
        <v>3029.84</v>
      </c>
      <c r="M126">
        <v>0.99</v>
      </c>
    </row>
    <row r="127" spans="1:14">
      <c r="A127" s="28">
        <v>484</v>
      </c>
      <c r="B127" t="s">
        <v>2217</v>
      </c>
      <c r="C127" t="s">
        <v>347</v>
      </c>
      <c r="D127">
        <v>101.74</v>
      </c>
      <c r="E127">
        <v>204.74</v>
      </c>
      <c r="F127">
        <v>26.34</v>
      </c>
      <c r="G127" t="s">
        <v>2788</v>
      </c>
      <c r="H127">
        <v>-7.47</v>
      </c>
      <c r="I127">
        <v>-14.4</v>
      </c>
      <c r="J127">
        <v>-231.18</v>
      </c>
      <c r="K127">
        <v>1523.68</v>
      </c>
      <c r="M127">
        <v>1.53</v>
      </c>
    </row>
    <row r="128" spans="1:14">
      <c r="A128" s="28">
        <v>249</v>
      </c>
      <c r="B128" t="s">
        <v>1262</v>
      </c>
      <c r="C128" t="s">
        <v>348</v>
      </c>
      <c r="D128">
        <v>101.97</v>
      </c>
      <c r="E128">
        <v>2612.5100000000002</v>
      </c>
      <c r="F128">
        <v>46.4</v>
      </c>
      <c r="G128">
        <v>21.26</v>
      </c>
      <c r="H128">
        <v>3.78</v>
      </c>
      <c r="I128">
        <v>7.2</v>
      </c>
      <c r="J128">
        <v>935.39</v>
      </c>
      <c r="K128">
        <v>13937.72</v>
      </c>
      <c r="L128">
        <v>17.54</v>
      </c>
      <c r="M128">
        <v>1.18</v>
      </c>
      <c r="N128">
        <v>11.01</v>
      </c>
    </row>
    <row r="129" spans="1:14">
      <c r="A129" s="28">
        <v>857</v>
      </c>
      <c r="B129" t="s">
        <v>2496</v>
      </c>
      <c r="C129" t="s">
        <v>348</v>
      </c>
      <c r="D129">
        <v>101.98</v>
      </c>
      <c r="E129">
        <v>144.47999999999999</v>
      </c>
      <c r="F129">
        <v>12.39</v>
      </c>
      <c r="G129" t="s">
        <v>349</v>
      </c>
      <c r="H129">
        <v>-11.22</v>
      </c>
      <c r="I129">
        <v>-22.44</v>
      </c>
      <c r="J129">
        <v>-273.45999999999998</v>
      </c>
      <c r="K129">
        <v>1222.3800000000001</v>
      </c>
      <c r="M129">
        <v>1.01</v>
      </c>
      <c r="N129">
        <v>74.61</v>
      </c>
    </row>
    <row r="130" spans="1:14">
      <c r="A130" s="28">
        <v>894</v>
      </c>
      <c r="B130" t="s">
        <v>2070</v>
      </c>
      <c r="C130" t="s">
        <v>347</v>
      </c>
      <c r="D130">
        <v>102.11</v>
      </c>
      <c r="E130">
        <v>430.56</v>
      </c>
      <c r="F130">
        <v>11.31</v>
      </c>
      <c r="G130" t="s">
        <v>350</v>
      </c>
      <c r="H130">
        <v>4.41</v>
      </c>
      <c r="I130">
        <v>9.27</v>
      </c>
      <c r="J130">
        <v>231.73</v>
      </c>
      <c r="K130">
        <v>2652.79</v>
      </c>
      <c r="L130">
        <v>12.39</v>
      </c>
      <c r="M130">
        <v>1.08</v>
      </c>
      <c r="N130">
        <v>14.08</v>
      </c>
    </row>
    <row r="131" spans="1:14">
      <c r="A131" s="28">
        <v>1082</v>
      </c>
      <c r="B131" t="s">
        <v>2219</v>
      </c>
      <c r="C131" t="s">
        <v>348</v>
      </c>
      <c r="D131">
        <v>102.52</v>
      </c>
      <c r="E131">
        <v>918.63</v>
      </c>
      <c r="F131">
        <v>7.41</v>
      </c>
      <c r="G131" t="s">
        <v>349</v>
      </c>
      <c r="H131">
        <v>-1.92</v>
      </c>
      <c r="I131">
        <v>-3.86</v>
      </c>
      <c r="J131">
        <v>-194.58</v>
      </c>
      <c r="K131">
        <v>5093.13</v>
      </c>
      <c r="M131">
        <v>0.98</v>
      </c>
      <c r="N131">
        <v>19.760000000000002</v>
      </c>
    </row>
    <row r="132" spans="1:14">
      <c r="A132" s="28">
        <v>318</v>
      </c>
      <c r="B132" t="s">
        <v>1548</v>
      </c>
      <c r="C132" t="s">
        <v>348</v>
      </c>
      <c r="D132">
        <v>102.73</v>
      </c>
      <c r="E132">
        <v>362.59</v>
      </c>
      <c r="F132">
        <v>38.78</v>
      </c>
      <c r="G132" t="s">
        <v>2788</v>
      </c>
      <c r="H132">
        <v>-22.98</v>
      </c>
      <c r="I132">
        <v>-41.13</v>
      </c>
      <c r="J132">
        <v>-1135.21</v>
      </c>
      <c r="K132">
        <v>2312.9699999999998</v>
      </c>
      <c r="M132">
        <v>11.11</v>
      </c>
    </row>
    <row r="133" spans="1:14">
      <c r="A133" s="28">
        <v>726</v>
      </c>
      <c r="B133" t="s">
        <v>2789</v>
      </c>
      <c r="C133" t="s">
        <v>348</v>
      </c>
      <c r="D133">
        <v>102.91</v>
      </c>
      <c r="E133">
        <v>829.04</v>
      </c>
      <c r="F133">
        <v>16.11</v>
      </c>
      <c r="H133">
        <v>4.2699999999999996</v>
      </c>
      <c r="I133">
        <v>8.76</v>
      </c>
      <c r="N133">
        <v>0.03</v>
      </c>
    </row>
    <row r="134" spans="1:14">
      <c r="A134" s="28">
        <v>867</v>
      </c>
      <c r="B134" t="s">
        <v>957</v>
      </c>
      <c r="C134" t="s">
        <v>347</v>
      </c>
      <c r="D134">
        <v>103.04</v>
      </c>
      <c r="E134">
        <v>141.13999999999999</v>
      </c>
      <c r="F134">
        <v>12.03</v>
      </c>
      <c r="G134">
        <v>236.31</v>
      </c>
      <c r="H134">
        <v>2.21</v>
      </c>
      <c r="I134">
        <v>4.28</v>
      </c>
      <c r="J134">
        <v>508.17</v>
      </c>
      <c r="K134">
        <v>12056.83</v>
      </c>
      <c r="L134">
        <v>34.159999999999997</v>
      </c>
      <c r="M134">
        <v>1.44</v>
      </c>
      <c r="N134">
        <v>13.65</v>
      </c>
    </row>
    <row r="135" spans="1:14">
      <c r="A135" s="28">
        <v>1022</v>
      </c>
      <c r="B135" t="s">
        <v>1939</v>
      </c>
      <c r="C135" t="s">
        <v>348</v>
      </c>
      <c r="D135">
        <v>103.39</v>
      </c>
      <c r="E135">
        <v>1003.11</v>
      </c>
      <c r="F135">
        <v>8.65</v>
      </c>
      <c r="G135" t="s">
        <v>349</v>
      </c>
      <c r="H135">
        <v>-2.17</v>
      </c>
      <c r="I135">
        <v>-4.0999999999999996</v>
      </c>
      <c r="J135">
        <v>-210.98</v>
      </c>
      <c r="K135">
        <v>5515.54</v>
      </c>
      <c r="M135">
        <v>0.55000000000000004</v>
      </c>
      <c r="N135">
        <v>4.49</v>
      </c>
    </row>
    <row r="136" spans="1:14">
      <c r="A136" s="28">
        <v>842</v>
      </c>
      <c r="B136" t="s">
        <v>205</v>
      </c>
      <c r="C136" t="s">
        <v>347</v>
      </c>
      <c r="D136">
        <v>104.91</v>
      </c>
      <c r="E136">
        <v>1378.89</v>
      </c>
      <c r="F136">
        <v>12.88</v>
      </c>
      <c r="G136">
        <v>-46.88</v>
      </c>
      <c r="H136">
        <v>1.4</v>
      </c>
      <c r="I136">
        <v>2.81</v>
      </c>
      <c r="J136">
        <v>2064.9899999999998</v>
      </c>
      <c r="K136">
        <v>73944.56</v>
      </c>
      <c r="L136">
        <v>19.93</v>
      </c>
      <c r="M136">
        <v>0.56000000000000005</v>
      </c>
      <c r="N136">
        <v>8.98</v>
      </c>
    </row>
    <row r="137" spans="1:14">
      <c r="A137" s="28">
        <v>390</v>
      </c>
      <c r="B137" t="s">
        <v>1215</v>
      </c>
      <c r="C137" t="s">
        <v>347</v>
      </c>
      <c r="D137">
        <v>105.23</v>
      </c>
      <c r="E137">
        <v>1026.9000000000001</v>
      </c>
      <c r="F137">
        <v>32.08</v>
      </c>
      <c r="G137">
        <v>53.89</v>
      </c>
      <c r="H137">
        <v>9.69</v>
      </c>
      <c r="I137">
        <v>19.46</v>
      </c>
      <c r="J137">
        <v>10016.64</v>
      </c>
      <c r="K137">
        <v>56345.21</v>
      </c>
      <c r="L137">
        <v>12.68</v>
      </c>
      <c r="M137">
        <v>2.25</v>
      </c>
      <c r="N137">
        <v>10.49</v>
      </c>
    </row>
    <row r="138" spans="1:14">
      <c r="A138" s="28">
        <v>847</v>
      </c>
      <c r="B138" t="s">
        <v>1483</v>
      </c>
      <c r="C138" t="s">
        <v>348</v>
      </c>
      <c r="D138">
        <v>105.63</v>
      </c>
      <c r="E138">
        <v>179.34</v>
      </c>
      <c r="F138">
        <v>12.74</v>
      </c>
      <c r="G138" t="s">
        <v>2788</v>
      </c>
      <c r="H138">
        <v>-27.58</v>
      </c>
      <c r="I138">
        <v>-47.78</v>
      </c>
      <c r="J138">
        <v>-807.37</v>
      </c>
      <c r="K138">
        <v>1396.7</v>
      </c>
      <c r="M138">
        <v>1.37</v>
      </c>
    </row>
    <row r="139" spans="1:14">
      <c r="A139" s="28">
        <v>316</v>
      </c>
      <c r="B139" t="s">
        <v>369</v>
      </c>
      <c r="C139" t="s">
        <v>347</v>
      </c>
      <c r="D139">
        <v>105.7</v>
      </c>
      <c r="E139">
        <v>394.56</v>
      </c>
      <c r="F139">
        <v>39.07</v>
      </c>
      <c r="G139">
        <v>42.87</v>
      </c>
      <c r="H139">
        <v>1.26</v>
      </c>
      <c r="I139">
        <v>2.64</v>
      </c>
      <c r="J139">
        <v>64.209999999999994</v>
      </c>
      <c r="K139">
        <v>2472.8200000000002</v>
      </c>
      <c r="L139">
        <v>40.26</v>
      </c>
      <c r="M139">
        <v>1.05</v>
      </c>
      <c r="N139">
        <v>31.39</v>
      </c>
    </row>
    <row r="140" spans="1:14">
      <c r="A140" s="28">
        <v>447</v>
      </c>
      <c r="B140" t="s">
        <v>1783</v>
      </c>
      <c r="C140" t="s">
        <v>347</v>
      </c>
      <c r="D140">
        <v>106.06</v>
      </c>
      <c r="E140">
        <v>273.48</v>
      </c>
      <c r="F140">
        <v>28.49</v>
      </c>
      <c r="G140" t="s">
        <v>2788</v>
      </c>
      <c r="H140">
        <v>-10.220000000000001</v>
      </c>
      <c r="I140">
        <v>-19.21</v>
      </c>
      <c r="J140">
        <v>-4203.01</v>
      </c>
      <c r="K140">
        <v>18674</v>
      </c>
      <c r="M140">
        <v>3.24</v>
      </c>
    </row>
    <row r="141" spans="1:14">
      <c r="A141" s="28">
        <v>687</v>
      </c>
      <c r="B141" t="s">
        <v>1745</v>
      </c>
      <c r="C141" t="s">
        <v>348</v>
      </c>
      <c r="D141">
        <v>106.07</v>
      </c>
      <c r="E141">
        <v>1481.15</v>
      </c>
      <c r="F141">
        <v>17.100000000000001</v>
      </c>
      <c r="G141">
        <v>-66.709999999999994</v>
      </c>
      <c r="H141">
        <v>2.59</v>
      </c>
      <c r="I141">
        <v>5.19</v>
      </c>
      <c r="J141">
        <v>399.19</v>
      </c>
      <c r="K141">
        <v>7905.73</v>
      </c>
      <c r="L141">
        <v>12.68</v>
      </c>
      <c r="M141">
        <v>0.64</v>
      </c>
      <c r="N141">
        <v>20.72</v>
      </c>
    </row>
    <row r="142" spans="1:14">
      <c r="A142" s="28">
        <v>224</v>
      </c>
      <c r="B142" t="s">
        <v>2790</v>
      </c>
      <c r="C142" t="s">
        <v>348</v>
      </c>
      <c r="D142">
        <v>106.33</v>
      </c>
      <c r="E142">
        <v>115.66</v>
      </c>
      <c r="F142">
        <v>50.32</v>
      </c>
      <c r="G142" t="s">
        <v>350</v>
      </c>
      <c r="H142">
        <v>6.87</v>
      </c>
      <c r="I142">
        <v>22.55</v>
      </c>
      <c r="J142">
        <v>155.15</v>
      </c>
      <c r="K142">
        <v>1062.5899999999999</v>
      </c>
      <c r="L142">
        <v>41.74</v>
      </c>
      <c r="M142">
        <v>6.09</v>
      </c>
      <c r="N142">
        <v>15.39</v>
      </c>
    </row>
    <row r="143" spans="1:14">
      <c r="A143" s="28">
        <v>409</v>
      </c>
      <c r="B143" t="s">
        <v>2146</v>
      </c>
      <c r="C143" t="s">
        <v>347</v>
      </c>
      <c r="D143">
        <v>106.4</v>
      </c>
      <c r="E143">
        <v>167.68</v>
      </c>
      <c r="F143">
        <v>31.03</v>
      </c>
      <c r="G143" t="s">
        <v>350</v>
      </c>
      <c r="H143">
        <v>4.03</v>
      </c>
      <c r="I143">
        <v>9.33</v>
      </c>
      <c r="J143">
        <v>558.96</v>
      </c>
      <c r="K143">
        <v>6692.11</v>
      </c>
      <c r="L143">
        <v>12.67</v>
      </c>
      <c r="M143">
        <v>1.06</v>
      </c>
      <c r="N143">
        <v>19.5</v>
      </c>
    </row>
    <row r="144" spans="1:14">
      <c r="A144" s="28">
        <v>1076</v>
      </c>
      <c r="B144" t="s">
        <v>1622</v>
      </c>
      <c r="C144" t="s">
        <v>348</v>
      </c>
      <c r="D144">
        <v>106.64</v>
      </c>
      <c r="E144">
        <v>127.96</v>
      </c>
      <c r="F144">
        <v>7.56</v>
      </c>
      <c r="G144" t="s">
        <v>2788</v>
      </c>
      <c r="H144">
        <v>-1.1100000000000001</v>
      </c>
      <c r="I144">
        <v>-3.18</v>
      </c>
      <c r="J144">
        <v>-39.979999999999997</v>
      </c>
      <c r="K144">
        <v>1139.79</v>
      </c>
      <c r="M144">
        <v>1.05</v>
      </c>
      <c r="N144">
        <v>9.99</v>
      </c>
    </row>
    <row r="145" spans="1:14">
      <c r="A145" s="28">
        <v>397</v>
      </c>
      <c r="B145" t="s">
        <v>1373</v>
      </c>
      <c r="C145" t="s">
        <v>348</v>
      </c>
      <c r="D145">
        <v>106.8</v>
      </c>
      <c r="E145">
        <v>955.24</v>
      </c>
      <c r="F145">
        <v>31.8</v>
      </c>
      <c r="G145">
        <v>1207.19</v>
      </c>
      <c r="H145">
        <v>16.64</v>
      </c>
      <c r="I145">
        <v>35.909999999999997</v>
      </c>
      <c r="J145">
        <v>1593.39</v>
      </c>
      <c r="K145">
        <v>5276.19</v>
      </c>
      <c r="L145">
        <v>4.22</v>
      </c>
      <c r="M145">
        <v>1.28</v>
      </c>
      <c r="N145">
        <v>13.45</v>
      </c>
    </row>
    <row r="146" spans="1:14">
      <c r="A146" s="28">
        <v>836</v>
      </c>
      <c r="B146" t="s">
        <v>1527</v>
      </c>
      <c r="C146" t="s">
        <v>348</v>
      </c>
      <c r="D146">
        <v>107.08</v>
      </c>
      <c r="E146">
        <v>1017.09</v>
      </c>
      <c r="F146">
        <v>13.14</v>
      </c>
      <c r="G146" t="s">
        <v>2788</v>
      </c>
      <c r="H146">
        <v>-7.08</v>
      </c>
      <c r="I146">
        <v>-13.57</v>
      </c>
      <c r="J146">
        <v>-656.46</v>
      </c>
      <c r="K146">
        <v>5585.47</v>
      </c>
      <c r="M146">
        <v>1.58</v>
      </c>
    </row>
    <row r="147" spans="1:14">
      <c r="A147" s="28">
        <v>218</v>
      </c>
      <c r="B147" t="s">
        <v>2033</v>
      </c>
      <c r="C147" t="s">
        <v>348</v>
      </c>
      <c r="D147">
        <v>107.12</v>
      </c>
      <c r="E147">
        <v>846.93</v>
      </c>
      <c r="F147">
        <v>52.01</v>
      </c>
      <c r="G147" t="s">
        <v>350</v>
      </c>
      <c r="H147">
        <v>5.89</v>
      </c>
      <c r="I147">
        <v>18.059999999999999</v>
      </c>
      <c r="J147">
        <v>536.91</v>
      </c>
      <c r="K147">
        <v>4734.6499999999996</v>
      </c>
      <c r="L147">
        <v>19.190000000000001</v>
      </c>
      <c r="M147">
        <v>2.1800000000000002</v>
      </c>
      <c r="N147">
        <v>21.7</v>
      </c>
    </row>
    <row r="148" spans="1:14">
      <c r="A148" s="28">
        <v>875</v>
      </c>
      <c r="B148" t="s">
        <v>1406</v>
      </c>
      <c r="C148" t="s">
        <v>347</v>
      </c>
      <c r="D148">
        <v>107.5</v>
      </c>
      <c r="E148">
        <v>2069.17</v>
      </c>
      <c r="F148">
        <v>11.7</v>
      </c>
      <c r="G148">
        <v>116.92</v>
      </c>
      <c r="H148">
        <v>8</v>
      </c>
      <c r="I148">
        <v>17.79</v>
      </c>
      <c r="J148">
        <v>8521.42</v>
      </c>
      <c r="K148">
        <v>53175.89</v>
      </c>
      <c r="L148">
        <v>41.37</v>
      </c>
      <c r="M148">
        <v>6.63</v>
      </c>
      <c r="N148">
        <v>24.22</v>
      </c>
    </row>
    <row r="149" spans="1:14">
      <c r="A149" s="28">
        <v>710</v>
      </c>
      <c r="B149" t="s">
        <v>1585</v>
      </c>
      <c r="C149" t="s">
        <v>348</v>
      </c>
      <c r="D149">
        <v>107.84</v>
      </c>
      <c r="E149">
        <v>672.13</v>
      </c>
      <c r="F149">
        <v>16.37</v>
      </c>
      <c r="G149">
        <v>-99.59</v>
      </c>
      <c r="H149">
        <v>0.39</v>
      </c>
      <c r="I149">
        <v>0.81</v>
      </c>
      <c r="J149">
        <v>29.47</v>
      </c>
      <c r="K149">
        <v>3860.65</v>
      </c>
      <c r="L149">
        <v>59.92</v>
      </c>
      <c r="M149">
        <v>0.46</v>
      </c>
      <c r="N149">
        <v>23.02</v>
      </c>
    </row>
    <row r="150" spans="1:14">
      <c r="A150" s="28">
        <v>167</v>
      </c>
      <c r="B150" t="s">
        <v>2754</v>
      </c>
      <c r="C150" t="s">
        <v>348</v>
      </c>
      <c r="D150">
        <v>107.91</v>
      </c>
      <c r="E150">
        <v>784.26</v>
      </c>
      <c r="F150">
        <v>65.08</v>
      </c>
      <c r="G150" t="s">
        <v>350</v>
      </c>
      <c r="H150">
        <v>2.4900000000000002</v>
      </c>
      <c r="I150">
        <v>5.85</v>
      </c>
      <c r="J150">
        <v>223.62</v>
      </c>
      <c r="K150">
        <v>4438.2299999999996</v>
      </c>
      <c r="L150">
        <v>95.92</v>
      </c>
      <c r="M150">
        <v>4.83</v>
      </c>
      <c r="N150">
        <v>29.11</v>
      </c>
    </row>
    <row r="151" spans="1:14">
      <c r="A151" s="28">
        <v>758</v>
      </c>
      <c r="B151" t="s">
        <v>675</v>
      </c>
      <c r="C151" t="s">
        <v>347</v>
      </c>
      <c r="D151">
        <v>108.71</v>
      </c>
      <c r="E151">
        <v>2470.3200000000002</v>
      </c>
      <c r="F151">
        <v>15.23</v>
      </c>
      <c r="G151">
        <v>21.15</v>
      </c>
      <c r="H151">
        <v>2.12</v>
      </c>
      <c r="I151">
        <v>4.32</v>
      </c>
      <c r="J151">
        <v>539.07000000000005</v>
      </c>
      <c r="K151">
        <v>12851.61</v>
      </c>
      <c r="L151">
        <v>12.97</v>
      </c>
      <c r="M151">
        <v>0.54</v>
      </c>
      <c r="N151">
        <v>8.7200000000000006</v>
      </c>
    </row>
    <row r="152" spans="1:14">
      <c r="A152" s="28">
        <v>181</v>
      </c>
      <c r="B152" t="s">
        <v>1912</v>
      </c>
      <c r="C152" t="s">
        <v>348</v>
      </c>
      <c r="D152">
        <v>108.91</v>
      </c>
      <c r="E152">
        <v>1463.7</v>
      </c>
      <c r="F152">
        <v>61.11</v>
      </c>
      <c r="G152" t="s">
        <v>350</v>
      </c>
      <c r="H152">
        <v>12.55</v>
      </c>
      <c r="I152">
        <v>69.349999999999994</v>
      </c>
      <c r="J152">
        <v>400.31</v>
      </c>
      <c r="K152">
        <v>1172.32</v>
      </c>
      <c r="N152">
        <v>0.99</v>
      </c>
    </row>
    <row r="153" spans="1:14">
      <c r="A153" s="28">
        <v>824</v>
      </c>
      <c r="B153" t="s">
        <v>2024</v>
      </c>
      <c r="C153" t="s">
        <v>347</v>
      </c>
      <c r="D153">
        <v>108.97</v>
      </c>
      <c r="E153">
        <v>517.32000000000005</v>
      </c>
      <c r="F153">
        <v>13.51</v>
      </c>
      <c r="G153" t="s">
        <v>2788</v>
      </c>
      <c r="H153">
        <v>-4.8600000000000003</v>
      </c>
      <c r="I153">
        <v>-9.68</v>
      </c>
      <c r="J153">
        <v>-312.86</v>
      </c>
      <c r="K153">
        <v>3086.61</v>
      </c>
      <c r="M153">
        <v>0.41</v>
      </c>
      <c r="N153">
        <v>11.86</v>
      </c>
    </row>
    <row r="154" spans="1:14">
      <c r="A154" s="28">
        <v>648</v>
      </c>
      <c r="B154" t="s">
        <v>1091</v>
      </c>
      <c r="C154" t="s">
        <v>347</v>
      </c>
      <c r="D154">
        <v>109.06</v>
      </c>
      <c r="E154">
        <v>611.66999999999996</v>
      </c>
      <c r="F154">
        <v>19.03</v>
      </c>
      <c r="G154" t="s">
        <v>350</v>
      </c>
      <c r="H154">
        <v>1.17</v>
      </c>
      <c r="I154">
        <v>2.2799999999999998</v>
      </c>
      <c r="J154">
        <v>72.569999999999993</v>
      </c>
      <c r="K154">
        <v>3558.37</v>
      </c>
      <c r="L154">
        <v>27.84</v>
      </c>
      <c r="M154">
        <v>0.56999999999999995</v>
      </c>
      <c r="N154">
        <v>7.82</v>
      </c>
    </row>
    <row r="155" spans="1:14">
      <c r="A155" s="28">
        <v>194</v>
      </c>
      <c r="B155" t="s">
        <v>2236</v>
      </c>
      <c r="C155" t="s">
        <v>347</v>
      </c>
      <c r="D155">
        <v>109.29</v>
      </c>
      <c r="E155">
        <v>4960.05</v>
      </c>
      <c r="F155">
        <v>57.49</v>
      </c>
      <c r="G155">
        <v>5680.91</v>
      </c>
      <c r="H155">
        <v>27.13</v>
      </c>
      <c r="I155">
        <v>71.38</v>
      </c>
      <c r="J155">
        <v>8328.75</v>
      </c>
      <c r="K155">
        <v>12876.5</v>
      </c>
      <c r="N155">
        <v>0</v>
      </c>
    </row>
    <row r="156" spans="1:14">
      <c r="A156" s="28">
        <v>342</v>
      </c>
      <c r="B156" t="s">
        <v>1563</v>
      </c>
      <c r="C156" t="s">
        <v>348</v>
      </c>
      <c r="D156">
        <v>109.51</v>
      </c>
      <c r="E156">
        <v>35.18</v>
      </c>
      <c r="F156">
        <v>36.340000000000003</v>
      </c>
      <c r="G156" t="s">
        <v>2788</v>
      </c>
      <c r="H156">
        <v>-26.46</v>
      </c>
      <c r="I156">
        <v>-52.91</v>
      </c>
      <c r="J156">
        <v>-23.13</v>
      </c>
      <c r="K156">
        <v>135.18</v>
      </c>
      <c r="M156">
        <v>5.94</v>
      </c>
    </row>
    <row r="157" spans="1:14">
      <c r="A157" s="28">
        <v>1091</v>
      </c>
      <c r="B157" t="s">
        <v>190</v>
      </c>
      <c r="C157" t="s">
        <v>347</v>
      </c>
      <c r="D157">
        <v>109.82</v>
      </c>
      <c r="E157">
        <v>893.53</v>
      </c>
      <c r="F157">
        <v>7.25</v>
      </c>
      <c r="G157">
        <v>43.8</v>
      </c>
      <c r="H157">
        <v>4.04</v>
      </c>
      <c r="I157">
        <v>8.51</v>
      </c>
      <c r="J157">
        <v>4005.1</v>
      </c>
      <c r="K157">
        <v>49676.66</v>
      </c>
      <c r="L157">
        <v>6.38</v>
      </c>
      <c r="M157">
        <v>0.51</v>
      </c>
      <c r="N157">
        <v>3.47</v>
      </c>
    </row>
    <row r="158" spans="1:14">
      <c r="A158" s="28">
        <v>777</v>
      </c>
      <c r="B158" t="s">
        <v>1455</v>
      </c>
      <c r="C158" t="s">
        <v>348</v>
      </c>
      <c r="D158">
        <v>11.09</v>
      </c>
      <c r="E158">
        <v>129.34</v>
      </c>
      <c r="F158">
        <v>14.68</v>
      </c>
      <c r="G158" t="s">
        <v>349</v>
      </c>
      <c r="H158">
        <v>-28.63</v>
      </c>
      <c r="I158">
        <v>-33.15</v>
      </c>
      <c r="J158">
        <v>-406.38</v>
      </c>
      <c r="K158">
        <v>1146.7</v>
      </c>
      <c r="M158">
        <v>0.48</v>
      </c>
      <c r="N158">
        <v>13.55</v>
      </c>
    </row>
    <row r="159" spans="1:14">
      <c r="A159" s="28">
        <v>764</v>
      </c>
      <c r="B159" t="s">
        <v>1206</v>
      </c>
      <c r="C159" t="s">
        <v>348</v>
      </c>
      <c r="D159">
        <v>11.13</v>
      </c>
      <c r="E159">
        <v>1163.94</v>
      </c>
      <c r="F159">
        <v>15.09</v>
      </c>
      <c r="G159">
        <v>-13.48</v>
      </c>
      <c r="H159">
        <v>8.5299999999999994</v>
      </c>
      <c r="I159">
        <v>9.6300000000000008</v>
      </c>
      <c r="J159">
        <v>574.41999999999996</v>
      </c>
      <c r="K159">
        <v>6319.69</v>
      </c>
      <c r="L159">
        <v>12.53</v>
      </c>
      <c r="M159">
        <v>1.1399999999999999</v>
      </c>
      <c r="N159">
        <v>9.99</v>
      </c>
    </row>
    <row r="160" spans="1:14">
      <c r="A160" s="28">
        <v>549</v>
      </c>
      <c r="B160" t="s">
        <v>868</v>
      </c>
      <c r="C160" t="s">
        <v>348</v>
      </c>
      <c r="D160">
        <v>11.16</v>
      </c>
      <c r="E160">
        <v>1592.77</v>
      </c>
      <c r="F160">
        <v>23.47</v>
      </c>
      <c r="G160">
        <v>116.01</v>
      </c>
      <c r="H160">
        <v>7.53</v>
      </c>
      <c r="I160">
        <v>8.31</v>
      </c>
      <c r="J160">
        <v>666.15</v>
      </c>
      <c r="K160">
        <v>8679.5499999999993</v>
      </c>
      <c r="L160">
        <v>7.99</v>
      </c>
      <c r="M160">
        <v>0.61</v>
      </c>
      <c r="N160">
        <v>6.92</v>
      </c>
    </row>
    <row r="161" spans="1:14">
      <c r="A161" s="28">
        <v>534</v>
      </c>
      <c r="B161" t="s">
        <v>2453</v>
      </c>
      <c r="C161" t="s">
        <v>348</v>
      </c>
      <c r="D161">
        <v>11.23</v>
      </c>
      <c r="E161">
        <v>140.91</v>
      </c>
      <c r="F161">
        <v>24.15</v>
      </c>
      <c r="G161" t="s">
        <v>350</v>
      </c>
      <c r="H161">
        <v>2.19</v>
      </c>
      <c r="I161">
        <v>2.4500000000000002</v>
      </c>
      <c r="J161">
        <v>27.56</v>
      </c>
      <c r="K161">
        <v>1204.53</v>
      </c>
      <c r="L161">
        <v>28.7</v>
      </c>
      <c r="M161">
        <v>0.66</v>
      </c>
      <c r="N161">
        <v>25.67</v>
      </c>
    </row>
    <row r="162" spans="1:14">
      <c r="A162" s="28">
        <v>652</v>
      </c>
      <c r="B162" t="s">
        <v>927</v>
      </c>
      <c r="C162" t="s">
        <v>347</v>
      </c>
      <c r="D162">
        <v>11.27</v>
      </c>
      <c r="E162">
        <v>2649.37</v>
      </c>
      <c r="F162">
        <v>18.86</v>
      </c>
      <c r="G162">
        <v>66.260000000000005</v>
      </c>
      <c r="H162">
        <v>9.0299999999999994</v>
      </c>
      <c r="I162">
        <v>10.07</v>
      </c>
      <c r="J162">
        <v>1318.75</v>
      </c>
      <c r="K162">
        <v>13746.83</v>
      </c>
      <c r="L162">
        <v>10.47</v>
      </c>
      <c r="M162">
        <v>1</v>
      </c>
      <c r="N162">
        <v>8.08</v>
      </c>
    </row>
    <row r="163" spans="1:14">
      <c r="A163" s="28">
        <v>384</v>
      </c>
      <c r="B163" t="s">
        <v>2089</v>
      </c>
      <c r="C163" t="s">
        <v>348</v>
      </c>
      <c r="D163">
        <v>11.44</v>
      </c>
      <c r="E163">
        <v>1187.33</v>
      </c>
      <c r="F163">
        <v>32.43</v>
      </c>
      <c r="G163">
        <v>29.19</v>
      </c>
      <c r="H163">
        <v>10.56</v>
      </c>
      <c r="I163">
        <v>12.59</v>
      </c>
      <c r="J163">
        <v>507.91</v>
      </c>
      <c r="K163">
        <v>6436.66</v>
      </c>
      <c r="L163">
        <v>33.47</v>
      </c>
      <c r="M163">
        <v>2.64</v>
      </c>
      <c r="N163">
        <v>24.93</v>
      </c>
    </row>
    <row r="164" spans="1:14">
      <c r="A164" s="28">
        <v>336</v>
      </c>
      <c r="B164" t="s">
        <v>2506</v>
      </c>
      <c r="C164" t="s">
        <v>348</v>
      </c>
      <c r="D164">
        <v>11.45</v>
      </c>
      <c r="E164">
        <v>503.27</v>
      </c>
      <c r="F164">
        <v>36.97</v>
      </c>
      <c r="G164" t="s">
        <v>350</v>
      </c>
      <c r="H164">
        <v>1.05</v>
      </c>
      <c r="I164">
        <v>1.17</v>
      </c>
      <c r="J164">
        <v>34.6</v>
      </c>
      <c r="K164">
        <v>3016.35</v>
      </c>
      <c r="L164">
        <v>301.47000000000003</v>
      </c>
      <c r="M164">
        <v>3.46</v>
      </c>
      <c r="N164">
        <v>213.12</v>
      </c>
    </row>
    <row r="165" spans="1:14">
      <c r="A165" s="28">
        <v>274</v>
      </c>
      <c r="B165" t="s">
        <v>998</v>
      </c>
      <c r="C165" t="s">
        <v>348</v>
      </c>
      <c r="D165">
        <v>11.49</v>
      </c>
      <c r="E165">
        <v>3508.73</v>
      </c>
      <c r="F165">
        <v>43.8</v>
      </c>
      <c r="G165">
        <v>193.84</v>
      </c>
      <c r="H165">
        <v>7.16</v>
      </c>
      <c r="I165">
        <v>7.82</v>
      </c>
      <c r="J165">
        <v>1329.01</v>
      </c>
      <c r="K165">
        <v>18043.66</v>
      </c>
      <c r="L165">
        <v>12.11</v>
      </c>
      <c r="M165">
        <v>0.89</v>
      </c>
      <c r="N165">
        <v>8.52</v>
      </c>
    </row>
    <row r="166" spans="1:14">
      <c r="A166" s="28">
        <v>706</v>
      </c>
      <c r="B166" t="s">
        <v>565</v>
      </c>
      <c r="C166" t="s">
        <v>348</v>
      </c>
      <c r="D166">
        <v>11.6</v>
      </c>
      <c r="E166">
        <v>2288.2600000000002</v>
      </c>
      <c r="F166">
        <v>16.52</v>
      </c>
      <c r="G166">
        <v>15.08</v>
      </c>
      <c r="H166">
        <v>15</v>
      </c>
      <c r="I166">
        <v>16.73</v>
      </c>
      <c r="J166">
        <v>1869.07</v>
      </c>
      <c r="K166">
        <v>12229.56</v>
      </c>
      <c r="L166">
        <v>6.45</v>
      </c>
      <c r="M166">
        <v>0.99</v>
      </c>
      <c r="N166">
        <v>5.08</v>
      </c>
    </row>
    <row r="167" spans="1:14">
      <c r="A167" s="28">
        <v>186</v>
      </c>
      <c r="B167" t="s">
        <v>1650</v>
      </c>
      <c r="C167" t="s">
        <v>348</v>
      </c>
      <c r="D167">
        <v>11.63</v>
      </c>
      <c r="E167">
        <v>2201.48</v>
      </c>
      <c r="F167">
        <v>59.23</v>
      </c>
      <c r="G167" t="s">
        <v>2788</v>
      </c>
      <c r="H167">
        <v>-0.63</v>
      </c>
      <c r="I167">
        <v>-0.77</v>
      </c>
      <c r="J167">
        <v>-78.209999999999994</v>
      </c>
      <c r="K167">
        <v>11507.38</v>
      </c>
      <c r="M167">
        <v>0.28999999999999998</v>
      </c>
      <c r="N167">
        <v>20.84</v>
      </c>
    </row>
    <row r="168" spans="1:14">
      <c r="A168" s="28">
        <v>141</v>
      </c>
      <c r="B168" t="s">
        <v>425</v>
      </c>
      <c r="C168" t="s">
        <v>347</v>
      </c>
      <c r="D168">
        <v>11.67</v>
      </c>
      <c r="E168">
        <v>335.15</v>
      </c>
      <c r="F168">
        <v>75.77</v>
      </c>
      <c r="G168" t="s">
        <v>2788</v>
      </c>
      <c r="H168">
        <v>-13.21</v>
      </c>
      <c r="I168">
        <v>-14.11</v>
      </c>
      <c r="J168">
        <v>-298.23</v>
      </c>
      <c r="K168">
        <v>2175.75</v>
      </c>
      <c r="M168">
        <v>0.38</v>
      </c>
    </row>
    <row r="169" spans="1:14">
      <c r="A169" s="28">
        <v>962</v>
      </c>
      <c r="B169" t="s">
        <v>1234</v>
      </c>
      <c r="C169" t="s">
        <v>348</v>
      </c>
      <c r="D169">
        <v>11.73</v>
      </c>
      <c r="E169">
        <v>985.7</v>
      </c>
      <c r="F169">
        <v>9.8800000000000008</v>
      </c>
      <c r="G169" t="s">
        <v>350</v>
      </c>
      <c r="H169">
        <v>11.45</v>
      </c>
      <c r="I169">
        <v>13.17</v>
      </c>
      <c r="J169">
        <v>131.72999999999999</v>
      </c>
      <c r="K169">
        <v>1085.7</v>
      </c>
      <c r="L169">
        <v>16.510000000000002</v>
      </c>
      <c r="M169">
        <v>2</v>
      </c>
      <c r="N169">
        <v>14.36</v>
      </c>
    </row>
    <row r="170" spans="1:14">
      <c r="A170" s="28">
        <v>339</v>
      </c>
      <c r="B170" t="s">
        <v>1413</v>
      </c>
      <c r="C170" t="s">
        <v>348</v>
      </c>
      <c r="D170">
        <v>11.83</v>
      </c>
      <c r="E170">
        <v>930.7</v>
      </c>
      <c r="F170">
        <v>36.69</v>
      </c>
      <c r="G170">
        <v>86.43</v>
      </c>
      <c r="H170">
        <v>39.770000000000003</v>
      </c>
      <c r="I170">
        <v>44.89</v>
      </c>
      <c r="J170">
        <v>369.74</v>
      </c>
      <c r="K170">
        <v>1030.7</v>
      </c>
      <c r="L170">
        <v>22.99</v>
      </c>
      <c r="M170">
        <v>8.25</v>
      </c>
      <c r="N170">
        <v>21.18</v>
      </c>
    </row>
    <row r="171" spans="1:14">
      <c r="A171" s="28">
        <v>984</v>
      </c>
      <c r="B171" t="s">
        <v>201</v>
      </c>
      <c r="C171" t="s">
        <v>347</v>
      </c>
      <c r="D171">
        <v>11.89</v>
      </c>
      <c r="E171">
        <v>726.1</v>
      </c>
      <c r="F171">
        <v>9.49</v>
      </c>
      <c r="G171" t="s">
        <v>350</v>
      </c>
      <c r="H171">
        <v>7.85</v>
      </c>
      <c r="I171">
        <v>8.7899999999999991</v>
      </c>
      <c r="J171">
        <v>345.4</v>
      </c>
      <c r="K171">
        <v>4130.4799999999996</v>
      </c>
      <c r="L171">
        <v>9.2899999999999991</v>
      </c>
      <c r="M171">
        <v>0.78</v>
      </c>
      <c r="N171">
        <v>16.75</v>
      </c>
    </row>
    <row r="172" spans="1:14">
      <c r="A172" s="28">
        <v>958</v>
      </c>
      <c r="B172" t="s">
        <v>256</v>
      </c>
      <c r="C172" t="s">
        <v>348</v>
      </c>
      <c r="D172">
        <v>11.9</v>
      </c>
      <c r="E172">
        <v>4684.6499999999996</v>
      </c>
      <c r="F172">
        <v>9.92</v>
      </c>
      <c r="G172">
        <v>97.54</v>
      </c>
      <c r="H172">
        <v>11.23</v>
      </c>
      <c r="I172">
        <v>12.5</v>
      </c>
      <c r="J172">
        <v>2698.38</v>
      </c>
      <c r="K172">
        <v>23923.26</v>
      </c>
      <c r="L172">
        <v>4.0199999999999996</v>
      </c>
      <c r="M172">
        <v>0.45</v>
      </c>
      <c r="N172">
        <v>9.9600000000000009</v>
      </c>
    </row>
    <row r="173" spans="1:14">
      <c r="A173" s="28">
        <v>940</v>
      </c>
      <c r="B173" t="s">
        <v>628</v>
      </c>
      <c r="C173" t="s">
        <v>347</v>
      </c>
      <c r="D173">
        <v>11.93</v>
      </c>
      <c r="E173">
        <v>1783.06</v>
      </c>
      <c r="F173">
        <v>10.39</v>
      </c>
      <c r="G173">
        <v>14.68</v>
      </c>
      <c r="H173">
        <v>4.21</v>
      </c>
      <c r="I173">
        <v>4.79</v>
      </c>
      <c r="J173">
        <v>441.25</v>
      </c>
      <c r="K173">
        <v>9415.31</v>
      </c>
      <c r="L173">
        <v>9.52</v>
      </c>
      <c r="M173">
        <v>0.45</v>
      </c>
    </row>
    <row r="174" spans="1:14">
      <c r="A174" s="28">
        <v>919</v>
      </c>
      <c r="B174" t="s">
        <v>840</v>
      </c>
      <c r="C174" t="s">
        <v>348</v>
      </c>
      <c r="D174">
        <v>11.95</v>
      </c>
      <c r="E174">
        <v>9985.73</v>
      </c>
      <c r="F174">
        <v>10.89</v>
      </c>
      <c r="G174">
        <v>-36.479999999999997</v>
      </c>
      <c r="H174">
        <v>5</v>
      </c>
      <c r="I174">
        <v>5.67</v>
      </c>
      <c r="J174">
        <v>2731.54</v>
      </c>
      <c r="K174">
        <v>50428.67</v>
      </c>
      <c r="L174">
        <v>12.12</v>
      </c>
      <c r="M174">
        <v>0.66</v>
      </c>
      <c r="N174">
        <v>5.21</v>
      </c>
    </row>
    <row r="175" spans="1:14">
      <c r="A175" s="28">
        <v>680</v>
      </c>
      <c r="B175" t="s">
        <v>774</v>
      </c>
      <c r="C175" t="s">
        <v>347</v>
      </c>
      <c r="D175">
        <v>11.98</v>
      </c>
      <c r="E175">
        <v>3691.72</v>
      </c>
      <c r="F175">
        <v>17.489999999999998</v>
      </c>
      <c r="G175">
        <v>26.79</v>
      </c>
      <c r="H175">
        <v>7.77</v>
      </c>
      <c r="I175">
        <v>8.65</v>
      </c>
      <c r="J175">
        <v>1608.8</v>
      </c>
      <c r="K175">
        <v>19774</v>
      </c>
      <c r="L175">
        <v>9.35</v>
      </c>
      <c r="M175">
        <v>0.76</v>
      </c>
      <c r="N175">
        <v>7.41</v>
      </c>
    </row>
    <row r="176" spans="1:14">
      <c r="A176" s="28">
        <v>33</v>
      </c>
      <c r="B176" t="s">
        <v>1541</v>
      </c>
      <c r="C176" t="s">
        <v>348</v>
      </c>
      <c r="D176">
        <v>110.25</v>
      </c>
      <c r="E176">
        <v>345.27</v>
      </c>
      <c r="F176">
        <v>302.58999999999997</v>
      </c>
      <c r="G176" t="s">
        <v>2788</v>
      </c>
      <c r="H176">
        <v>-4.9800000000000004</v>
      </c>
      <c r="I176">
        <v>-12.39</v>
      </c>
      <c r="J176">
        <v>-264.35000000000002</v>
      </c>
      <c r="K176">
        <v>2226.37</v>
      </c>
      <c r="M176">
        <v>4.1399999999999997</v>
      </c>
    </row>
    <row r="177" spans="1:14">
      <c r="A177" s="28">
        <v>126</v>
      </c>
      <c r="B177" t="s">
        <v>1449</v>
      </c>
      <c r="C177" t="s">
        <v>347</v>
      </c>
      <c r="D177">
        <v>110.34</v>
      </c>
      <c r="E177">
        <v>43.52</v>
      </c>
      <c r="F177">
        <v>84.19</v>
      </c>
      <c r="G177" t="s">
        <v>350</v>
      </c>
      <c r="H177">
        <v>2.2599999999999998</v>
      </c>
      <c r="I177">
        <v>4.37</v>
      </c>
      <c r="J177">
        <v>30.31</v>
      </c>
      <c r="K177">
        <v>717.61</v>
      </c>
      <c r="L177">
        <v>33.65</v>
      </c>
      <c r="M177">
        <v>1.42</v>
      </c>
      <c r="N177">
        <v>16.559999999999999</v>
      </c>
    </row>
    <row r="178" spans="1:14">
      <c r="A178" s="28">
        <v>591</v>
      </c>
      <c r="B178" t="s">
        <v>1960</v>
      </c>
      <c r="C178" t="s">
        <v>347</v>
      </c>
      <c r="D178">
        <v>110.68</v>
      </c>
      <c r="E178">
        <v>180.68</v>
      </c>
      <c r="F178">
        <v>21.36</v>
      </c>
      <c r="G178" t="s">
        <v>350</v>
      </c>
      <c r="H178">
        <v>3.97</v>
      </c>
      <c r="I178">
        <v>8.35</v>
      </c>
      <c r="J178">
        <v>113.93</v>
      </c>
      <c r="K178">
        <v>1403.41</v>
      </c>
      <c r="L178">
        <v>11.41</v>
      </c>
      <c r="M178">
        <v>0.93</v>
      </c>
      <c r="N178">
        <v>7.54</v>
      </c>
    </row>
    <row r="179" spans="1:14">
      <c r="A179" s="28">
        <v>1000</v>
      </c>
      <c r="B179" t="s">
        <v>861</v>
      </c>
      <c r="C179" t="s">
        <v>347</v>
      </c>
      <c r="D179">
        <v>110.9</v>
      </c>
      <c r="E179">
        <v>2877.84</v>
      </c>
      <c r="F179">
        <v>9.23</v>
      </c>
      <c r="G179" t="s">
        <v>350</v>
      </c>
      <c r="H179">
        <v>0.36</v>
      </c>
      <c r="I179">
        <v>0.74</v>
      </c>
      <c r="J179">
        <v>103.35</v>
      </c>
      <c r="K179">
        <v>14889.19</v>
      </c>
      <c r="L179">
        <v>72.760000000000005</v>
      </c>
      <c r="M179">
        <v>0.51</v>
      </c>
      <c r="N179">
        <v>30.02</v>
      </c>
    </row>
    <row r="180" spans="1:14">
      <c r="A180" s="28">
        <v>367</v>
      </c>
      <c r="B180" t="s">
        <v>1719</v>
      </c>
      <c r="C180" t="s">
        <v>348</v>
      </c>
      <c r="D180">
        <v>111.09</v>
      </c>
      <c r="E180">
        <v>1183.25</v>
      </c>
      <c r="F180">
        <v>33.61</v>
      </c>
      <c r="G180">
        <v>134.19999999999999</v>
      </c>
      <c r="H180">
        <v>9.26</v>
      </c>
      <c r="I180">
        <v>20.12</v>
      </c>
      <c r="J180">
        <v>1170.8900000000001</v>
      </c>
      <c r="K180">
        <v>6416.23</v>
      </c>
      <c r="L180">
        <v>10.97</v>
      </c>
      <c r="M180">
        <v>2</v>
      </c>
      <c r="N180">
        <v>8.51</v>
      </c>
    </row>
    <row r="181" spans="1:14">
      <c r="A181" s="28">
        <v>417</v>
      </c>
      <c r="B181" t="s">
        <v>1961</v>
      </c>
      <c r="C181" t="s">
        <v>347</v>
      </c>
      <c r="D181">
        <v>111.4</v>
      </c>
      <c r="E181">
        <v>606.30999999999995</v>
      </c>
      <c r="F181">
        <v>30.47</v>
      </c>
      <c r="G181">
        <v>-7.01</v>
      </c>
      <c r="H181">
        <v>4.7699999999999996</v>
      </c>
      <c r="I181">
        <v>10.64</v>
      </c>
      <c r="J181">
        <v>341.61</v>
      </c>
      <c r="K181">
        <v>3531.55</v>
      </c>
      <c r="L181">
        <v>6.37</v>
      </c>
      <c r="M181">
        <v>0.62</v>
      </c>
      <c r="N181">
        <v>6.56</v>
      </c>
    </row>
    <row r="182" spans="1:14">
      <c r="A182" s="28">
        <v>566</v>
      </c>
      <c r="B182" t="s">
        <v>1024</v>
      </c>
      <c r="C182" t="s">
        <v>347</v>
      </c>
      <c r="D182">
        <v>111.79</v>
      </c>
      <c r="E182">
        <v>653.79</v>
      </c>
      <c r="F182">
        <v>22.39</v>
      </c>
      <c r="G182">
        <v>30.83</v>
      </c>
      <c r="H182">
        <v>4.8499999999999996</v>
      </c>
      <c r="I182">
        <v>10.43</v>
      </c>
      <c r="J182">
        <v>746.11</v>
      </c>
      <c r="K182">
        <v>7537.9</v>
      </c>
      <c r="L182">
        <v>3.62</v>
      </c>
      <c r="M182">
        <v>0.36</v>
      </c>
      <c r="N182">
        <v>3.43</v>
      </c>
    </row>
    <row r="183" spans="1:14">
      <c r="A183" s="28">
        <v>276</v>
      </c>
      <c r="B183" t="s">
        <v>2584</v>
      </c>
      <c r="C183" t="s">
        <v>348</v>
      </c>
      <c r="D183">
        <v>111.85</v>
      </c>
      <c r="E183">
        <v>233.7</v>
      </c>
      <c r="F183">
        <v>43.48</v>
      </c>
      <c r="G183" t="s">
        <v>2788</v>
      </c>
      <c r="H183">
        <v>-7.97</v>
      </c>
      <c r="I183">
        <v>-19.190000000000001</v>
      </c>
      <c r="J183">
        <v>-74.33</v>
      </c>
      <c r="K183">
        <v>333.7</v>
      </c>
      <c r="M183">
        <v>2.66</v>
      </c>
    </row>
    <row r="184" spans="1:14">
      <c r="A184" s="28">
        <v>587</v>
      </c>
      <c r="B184" t="s">
        <v>2282</v>
      </c>
      <c r="C184" t="s">
        <v>348</v>
      </c>
      <c r="D184">
        <v>111.93</v>
      </c>
      <c r="E184">
        <v>1767.73</v>
      </c>
      <c r="F184">
        <v>21.52</v>
      </c>
      <c r="G184">
        <v>85.62</v>
      </c>
      <c r="H184">
        <v>5.76</v>
      </c>
      <c r="I184">
        <v>9.92</v>
      </c>
      <c r="J184">
        <v>176.91</v>
      </c>
      <c r="K184">
        <v>1867.73</v>
      </c>
      <c r="L184">
        <v>37.42</v>
      </c>
      <c r="M184">
        <v>3.54</v>
      </c>
      <c r="N184">
        <v>65.69</v>
      </c>
    </row>
    <row r="185" spans="1:14">
      <c r="A185" s="28">
        <v>366</v>
      </c>
      <c r="B185" t="s">
        <v>1461</v>
      </c>
      <c r="C185" t="s">
        <v>348</v>
      </c>
      <c r="D185">
        <v>112.01</v>
      </c>
      <c r="E185">
        <v>820.51</v>
      </c>
      <c r="F185">
        <v>33.799999999999997</v>
      </c>
      <c r="G185">
        <v>14.93</v>
      </c>
      <c r="H185">
        <v>17.53</v>
      </c>
      <c r="I185">
        <v>49.34</v>
      </c>
      <c r="J185">
        <v>1403.83</v>
      </c>
      <c r="K185">
        <v>3835.67</v>
      </c>
      <c r="N185">
        <v>0.26</v>
      </c>
    </row>
    <row r="186" spans="1:14">
      <c r="A186" s="28">
        <v>21</v>
      </c>
      <c r="B186" t="s">
        <v>1566</v>
      </c>
      <c r="C186" t="s">
        <v>347</v>
      </c>
      <c r="D186">
        <v>112.24</v>
      </c>
      <c r="E186">
        <v>2193.9</v>
      </c>
      <c r="F186">
        <v>514.64</v>
      </c>
      <c r="G186" t="s">
        <v>2788</v>
      </c>
      <c r="H186">
        <v>-27.99</v>
      </c>
      <c r="I186">
        <v>-55.16</v>
      </c>
      <c r="J186">
        <v>-4940.21</v>
      </c>
      <c r="K186">
        <v>11469.52</v>
      </c>
      <c r="M186">
        <v>5.27</v>
      </c>
    </row>
    <row r="187" spans="1:14">
      <c r="A187" s="28">
        <v>800</v>
      </c>
      <c r="B187" t="s">
        <v>2087</v>
      </c>
      <c r="C187" t="s">
        <v>348</v>
      </c>
      <c r="D187">
        <v>112.71</v>
      </c>
      <c r="E187">
        <v>506.87</v>
      </c>
      <c r="F187">
        <v>14.14</v>
      </c>
      <c r="G187">
        <v>-33.43</v>
      </c>
      <c r="H187">
        <v>4.32</v>
      </c>
      <c r="I187">
        <v>9.31</v>
      </c>
      <c r="J187">
        <v>268.58</v>
      </c>
      <c r="K187">
        <v>3034.36</v>
      </c>
      <c r="L187">
        <v>30.31</v>
      </c>
      <c r="M187">
        <v>2.68</v>
      </c>
      <c r="N187">
        <v>22.14</v>
      </c>
    </row>
    <row r="188" spans="1:14">
      <c r="A188" s="28">
        <v>802</v>
      </c>
      <c r="B188" t="s">
        <v>2102</v>
      </c>
      <c r="C188" t="s">
        <v>348</v>
      </c>
      <c r="D188">
        <v>112.98</v>
      </c>
      <c r="E188">
        <v>973.67</v>
      </c>
      <c r="F188">
        <v>14.1</v>
      </c>
      <c r="G188" t="s">
        <v>349</v>
      </c>
      <c r="H188">
        <v>-14.11</v>
      </c>
      <c r="I188">
        <v>-25.94</v>
      </c>
      <c r="J188">
        <v>-1425.54</v>
      </c>
      <c r="K188">
        <v>5368.34</v>
      </c>
      <c r="M188">
        <v>1.37</v>
      </c>
      <c r="N188">
        <v>60.72</v>
      </c>
    </row>
    <row r="189" spans="1:14">
      <c r="A189" s="28">
        <v>148</v>
      </c>
      <c r="B189" t="s">
        <v>1386</v>
      </c>
      <c r="C189" t="s">
        <v>348</v>
      </c>
      <c r="D189">
        <v>112.99</v>
      </c>
      <c r="E189">
        <v>745.85</v>
      </c>
      <c r="F189">
        <v>72.430000000000007</v>
      </c>
      <c r="G189" t="s">
        <v>350</v>
      </c>
      <c r="H189">
        <v>1.18</v>
      </c>
      <c r="I189">
        <v>2.48</v>
      </c>
      <c r="J189">
        <v>104.31</v>
      </c>
      <c r="K189">
        <v>4261.1400000000003</v>
      </c>
      <c r="L189">
        <v>67.11</v>
      </c>
      <c r="M189">
        <v>1.64</v>
      </c>
      <c r="N189">
        <v>24.76</v>
      </c>
    </row>
    <row r="190" spans="1:14">
      <c r="A190" s="28">
        <v>806</v>
      </c>
      <c r="B190" t="s">
        <v>2174</v>
      </c>
      <c r="C190" t="s">
        <v>347</v>
      </c>
      <c r="D190">
        <v>113.01</v>
      </c>
      <c r="E190">
        <v>344.24</v>
      </c>
      <c r="F190">
        <v>13.94</v>
      </c>
      <c r="G190">
        <v>85.78</v>
      </c>
      <c r="H190">
        <v>3.08</v>
      </c>
      <c r="I190">
        <v>5.59</v>
      </c>
      <c r="J190">
        <v>100.86</v>
      </c>
      <c r="K190">
        <v>2221.1799999999998</v>
      </c>
      <c r="L190">
        <v>17.18</v>
      </c>
      <c r="M190">
        <v>0.78</v>
      </c>
      <c r="N190">
        <v>12.73</v>
      </c>
    </row>
    <row r="191" spans="1:14">
      <c r="A191" s="28">
        <v>407</v>
      </c>
      <c r="B191" t="s">
        <v>1862</v>
      </c>
      <c r="C191" t="s">
        <v>348</v>
      </c>
      <c r="D191">
        <v>113.33</v>
      </c>
      <c r="E191">
        <v>4776.43</v>
      </c>
      <c r="F191">
        <v>31.15</v>
      </c>
      <c r="G191">
        <v>10.97</v>
      </c>
      <c r="H191">
        <v>7.06</v>
      </c>
      <c r="I191">
        <v>14.22</v>
      </c>
      <c r="J191">
        <v>533.07000000000005</v>
      </c>
      <c r="K191">
        <v>4876.43</v>
      </c>
      <c r="N191">
        <v>0</v>
      </c>
    </row>
    <row r="192" spans="1:14">
      <c r="A192" s="28">
        <v>421</v>
      </c>
      <c r="B192" t="s">
        <v>1854</v>
      </c>
      <c r="C192" t="s">
        <v>347</v>
      </c>
      <c r="D192">
        <v>113.71</v>
      </c>
      <c r="E192">
        <v>404.29</v>
      </c>
      <c r="F192">
        <v>30.35</v>
      </c>
      <c r="G192">
        <v>-26.86</v>
      </c>
      <c r="H192">
        <v>0.99</v>
      </c>
      <c r="I192">
        <v>2.39</v>
      </c>
      <c r="J192">
        <v>107.58</v>
      </c>
      <c r="K192">
        <v>5042.93</v>
      </c>
      <c r="L192">
        <v>187.95</v>
      </c>
      <c r="M192">
        <v>4.01</v>
      </c>
      <c r="N192">
        <v>47.36</v>
      </c>
    </row>
    <row r="193" spans="1:14">
      <c r="A193" s="28">
        <v>277</v>
      </c>
      <c r="B193" t="s">
        <v>1777</v>
      </c>
      <c r="C193" t="s">
        <v>348</v>
      </c>
      <c r="D193">
        <v>1138.21</v>
      </c>
      <c r="E193">
        <v>290.73</v>
      </c>
      <c r="F193">
        <v>43.32</v>
      </c>
      <c r="G193" t="s">
        <v>2788</v>
      </c>
      <c r="H193">
        <v>-191.45</v>
      </c>
      <c r="I193">
        <v>-808.04</v>
      </c>
      <c r="J193">
        <v>-2773.98</v>
      </c>
      <c r="K193">
        <v>130.24</v>
      </c>
      <c r="M193">
        <v>31.75</v>
      </c>
      <c r="N193">
        <v>139.22999999999999</v>
      </c>
    </row>
    <row r="194" spans="1:14">
      <c r="A194" s="28">
        <v>810</v>
      </c>
      <c r="B194" t="s">
        <v>178</v>
      </c>
      <c r="C194" t="s">
        <v>347</v>
      </c>
      <c r="D194">
        <v>114.06</v>
      </c>
      <c r="E194">
        <v>2154.5100000000002</v>
      </c>
      <c r="F194">
        <v>13.83</v>
      </c>
      <c r="G194">
        <v>-17.63</v>
      </c>
      <c r="H194">
        <v>4.5199999999999996</v>
      </c>
      <c r="I194">
        <v>9.5500000000000007</v>
      </c>
      <c r="J194">
        <v>1085.72</v>
      </c>
      <c r="K194">
        <v>12251.96</v>
      </c>
      <c r="L194">
        <v>9.3000000000000007</v>
      </c>
      <c r="M194">
        <v>0.82</v>
      </c>
      <c r="N194">
        <v>7.52</v>
      </c>
    </row>
    <row r="195" spans="1:14">
      <c r="A195" s="28">
        <v>595</v>
      </c>
      <c r="B195" t="s">
        <v>1790</v>
      </c>
      <c r="C195" t="s">
        <v>347</v>
      </c>
      <c r="D195">
        <v>114.39</v>
      </c>
      <c r="E195">
        <v>265.5</v>
      </c>
      <c r="F195">
        <v>20.75</v>
      </c>
      <c r="G195">
        <v>-8.57</v>
      </c>
      <c r="H195">
        <v>8.83</v>
      </c>
      <c r="I195">
        <v>18.399999999999999</v>
      </c>
      <c r="J195">
        <v>309.02999999999997</v>
      </c>
      <c r="K195">
        <v>1827.48</v>
      </c>
      <c r="L195">
        <v>3.73</v>
      </c>
      <c r="M195">
        <v>0.63</v>
      </c>
      <c r="N195">
        <v>3.21</v>
      </c>
    </row>
    <row r="196" spans="1:14">
      <c r="A196" s="28">
        <v>1097</v>
      </c>
      <c r="B196" t="s">
        <v>233</v>
      </c>
      <c r="C196" t="s">
        <v>347</v>
      </c>
      <c r="D196">
        <v>114.41</v>
      </c>
      <c r="E196">
        <v>304.58</v>
      </c>
      <c r="F196">
        <v>7.11</v>
      </c>
      <c r="G196">
        <v>-8</v>
      </c>
      <c r="H196">
        <v>4.71</v>
      </c>
      <c r="I196">
        <v>9.2899999999999991</v>
      </c>
      <c r="J196">
        <v>1814.12</v>
      </c>
      <c r="K196">
        <v>20229.07</v>
      </c>
      <c r="L196">
        <v>8.6300000000000008</v>
      </c>
      <c r="M196">
        <v>0.77</v>
      </c>
      <c r="N196">
        <v>8.1</v>
      </c>
    </row>
    <row r="197" spans="1:14">
      <c r="A197" s="28">
        <v>187</v>
      </c>
      <c r="B197" t="s">
        <v>2311</v>
      </c>
      <c r="C197" t="s">
        <v>348</v>
      </c>
      <c r="D197">
        <v>114.66</v>
      </c>
      <c r="E197">
        <v>564.23</v>
      </c>
      <c r="F197">
        <v>59.04</v>
      </c>
      <c r="G197" t="s">
        <v>2788</v>
      </c>
      <c r="H197">
        <v>-6.06</v>
      </c>
      <c r="I197">
        <v>-12.47</v>
      </c>
      <c r="J197">
        <v>-378.82</v>
      </c>
      <c r="K197">
        <v>3321.17</v>
      </c>
      <c r="M197">
        <v>5.71</v>
      </c>
      <c r="N197">
        <v>50.36</v>
      </c>
    </row>
    <row r="198" spans="1:14">
      <c r="A198" s="28">
        <v>917</v>
      </c>
      <c r="B198" t="s">
        <v>1505</v>
      </c>
      <c r="C198" t="s">
        <v>348</v>
      </c>
      <c r="D198">
        <v>115.43</v>
      </c>
      <c r="E198">
        <v>212.79</v>
      </c>
      <c r="F198">
        <v>10.91</v>
      </c>
      <c r="G198" t="s">
        <v>2788</v>
      </c>
      <c r="H198">
        <v>-8.3699999999999992</v>
      </c>
      <c r="I198">
        <v>-23.64</v>
      </c>
      <c r="J198">
        <v>-271.04000000000002</v>
      </c>
      <c r="K198">
        <v>1563.95</v>
      </c>
      <c r="M198">
        <v>1.73</v>
      </c>
      <c r="N198">
        <v>61.87</v>
      </c>
    </row>
    <row r="199" spans="1:14">
      <c r="A199" s="28">
        <v>740</v>
      </c>
      <c r="B199" t="s">
        <v>1361</v>
      </c>
      <c r="C199" t="s">
        <v>348</v>
      </c>
      <c r="D199">
        <v>115.63</v>
      </c>
      <c r="E199">
        <v>1102.6300000000001</v>
      </c>
      <c r="F199">
        <v>15.72</v>
      </c>
      <c r="G199">
        <v>132.11000000000001</v>
      </c>
      <c r="H199">
        <v>2.68</v>
      </c>
      <c r="I199">
        <v>5.78</v>
      </c>
      <c r="J199">
        <v>340.09</v>
      </c>
      <c r="K199">
        <v>6013.17</v>
      </c>
      <c r="L199">
        <v>15.26</v>
      </c>
      <c r="M199">
        <v>0.86</v>
      </c>
      <c r="N199">
        <v>8.19</v>
      </c>
    </row>
    <row r="200" spans="1:14">
      <c r="A200" s="28">
        <v>947</v>
      </c>
      <c r="B200" t="s">
        <v>1716</v>
      </c>
      <c r="C200" t="s">
        <v>347</v>
      </c>
      <c r="D200">
        <v>116.53</v>
      </c>
      <c r="E200">
        <v>261.13</v>
      </c>
      <c r="F200">
        <v>10.24</v>
      </c>
      <c r="G200" t="s">
        <v>350</v>
      </c>
      <c r="H200">
        <v>1.72</v>
      </c>
      <c r="I200">
        <v>3.84</v>
      </c>
      <c r="J200">
        <v>74.459999999999994</v>
      </c>
      <c r="K200">
        <v>1805.66</v>
      </c>
      <c r="L200">
        <v>8.19</v>
      </c>
      <c r="M200">
        <v>0.34</v>
      </c>
      <c r="N200">
        <v>3.32</v>
      </c>
    </row>
    <row r="201" spans="1:14">
      <c r="A201" s="28">
        <v>131</v>
      </c>
      <c r="B201" t="s">
        <v>1871</v>
      </c>
      <c r="C201" t="s">
        <v>348</v>
      </c>
      <c r="D201">
        <v>116.58</v>
      </c>
      <c r="E201">
        <v>484.54</v>
      </c>
      <c r="F201">
        <v>81.27</v>
      </c>
      <c r="G201" t="s">
        <v>350</v>
      </c>
      <c r="H201">
        <v>9.27</v>
      </c>
      <c r="I201">
        <v>16.920000000000002</v>
      </c>
      <c r="J201">
        <v>451.38</v>
      </c>
      <c r="K201">
        <v>2922.68</v>
      </c>
      <c r="L201">
        <v>35.89</v>
      </c>
      <c r="M201">
        <v>5.54</v>
      </c>
      <c r="N201">
        <v>21.84</v>
      </c>
    </row>
    <row r="202" spans="1:14">
      <c r="A202" s="28">
        <v>151</v>
      </c>
      <c r="B202" t="s">
        <v>2791</v>
      </c>
      <c r="C202" t="s">
        <v>348</v>
      </c>
      <c r="D202">
        <v>1169.82</v>
      </c>
      <c r="F202">
        <v>70.63</v>
      </c>
      <c r="G202" t="s">
        <v>350</v>
      </c>
      <c r="H202">
        <v>17.079999999999998</v>
      </c>
      <c r="I202" t="s">
        <v>2792</v>
      </c>
      <c r="J202">
        <v>199.77</v>
      </c>
      <c r="K202">
        <v>100.37</v>
      </c>
      <c r="L202">
        <v>5.38</v>
      </c>
      <c r="M202">
        <v>10.71</v>
      </c>
      <c r="N202">
        <v>8.9499999999999993</v>
      </c>
    </row>
    <row r="203" spans="1:14">
      <c r="A203" s="28">
        <v>39</v>
      </c>
      <c r="B203" t="s">
        <v>1710</v>
      </c>
      <c r="C203" t="s">
        <v>348</v>
      </c>
      <c r="D203">
        <v>1175.01</v>
      </c>
      <c r="E203">
        <v>419.53</v>
      </c>
      <c r="F203">
        <v>268.64</v>
      </c>
      <c r="G203" t="s">
        <v>350</v>
      </c>
      <c r="H203">
        <v>2.11</v>
      </c>
      <c r="I203">
        <v>75.94</v>
      </c>
      <c r="J203">
        <v>153.46</v>
      </c>
      <c r="K203">
        <v>519.53</v>
      </c>
      <c r="N203">
        <v>5.12</v>
      </c>
    </row>
    <row r="204" spans="1:14">
      <c r="A204" s="28">
        <v>666</v>
      </c>
      <c r="B204" t="s">
        <v>2793</v>
      </c>
      <c r="C204" t="s">
        <v>348</v>
      </c>
      <c r="D204">
        <v>118.02</v>
      </c>
      <c r="E204">
        <v>250.03</v>
      </c>
      <c r="F204">
        <v>18.16</v>
      </c>
      <c r="G204">
        <v>-68.08</v>
      </c>
      <c r="H204">
        <v>6.11</v>
      </c>
      <c r="I204">
        <v>27.72</v>
      </c>
      <c r="J204">
        <v>247.34</v>
      </c>
      <c r="K204">
        <v>1750.13</v>
      </c>
      <c r="N204">
        <v>0.52</v>
      </c>
    </row>
    <row r="205" spans="1:14">
      <c r="A205" s="28">
        <v>438</v>
      </c>
      <c r="B205" t="s">
        <v>2354</v>
      </c>
      <c r="C205" t="s">
        <v>348</v>
      </c>
      <c r="D205">
        <v>118.34</v>
      </c>
      <c r="E205">
        <v>2311.02</v>
      </c>
      <c r="F205">
        <v>28.78</v>
      </c>
      <c r="G205" t="s">
        <v>349</v>
      </c>
      <c r="H205">
        <v>-0.43</v>
      </c>
      <c r="I205">
        <v>-0.86</v>
      </c>
      <c r="J205">
        <v>-19.920000000000002</v>
      </c>
      <c r="K205">
        <v>2411.02</v>
      </c>
      <c r="M205">
        <v>2.2599999999999998</v>
      </c>
      <c r="N205">
        <v>30.84</v>
      </c>
    </row>
    <row r="206" spans="1:14">
      <c r="A206" s="28">
        <v>872</v>
      </c>
      <c r="B206" t="s">
        <v>2076</v>
      </c>
      <c r="C206" t="s">
        <v>348</v>
      </c>
      <c r="D206">
        <v>118.64</v>
      </c>
      <c r="E206">
        <v>2150.27</v>
      </c>
      <c r="F206">
        <v>11.8</v>
      </c>
      <c r="G206">
        <v>440.7</v>
      </c>
      <c r="H206">
        <v>1.87</v>
      </c>
      <c r="I206">
        <v>3.57</v>
      </c>
      <c r="J206">
        <v>299.41000000000003</v>
      </c>
      <c r="K206">
        <v>8355.48</v>
      </c>
      <c r="L206">
        <v>43.8</v>
      </c>
      <c r="M206">
        <v>1.57</v>
      </c>
    </row>
    <row r="207" spans="1:14">
      <c r="A207" s="28">
        <v>327</v>
      </c>
      <c r="B207" t="s">
        <v>1417</v>
      </c>
      <c r="C207" t="s">
        <v>348</v>
      </c>
      <c r="D207">
        <v>119.1</v>
      </c>
      <c r="F207">
        <v>38.06</v>
      </c>
      <c r="G207" t="s">
        <v>2788</v>
      </c>
      <c r="H207">
        <v>-22.34</v>
      </c>
      <c r="I207">
        <v>-47.74</v>
      </c>
      <c r="J207">
        <v>-53.29</v>
      </c>
      <c r="K207">
        <v>113.15</v>
      </c>
      <c r="M207">
        <v>1.29</v>
      </c>
    </row>
    <row r="208" spans="1:14">
      <c r="A208" s="28">
        <v>411</v>
      </c>
      <c r="B208" t="s">
        <v>2356</v>
      </c>
      <c r="C208" t="s">
        <v>348</v>
      </c>
      <c r="D208">
        <v>119.22</v>
      </c>
      <c r="E208">
        <v>1344.72</v>
      </c>
      <c r="F208">
        <v>30.84</v>
      </c>
      <c r="G208">
        <v>459.12</v>
      </c>
      <c r="H208">
        <v>28.96</v>
      </c>
      <c r="I208">
        <v>74.09</v>
      </c>
      <c r="J208">
        <v>778.21</v>
      </c>
      <c r="K208">
        <v>1444.72</v>
      </c>
      <c r="N208">
        <v>0</v>
      </c>
    </row>
    <row r="209" spans="1:14">
      <c r="A209" s="28">
        <v>924</v>
      </c>
      <c r="B209" t="s">
        <v>96</v>
      </c>
      <c r="C209" t="s">
        <v>347</v>
      </c>
      <c r="D209">
        <v>119.32</v>
      </c>
      <c r="E209">
        <v>1143.1300000000001</v>
      </c>
      <c r="F209">
        <v>10.67</v>
      </c>
      <c r="G209">
        <v>-12.53</v>
      </c>
      <c r="H209">
        <v>3.3</v>
      </c>
      <c r="I209">
        <v>6.94</v>
      </c>
      <c r="J209">
        <v>400.03</v>
      </c>
      <c r="K209">
        <v>6215.66</v>
      </c>
      <c r="L209">
        <v>7.54</v>
      </c>
      <c r="M209">
        <v>0.49</v>
      </c>
      <c r="N209">
        <v>3.96</v>
      </c>
    </row>
    <row r="210" spans="1:14">
      <c r="A210" s="28">
        <v>1096</v>
      </c>
      <c r="B210" t="s">
        <v>715</v>
      </c>
      <c r="C210" t="s">
        <v>347</v>
      </c>
      <c r="D210">
        <v>119.53</v>
      </c>
      <c r="E210">
        <v>314.8</v>
      </c>
      <c r="F210">
        <v>7.13</v>
      </c>
      <c r="G210" t="s">
        <v>350</v>
      </c>
      <c r="H210">
        <v>6</v>
      </c>
      <c r="I210">
        <v>14.33</v>
      </c>
      <c r="J210">
        <v>2632.66</v>
      </c>
      <c r="K210">
        <v>21109.84</v>
      </c>
      <c r="L210">
        <v>3.23</v>
      </c>
      <c r="M210">
        <v>0.4</v>
      </c>
      <c r="N210">
        <v>6.41</v>
      </c>
    </row>
    <row r="211" spans="1:14">
      <c r="A211" s="28">
        <v>472</v>
      </c>
      <c r="B211" t="s">
        <v>541</v>
      </c>
      <c r="C211" t="s">
        <v>347</v>
      </c>
      <c r="D211">
        <v>119.57</v>
      </c>
      <c r="E211">
        <v>841.48</v>
      </c>
      <c r="F211">
        <v>26.77</v>
      </c>
      <c r="G211">
        <v>370.12</v>
      </c>
      <c r="H211">
        <v>2.4900000000000002</v>
      </c>
      <c r="I211">
        <v>5.68</v>
      </c>
      <c r="J211">
        <v>2609.8200000000002</v>
      </c>
      <c r="K211">
        <v>47073.89</v>
      </c>
      <c r="L211">
        <v>5.59</v>
      </c>
      <c r="M211">
        <v>0.31</v>
      </c>
      <c r="N211">
        <v>7.34</v>
      </c>
    </row>
    <row r="212" spans="1:14">
      <c r="A212" s="28">
        <v>256</v>
      </c>
      <c r="B212" t="s">
        <v>1543</v>
      </c>
      <c r="C212" t="s">
        <v>348</v>
      </c>
      <c r="D212">
        <v>119.88</v>
      </c>
      <c r="E212">
        <v>518.01</v>
      </c>
      <c r="F212">
        <v>45.66</v>
      </c>
      <c r="G212">
        <v>102.1</v>
      </c>
      <c r="H212">
        <v>15.63</v>
      </c>
      <c r="I212">
        <v>31.65</v>
      </c>
      <c r="J212">
        <v>822.02</v>
      </c>
      <c r="K212">
        <v>3090.06</v>
      </c>
      <c r="L212">
        <v>19.28</v>
      </c>
      <c r="M212">
        <v>5.13</v>
      </c>
      <c r="N212">
        <v>25.86</v>
      </c>
    </row>
    <row r="213" spans="1:14">
      <c r="A213" s="28">
        <v>717</v>
      </c>
      <c r="B213" t="s">
        <v>2243</v>
      </c>
      <c r="C213" t="s">
        <v>348</v>
      </c>
      <c r="D213">
        <v>119.89</v>
      </c>
      <c r="E213">
        <v>287.43</v>
      </c>
      <c r="F213">
        <v>16.2</v>
      </c>
      <c r="G213" t="s">
        <v>2788</v>
      </c>
      <c r="H213">
        <v>-4.93</v>
      </c>
      <c r="I213">
        <v>-10.34</v>
      </c>
      <c r="J213">
        <v>-41.55</v>
      </c>
      <c r="K213">
        <v>387.43</v>
      </c>
      <c r="M213">
        <v>6.25</v>
      </c>
    </row>
    <row r="214" spans="1:14">
      <c r="A214" s="28">
        <v>500</v>
      </c>
      <c r="B214" t="s">
        <v>1459</v>
      </c>
      <c r="C214" t="s">
        <v>348</v>
      </c>
      <c r="D214">
        <v>12.38</v>
      </c>
      <c r="E214">
        <v>621.29999999999995</v>
      </c>
      <c r="F214">
        <v>25.56</v>
      </c>
      <c r="G214" t="s">
        <v>349</v>
      </c>
      <c r="H214">
        <v>-14</v>
      </c>
      <c r="I214">
        <v>-15.64</v>
      </c>
      <c r="J214">
        <v>-587.74</v>
      </c>
      <c r="K214">
        <v>3606.5</v>
      </c>
      <c r="M214">
        <v>3.29</v>
      </c>
    </row>
    <row r="215" spans="1:14">
      <c r="A215" s="28">
        <v>213</v>
      </c>
      <c r="B215" t="s">
        <v>1955</v>
      </c>
      <c r="C215" t="s">
        <v>348</v>
      </c>
      <c r="D215">
        <v>12.45</v>
      </c>
      <c r="E215">
        <v>1328.18</v>
      </c>
      <c r="F215">
        <v>53.86</v>
      </c>
      <c r="G215">
        <v>50.88</v>
      </c>
      <c r="H215">
        <v>15.26</v>
      </c>
      <c r="I215">
        <v>16.86</v>
      </c>
      <c r="J215">
        <v>1104.32</v>
      </c>
      <c r="K215">
        <v>7140.89</v>
      </c>
      <c r="L215">
        <v>29.07</v>
      </c>
      <c r="M215">
        <v>4.5</v>
      </c>
      <c r="N215">
        <v>24.98</v>
      </c>
    </row>
    <row r="216" spans="1:14">
      <c r="A216" s="28">
        <v>439</v>
      </c>
      <c r="B216" t="s">
        <v>873</v>
      </c>
      <c r="C216" t="s">
        <v>347</v>
      </c>
      <c r="D216">
        <v>12.48</v>
      </c>
      <c r="E216">
        <v>8268.5499999999993</v>
      </c>
      <c r="F216">
        <v>28.74</v>
      </c>
      <c r="G216">
        <v>44.07</v>
      </c>
      <c r="H216">
        <v>7.26</v>
      </c>
      <c r="I216">
        <v>8.36</v>
      </c>
      <c r="J216">
        <v>3459.15</v>
      </c>
      <c r="K216">
        <v>41842.769999999997</v>
      </c>
      <c r="L216">
        <v>4.93</v>
      </c>
      <c r="M216">
        <v>0.41</v>
      </c>
      <c r="N216">
        <v>4.51</v>
      </c>
    </row>
    <row r="217" spans="1:14">
      <c r="A217" s="28">
        <v>231</v>
      </c>
      <c r="B217" t="s">
        <v>689</v>
      </c>
      <c r="C217" t="s">
        <v>348</v>
      </c>
      <c r="D217">
        <v>12.48</v>
      </c>
      <c r="E217">
        <v>2759.38</v>
      </c>
      <c r="F217">
        <v>49.45</v>
      </c>
      <c r="G217">
        <v>251.22</v>
      </c>
      <c r="H217">
        <v>6.07</v>
      </c>
      <c r="I217">
        <v>6.76</v>
      </c>
      <c r="J217">
        <v>1869.95</v>
      </c>
      <c r="K217">
        <v>28593.8</v>
      </c>
      <c r="L217">
        <v>8.9</v>
      </c>
      <c r="M217">
        <v>0.57999999999999996</v>
      </c>
      <c r="N217">
        <v>4.9400000000000004</v>
      </c>
    </row>
    <row r="218" spans="1:14">
      <c r="A218" s="28">
        <v>440</v>
      </c>
      <c r="B218" t="s">
        <v>2620</v>
      </c>
      <c r="C218" t="s">
        <v>347</v>
      </c>
      <c r="D218">
        <v>12.51</v>
      </c>
      <c r="E218">
        <v>237.38</v>
      </c>
      <c r="F218">
        <v>28.72</v>
      </c>
      <c r="G218">
        <v>96.67</v>
      </c>
      <c r="H218">
        <v>4.93</v>
      </c>
      <c r="I218">
        <v>5.46</v>
      </c>
      <c r="J218">
        <v>89.56</v>
      </c>
      <c r="K218">
        <v>1686.91</v>
      </c>
      <c r="L218">
        <v>15.06</v>
      </c>
      <c r="M218">
        <v>0.8</v>
      </c>
      <c r="N218">
        <v>15.52</v>
      </c>
    </row>
    <row r="219" spans="1:14">
      <c r="A219" s="28">
        <v>844</v>
      </c>
      <c r="B219" t="s">
        <v>304</v>
      </c>
      <c r="C219" t="s">
        <v>348</v>
      </c>
      <c r="D219">
        <v>12.64</v>
      </c>
      <c r="E219">
        <v>1421.54</v>
      </c>
      <c r="F219">
        <v>12.86</v>
      </c>
      <c r="G219">
        <v>14.65</v>
      </c>
      <c r="H219">
        <v>13.98</v>
      </c>
      <c r="I219">
        <v>16.04</v>
      </c>
      <c r="J219">
        <v>1093.52</v>
      </c>
      <c r="K219">
        <v>7607.69</v>
      </c>
      <c r="L219">
        <v>5.42</v>
      </c>
      <c r="M219">
        <v>0.78</v>
      </c>
      <c r="N219">
        <v>4.7699999999999996</v>
      </c>
    </row>
    <row r="220" spans="1:14">
      <c r="A220" s="28">
        <v>248</v>
      </c>
      <c r="B220" t="s">
        <v>2794</v>
      </c>
      <c r="C220" t="s">
        <v>348</v>
      </c>
      <c r="D220">
        <v>120.08</v>
      </c>
      <c r="F220">
        <v>46.49</v>
      </c>
      <c r="G220" t="s">
        <v>350</v>
      </c>
      <c r="H220">
        <v>8.06</v>
      </c>
      <c r="I220">
        <v>20.91</v>
      </c>
      <c r="J220">
        <v>63.76</v>
      </c>
      <c r="K220">
        <v>390.98</v>
      </c>
      <c r="L220">
        <v>111.36</v>
      </c>
      <c r="M220">
        <v>18.16</v>
      </c>
      <c r="N220">
        <v>47.45</v>
      </c>
    </row>
    <row r="221" spans="1:14">
      <c r="A221" s="28">
        <v>214</v>
      </c>
      <c r="B221" t="s">
        <v>2375</v>
      </c>
      <c r="C221" t="s">
        <v>348</v>
      </c>
      <c r="D221">
        <v>120.14</v>
      </c>
      <c r="E221">
        <v>103.8</v>
      </c>
      <c r="F221">
        <v>53.81</v>
      </c>
      <c r="G221" t="s">
        <v>2788</v>
      </c>
      <c r="H221">
        <v>-19.010000000000002</v>
      </c>
      <c r="I221">
        <v>-31.95</v>
      </c>
      <c r="J221">
        <v>-762.09</v>
      </c>
      <c r="K221">
        <v>2037.96</v>
      </c>
      <c r="M221">
        <v>4.55</v>
      </c>
    </row>
    <row r="222" spans="1:14">
      <c r="A222" s="28">
        <v>442</v>
      </c>
      <c r="B222" t="s">
        <v>1970</v>
      </c>
      <c r="C222" t="s">
        <v>347</v>
      </c>
      <c r="D222">
        <v>120.47</v>
      </c>
      <c r="E222">
        <v>386.85</v>
      </c>
      <c r="F222">
        <v>28.65</v>
      </c>
      <c r="G222" t="s">
        <v>2788</v>
      </c>
      <c r="H222">
        <v>-7.67</v>
      </c>
      <c r="I222">
        <v>-16.09</v>
      </c>
      <c r="J222">
        <v>-4416.95</v>
      </c>
      <c r="K222">
        <v>28514.71</v>
      </c>
      <c r="M222">
        <v>0.49</v>
      </c>
    </row>
    <row r="223" spans="1:14">
      <c r="A223" s="28">
        <v>371</v>
      </c>
      <c r="B223" t="s">
        <v>2351</v>
      </c>
      <c r="C223" t="s">
        <v>348</v>
      </c>
      <c r="D223">
        <v>121.06</v>
      </c>
      <c r="E223">
        <v>802.68</v>
      </c>
      <c r="F223">
        <v>33.369999999999997</v>
      </c>
      <c r="G223">
        <v>467.35</v>
      </c>
      <c r="H223">
        <v>1.76</v>
      </c>
      <c r="I223">
        <v>3.4</v>
      </c>
      <c r="J223">
        <v>148.13</v>
      </c>
      <c r="K223">
        <v>4513.42</v>
      </c>
      <c r="L223">
        <v>72.91</v>
      </c>
      <c r="M223">
        <v>2.39</v>
      </c>
      <c r="N223">
        <v>58.81</v>
      </c>
    </row>
    <row r="224" spans="1:14">
      <c r="A224" s="28">
        <v>208</v>
      </c>
      <c r="B224" t="s">
        <v>1098</v>
      </c>
      <c r="C224" t="s">
        <v>347</v>
      </c>
      <c r="D224">
        <v>121.2</v>
      </c>
      <c r="E224">
        <v>1835.69</v>
      </c>
      <c r="F224">
        <v>55.08</v>
      </c>
      <c r="G224" t="s">
        <v>350</v>
      </c>
      <c r="H224">
        <v>2.99</v>
      </c>
      <c r="I224">
        <v>6.64</v>
      </c>
      <c r="J224">
        <v>582.44000000000005</v>
      </c>
      <c r="K224">
        <v>9678.44</v>
      </c>
      <c r="L224">
        <v>9.75</v>
      </c>
      <c r="M224">
        <v>0.59</v>
      </c>
      <c r="N224">
        <v>7.45</v>
      </c>
    </row>
    <row r="225" spans="1:14">
      <c r="A225" s="28">
        <v>405</v>
      </c>
      <c r="B225" t="s">
        <v>885</v>
      </c>
      <c r="C225" t="s">
        <v>348</v>
      </c>
      <c r="D225">
        <v>121.7</v>
      </c>
      <c r="E225">
        <v>2219.52</v>
      </c>
      <c r="F225">
        <v>31.36</v>
      </c>
      <c r="G225">
        <v>222.07</v>
      </c>
      <c r="H225">
        <v>7.57</v>
      </c>
      <c r="I225">
        <v>17</v>
      </c>
      <c r="J225">
        <v>1729.77</v>
      </c>
      <c r="K225">
        <v>11597.61</v>
      </c>
      <c r="L225">
        <v>8.61</v>
      </c>
      <c r="M225">
        <v>1.28</v>
      </c>
      <c r="N225">
        <v>7.86</v>
      </c>
    </row>
    <row r="226" spans="1:14">
      <c r="A226" s="28">
        <v>900</v>
      </c>
      <c r="B226" t="s">
        <v>2222</v>
      </c>
      <c r="C226" t="s">
        <v>348</v>
      </c>
      <c r="D226">
        <v>123.23</v>
      </c>
      <c r="E226">
        <v>24.58</v>
      </c>
      <c r="F226">
        <v>11.19</v>
      </c>
      <c r="G226" t="s">
        <v>2788</v>
      </c>
      <c r="H226">
        <v>-17.39</v>
      </c>
      <c r="I226">
        <v>-51.31</v>
      </c>
      <c r="J226">
        <v>-322.33999999999997</v>
      </c>
      <c r="K226">
        <v>622.88</v>
      </c>
      <c r="M226">
        <v>1.67</v>
      </c>
    </row>
    <row r="227" spans="1:14">
      <c r="A227" s="28">
        <v>122</v>
      </c>
      <c r="B227" t="s">
        <v>2392</v>
      </c>
      <c r="C227" t="s">
        <v>347</v>
      </c>
      <c r="D227">
        <v>123.33</v>
      </c>
      <c r="E227">
        <v>20.53</v>
      </c>
      <c r="F227">
        <v>87.18</v>
      </c>
      <c r="G227" t="s">
        <v>350</v>
      </c>
      <c r="H227">
        <v>9.35</v>
      </c>
      <c r="I227">
        <v>18.579999999999998</v>
      </c>
      <c r="J227">
        <v>92.64</v>
      </c>
      <c r="K227">
        <v>602.66</v>
      </c>
      <c r="L227">
        <v>18.84</v>
      </c>
      <c r="M227">
        <v>2.9</v>
      </c>
      <c r="N227">
        <v>26.13</v>
      </c>
    </row>
    <row r="228" spans="1:14">
      <c r="A228" s="28">
        <v>401</v>
      </c>
      <c r="B228" t="s">
        <v>367</v>
      </c>
      <c r="C228" t="s">
        <v>347</v>
      </c>
      <c r="D228">
        <v>123.45</v>
      </c>
      <c r="E228">
        <v>1090.27</v>
      </c>
      <c r="F228">
        <v>31.73</v>
      </c>
      <c r="G228">
        <v>7.37</v>
      </c>
      <c r="H228">
        <v>2.59</v>
      </c>
      <c r="I228">
        <v>5.69</v>
      </c>
      <c r="J228">
        <v>3310.43</v>
      </c>
      <c r="K228">
        <v>59513.4</v>
      </c>
      <c r="L228">
        <v>10.54</v>
      </c>
      <c r="M228">
        <v>0.59</v>
      </c>
      <c r="N228">
        <v>8.41</v>
      </c>
    </row>
    <row r="229" spans="1:14">
      <c r="A229" s="28">
        <v>373</v>
      </c>
      <c r="B229" t="s">
        <v>1179</v>
      </c>
      <c r="C229" t="s">
        <v>347</v>
      </c>
      <c r="D229">
        <v>1235.01</v>
      </c>
      <c r="E229">
        <v>233.56</v>
      </c>
      <c r="F229">
        <v>33.29</v>
      </c>
      <c r="G229">
        <v>-77.650000000000006</v>
      </c>
      <c r="H229">
        <v>7.0000000000000007E-2</v>
      </c>
      <c r="I229">
        <v>0.96</v>
      </c>
      <c r="J229">
        <v>158.77000000000001</v>
      </c>
      <c r="K229">
        <v>16678.23</v>
      </c>
      <c r="L229">
        <v>51.08</v>
      </c>
      <c r="M229">
        <v>0.49</v>
      </c>
    </row>
    <row r="230" spans="1:14">
      <c r="A230" s="28">
        <v>640</v>
      </c>
      <c r="B230" t="s">
        <v>847</v>
      </c>
      <c r="C230" t="s">
        <v>348</v>
      </c>
      <c r="D230">
        <v>124.27</v>
      </c>
      <c r="E230">
        <v>2278.2600000000002</v>
      </c>
      <c r="F230">
        <v>19.2</v>
      </c>
      <c r="G230">
        <v>55.84</v>
      </c>
      <c r="H230">
        <v>6.58</v>
      </c>
      <c r="I230">
        <v>12.79</v>
      </c>
      <c r="J230">
        <v>259.61</v>
      </c>
      <c r="K230">
        <v>2378.2600000000002</v>
      </c>
      <c r="L230">
        <v>10.28</v>
      </c>
      <c r="M230">
        <v>1.1200000000000001</v>
      </c>
      <c r="N230">
        <v>13.79</v>
      </c>
    </row>
    <row r="231" spans="1:14">
      <c r="A231" s="28">
        <v>1036</v>
      </c>
      <c r="B231" t="s">
        <v>2746</v>
      </c>
      <c r="C231" t="s">
        <v>348</v>
      </c>
      <c r="D231">
        <v>124.53</v>
      </c>
      <c r="E231">
        <v>1224.1600000000001</v>
      </c>
      <c r="F231">
        <v>8.31</v>
      </c>
      <c r="G231" t="s">
        <v>349</v>
      </c>
      <c r="H231">
        <v>-20.75</v>
      </c>
      <c r="I231">
        <v>-37.97</v>
      </c>
      <c r="J231">
        <v>-1350.11</v>
      </c>
      <c r="K231">
        <v>3005.93</v>
      </c>
      <c r="M231">
        <v>2.99</v>
      </c>
    </row>
    <row r="232" spans="1:14">
      <c r="A232" s="28">
        <v>470</v>
      </c>
      <c r="B232" t="s">
        <v>1618</v>
      </c>
      <c r="C232" t="s">
        <v>348</v>
      </c>
      <c r="D232">
        <v>124.59</v>
      </c>
      <c r="E232">
        <v>1379.87</v>
      </c>
      <c r="F232">
        <v>26.89</v>
      </c>
      <c r="G232" t="s">
        <v>2788</v>
      </c>
      <c r="H232">
        <v>-0.32</v>
      </c>
      <c r="I232">
        <v>-0.7</v>
      </c>
      <c r="J232">
        <v>-46.77</v>
      </c>
      <c r="K232">
        <v>7399.35</v>
      </c>
      <c r="M232">
        <v>0.97</v>
      </c>
      <c r="N232">
        <v>15.06</v>
      </c>
    </row>
    <row r="233" spans="1:14">
      <c r="A233" s="28">
        <v>150</v>
      </c>
      <c r="B233" t="s">
        <v>115</v>
      </c>
      <c r="C233" t="s">
        <v>347</v>
      </c>
      <c r="D233">
        <v>124.87</v>
      </c>
      <c r="E233">
        <v>344.28</v>
      </c>
      <c r="F233">
        <v>71.319999999999993</v>
      </c>
      <c r="G233">
        <v>116.26</v>
      </c>
      <c r="H233">
        <v>15.83</v>
      </c>
      <c r="I233">
        <v>34.340000000000003</v>
      </c>
      <c r="J233">
        <v>2187.0100000000002</v>
      </c>
      <c r="K233">
        <v>7512.34</v>
      </c>
      <c r="L233">
        <v>4.45</v>
      </c>
      <c r="M233">
        <v>1.3</v>
      </c>
      <c r="N233">
        <v>6.44</v>
      </c>
    </row>
    <row r="234" spans="1:14">
      <c r="A234" s="28">
        <v>488</v>
      </c>
      <c r="B234" t="s">
        <v>2859</v>
      </c>
      <c r="C234" t="s">
        <v>348</v>
      </c>
      <c r="D234">
        <v>124.97</v>
      </c>
      <c r="E234">
        <v>505.96</v>
      </c>
      <c r="F234">
        <v>26.14</v>
      </c>
      <c r="G234" t="s">
        <v>350</v>
      </c>
      <c r="H234">
        <v>3.74</v>
      </c>
      <c r="I234">
        <v>8.76</v>
      </c>
      <c r="J234">
        <v>252.18</v>
      </c>
      <c r="K234">
        <v>3029.79</v>
      </c>
      <c r="L234">
        <v>18.18</v>
      </c>
      <c r="M234">
        <v>1.51</v>
      </c>
      <c r="N234">
        <v>10.27</v>
      </c>
    </row>
    <row r="235" spans="1:14">
      <c r="A235" s="28">
        <v>981</v>
      </c>
      <c r="B235" t="s">
        <v>1518</v>
      </c>
      <c r="C235" t="s">
        <v>348</v>
      </c>
      <c r="D235">
        <v>125.29</v>
      </c>
      <c r="E235">
        <v>330.3</v>
      </c>
      <c r="F235">
        <v>9.52</v>
      </c>
      <c r="G235" t="s">
        <v>2788</v>
      </c>
      <c r="H235">
        <v>-4.4400000000000004</v>
      </c>
      <c r="I235">
        <v>-8.64</v>
      </c>
      <c r="J235">
        <v>-196.07</v>
      </c>
      <c r="K235">
        <v>2151.48</v>
      </c>
      <c r="M235">
        <v>1.05</v>
      </c>
      <c r="N235">
        <v>12.15</v>
      </c>
    </row>
    <row r="236" spans="1:14">
      <c r="A236" s="28">
        <v>985</v>
      </c>
      <c r="B236" t="s">
        <v>1047</v>
      </c>
      <c r="C236" t="s">
        <v>347</v>
      </c>
      <c r="D236">
        <v>125.5</v>
      </c>
      <c r="E236">
        <v>368.9</v>
      </c>
      <c r="F236">
        <v>9.48</v>
      </c>
      <c r="G236">
        <v>15.2</v>
      </c>
      <c r="H236">
        <v>6.67</v>
      </c>
      <c r="I236">
        <v>15.13</v>
      </c>
      <c r="J236">
        <v>1583.25</v>
      </c>
      <c r="K236">
        <v>11480.53</v>
      </c>
      <c r="L236">
        <v>22.45</v>
      </c>
      <c r="M236">
        <v>3.1</v>
      </c>
      <c r="N236">
        <v>7.24</v>
      </c>
    </row>
    <row r="237" spans="1:14">
      <c r="A237" s="28">
        <v>113</v>
      </c>
      <c r="B237" t="s">
        <v>2767</v>
      </c>
      <c r="C237" t="s">
        <v>348</v>
      </c>
      <c r="D237">
        <v>125.54</v>
      </c>
      <c r="E237">
        <v>3646.9</v>
      </c>
      <c r="F237">
        <v>95.71</v>
      </c>
      <c r="G237">
        <v>77.48</v>
      </c>
      <c r="H237">
        <v>5.6</v>
      </c>
      <c r="I237">
        <v>14.44</v>
      </c>
      <c r="J237">
        <v>431.58</v>
      </c>
      <c r="K237">
        <v>3746.9</v>
      </c>
      <c r="L237">
        <v>25.49</v>
      </c>
      <c r="M237">
        <v>2.94</v>
      </c>
      <c r="N237">
        <v>18.09</v>
      </c>
    </row>
    <row r="238" spans="1:14">
      <c r="A238" s="28">
        <v>994</v>
      </c>
      <c r="B238" t="s">
        <v>1400</v>
      </c>
      <c r="C238" t="s">
        <v>347</v>
      </c>
      <c r="D238">
        <v>126.47</v>
      </c>
      <c r="E238">
        <v>786.1</v>
      </c>
      <c r="F238">
        <v>9.32</v>
      </c>
      <c r="G238">
        <v>76.62</v>
      </c>
      <c r="H238">
        <v>2.2400000000000002</v>
      </c>
      <c r="I238">
        <v>5.14</v>
      </c>
      <c r="J238">
        <v>2374.52</v>
      </c>
      <c r="K238">
        <v>44304.86</v>
      </c>
      <c r="L238">
        <v>8.93</v>
      </c>
      <c r="M238">
        <v>0.48</v>
      </c>
      <c r="N238">
        <v>4.03</v>
      </c>
    </row>
    <row r="239" spans="1:14">
      <c r="A239" s="28">
        <v>4</v>
      </c>
      <c r="B239" t="s">
        <v>2795</v>
      </c>
      <c r="C239" t="s">
        <v>348</v>
      </c>
      <c r="D239">
        <v>127.01</v>
      </c>
      <c r="E239">
        <v>560.91</v>
      </c>
      <c r="F239" t="s">
        <v>2796</v>
      </c>
      <c r="G239" t="s">
        <v>2796</v>
      </c>
      <c r="H239" t="s">
        <v>2796</v>
      </c>
      <c r="I239" t="s">
        <v>2796</v>
      </c>
      <c r="J239">
        <v>346.38</v>
      </c>
      <c r="K239">
        <v>3304.56</v>
      </c>
      <c r="L239">
        <v>16.72</v>
      </c>
      <c r="M239">
        <v>1.75</v>
      </c>
      <c r="N239">
        <v>10.11</v>
      </c>
    </row>
    <row r="240" spans="1:14">
      <c r="A240" s="28">
        <v>279</v>
      </c>
      <c r="B240" t="s">
        <v>1884</v>
      </c>
      <c r="C240" t="s">
        <v>347</v>
      </c>
      <c r="D240">
        <v>127.99</v>
      </c>
      <c r="E240">
        <v>8979.7000000000007</v>
      </c>
      <c r="F240">
        <v>43.1</v>
      </c>
      <c r="G240">
        <v>73.59</v>
      </c>
      <c r="H240">
        <v>6.16</v>
      </c>
      <c r="I240">
        <v>14.62</v>
      </c>
      <c r="J240">
        <v>6166.31</v>
      </c>
      <c r="K240">
        <v>45398.52</v>
      </c>
      <c r="L240">
        <v>4.57</v>
      </c>
      <c r="M240">
        <v>0.62</v>
      </c>
      <c r="N240">
        <v>5.08</v>
      </c>
    </row>
    <row r="241" spans="1:14">
      <c r="A241" s="28">
        <v>183</v>
      </c>
      <c r="B241" t="s">
        <v>80</v>
      </c>
      <c r="C241" t="s">
        <v>347</v>
      </c>
      <c r="D241">
        <v>128.19</v>
      </c>
      <c r="E241">
        <v>4645.57</v>
      </c>
      <c r="F241">
        <v>60.45</v>
      </c>
      <c r="G241">
        <v>70.19</v>
      </c>
      <c r="H241">
        <v>3.99</v>
      </c>
      <c r="I241">
        <v>9.0500000000000007</v>
      </c>
      <c r="J241">
        <v>20291.77</v>
      </c>
      <c r="K241">
        <v>237278.74</v>
      </c>
      <c r="L241">
        <v>2.2400000000000002</v>
      </c>
      <c r="M241">
        <v>0.19</v>
      </c>
      <c r="N241">
        <v>3.96</v>
      </c>
    </row>
    <row r="242" spans="1:14">
      <c r="A242" s="28">
        <v>137</v>
      </c>
      <c r="B242" t="s">
        <v>1643</v>
      </c>
      <c r="C242" t="s">
        <v>347</v>
      </c>
      <c r="D242">
        <v>128.86000000000001</v>
      </c>
      <c r="E242">
        <v>6.79</v>
      </c>
      <c r="F242">
        <v>78.69</v>
      </c>
      <c r="G242">
        <v>-48.5</v>
      </c>
      <c r="H242">
        <v>5.15</v>
      </c>
      <c r="I242">
        <v>11.81</v>
      </c>
      <c r="J242">
        <v>57.99</v>
      </c>
      <c r="K242">
        <v>533.92999999999995</v>
      </c>
      <c r="L242">
        <v>23.37</v>
      </c>
      <c r="M242">
        <v>2.54</v>
      </c>
      <c r="N242">
        <v>10.16</v>
      </c>
    </row>
    <row r="243" spans="1:14">
      <c r="A243" s="28">
        <v>378</v>
      </c>
      <c r="B243" t="s">
        <v>2690</v>
      </c>
      <c r="C243" t="s">
        <v>348</v>
      </c>
      <c r="D243">
        <v>128.87</v>
      </c>
      <c r="E243">
        <v>1396.78</v>
      </c>
      <c r="F243">
        <v>32.78</v>
      </c>
      <c r="G243">
        <v>67.349999999999994</v>
      </c>
      <c r="H243">
        <v>8.86</v>
      </c>
      <c r="I243">
        <v>18.7</v>
      </c>
      <c r="J243">
        <v>1276.1099999999999</v>
      </c>
      <c r="K243">
        <v>7483.89</v>
      </c>
      <c r="L243">
        <v>3.25</v>
      </c>
      <c r="M243">
        <v>0.55000000000000004</v>
      </c>
      <c r="N243">
        <v>5.81</v>
      </c>
    </row>
    <row r="244" spans="1:14">
      <c r="A244" s="28">
        <v>124</v>
      </c>
      <c r="B244" t="s">
        <v>1342</v>
      </c>
      <c r="C244" t="s">
        <v>348</v>
      </c>
      <c r="D244">
        <v>128.96</v>
      </c>
      <c r="E244">
        <v>2140.73</v>
      </c>
      <c r="F244">
        <v>85.39</v>
      </c>
      <c r="G244" t="s">
        <v>349</v>
      </c>
      <c r="H244">
        <v>-2.19</v>
      </c>
      <c r="I244">
        <v>-4.28</v>
      </c>
      <c r="J244">
        <v>-432.82</v>
      </c>
      <c r="K244">
        <v>10887.26</v>
      </c>
      <c r="M244">
        <v>2.0499999999999998</v>
      </c>
      <c r="N244">
        <v>77.09</v>
      </c>
    </row>
    <row r="245" spans="1:14">
      <c r="A245" s="28">
        <v>740</v>
      </c>
      <c r="B245" t="s">
        <v>2220</v>
      </c>
      <c r="C245" t="s">
        <v>348</v>
      </c>
      <c r="D245">
        <v>129.07</v>
      </c>
      <c r="E245">
        <v>379.76</v>
      </c>
      <c r="F245">
        <v>15.72</v>
      </c>
      <c r="G245" t="s">
        <v>350</v>
      </c>
      <c r="H245">
        <v>8.5</v>
      </c>
      <c r="I245">
        <v>21.7</v>
      </c>
      <c r="J245">
        <v>469.3</v>
      </c>
      <c r="K245">
        <v>2398.79</v>
      </c>
      <c r="L245">
        <v>15.83</v>
      </c>
      <c r="M245">
        <v>3.1</v>
      </c>
      <c r="N245">
        <v>12.73</v>
      </c>
    </row>
    <row r="246" spans="1:14">
      <c r="A246" s="28">
        <v>889</v>
      </c>
      <c r="B246" t="s">
        <v>983</v>
      </c>
      <c r="C246" t="s">
        <v>348</v>
      </c>
      <c r="D246">
        <v>13.02</v>
      </c>
      <c r="E246">
        <v>2173.46</v>
      </c>
      <c r="F246">
        <v>11.41</v>
      </c>
      <c r="G246">
        <v>12.21</v>
      </c>
      <c r="H246">
        <v>9.24</v>
      </c>
      <c r="I246">
        <v>10.57</v>
      </c>
      <c r="J246">
        <v>1138.07</v>
      </c>
      <c r="K246">
        <v>11367.29</v>
      </c>
      <c r="L246">
        <v>6.77</v>
      </c>
      <c r="M246">
        <v>0.68</v>
      </c>
      <c r="N246">
        <v>4.78</v>
      </c>
    </row>
    <row r="247" spans="1:14">
      <c r="A247" s="28">
        <v>851</v>
      </c>
      <c r="B247" t="s">
        <v>281</v>
      </c>
      <c r="C247" t="s">
        <v>348</v>
      </c>
      <c r="D247">
        <v>13.05</v>
      </c>
      <c r="E247">
        <v>3756.43</v>
      </c>
      <c r="F247">
        <v>12.57</v>
      </c>
      <c r="G247">
        <v>487.31</v>
      </c>
      <c r="H247">
        <v>23.04</v>
      </c>
      <c r="I247">
        <v>25.71</v>
      </c>
      <c r="J247">
        <v>4285.45</v>
      </c>
      <c r="K247">
        <v>19282.16</v>
      </c>
      <c r="L247">
        <v>2.52</v>
      </c>
      <c r="M247">
        <v>0.56000000000000005</v>
      </c>
      <c r="N247">
        <v>7.55</v>
      </c>
    </row>
    <row r="248" spans="1:14">
      <c r="A248" s="28">
        <v>801</v>
      </c>
      <c r="B248" t="s">
        <v>1554</v>
      </c>
      <c r="C248" t="s">
        <v>348</v>
      </c>
      <c r="D248">
        <v>13.08</v>
      </c>
      <c r="E248">
        <v>5451.92</v>
      </c>
      <c r="F248">
        <v>14.12</v>
      </c>
      <c r="G248">
        <v>-45.34</v>
      </c>
      <c r="H248">
        <v>6.02</v>
      </c>
      <c r="I248">
        <v>6.77</v>
      </c>
      <c r="J248">
        <v>233.76</v>
      </c>
      <c r="K248">
        <v>4335.43</v>
      </c>
      <c r="L248">
        <v>28.47</v>
      </c>
      <c r="M248">
        <v>1.54</v>
      </c>
      <c r="N248">
        <v>21.33</v>
      </c>
    </row>
    <row r="249" spans="1:14">
      <c r="A249" s="28">
        <v>668</v>
      </c>
      <c r="B249" t="s">
        <v>1127</v>
      </c>
      <c r="C249" t="s">
        <v>348</v>
      </c>
      <c r="D249">
        <v>13.23</v>
      </c>
      <c r="E249">
        <v>1202.01</v>
      </c>
      <c r="F249">
        <v>18.05</v>
      </c>
      <c r="G249">
        <v>9.17</v>
      </c>
      <c r="H249">
        <v>12.71</v>
      </c>
      <c r="I249">
        <v>14.84</v>
      </c>
      <c r="J249">
        <v>795.81</v>
      </c>
      <c r="K249">
        <v>6510.07</v>
      </c>
      <c r="L249">
        <v>25.76</v>
      </c>
      <c r="M249">
        <v>3.15</v>
      </c>
      <c r="N249">
        <v>38.01</v>
      </c>
    </row>
    <row r="250" spans="1:14">
      <c r="A250" s="28">
        <v>685</v>
      </c>
      <c r="B250" t="s">
        <v>2396</v>
      </c>
      <c r="C250" t="s">
        <v>348</v>
      </c>
      <c r="D250">
        <v>13.25</v>
      </c>
      <c r="E250">
        <v>825.21</v>
      </c>
      <c r="F250">
        <v>17.27</v>
      </c>
      <c r="G250">
        <v>13.75</v>
      </c>
      <c r="H250">
        <v>6.35</v>
      </c>
      <c r="I250">
        <v>7.1</v>
      </c>
      <c r="J250">
        <v>315.3</v>
      </c>
      <c r="K250">
        <v>4626.04</v>
      </c>
      <c r="L250">
        <v>18.899999999999999</v>
      </c>
      <c r="M250">
        <v>1.29</v>
      </c>
      <c r="N250">
        <v>12.91</v>
      </c>
    </row>
    <row r="251" spans="1:14">
      <c r="A251" s="28">
        <v>967</v>
      </c>
      <c r="B251" t="s">
        <v>1259</v>
      </c>
      <c r="C251" t="s">
        <v>347</v>
      </c>
      <c r="D251">
        <v>13.46</v>
      </c>
      <c r="E251">
        <v>4080.6</v>
      </c>
      <c r="F251">
        <v>9.77</v>
      </c>
      <c r="G251">
        <v>32.04</v>
      </c>
      <c r="H251">
        <v>11.83</v>
      </c>
      <c r="I251">
        <v>13.66</v>
      </c>
      <c r="J251">
        <v>2654.93</v>
      </c>
      <c r="K251">
        <v>20903.009999999998</v>
      </c>
      <c r="L251">
        <v>5.57</v>
      </c>
      <c r="M251">
        <v>0.71</v>
      </c>
      <c r="N251">
        <v>4.08</v>
      </c>
    </row>
    <row r="252" spans="1:14">
      <c r="A252" s="28">
        <v>95</v>
      </c>
      <c r="B252" t="s">
        <v>2374</v>
      </c>
      <c r="C252" t="s">
        <v>348</v>
      </c>
      <c r="D252">
        <v>13.52</v>
      </c>
      <c r="E252">
        <v>800.71</v>
      </c>
      <c r="F252">
        <v>115.47</v>
      </c>
      <c r="G252" t="s">
        <v>350</v>
      </c>
      <c r="H252">
        <v>10</v>
      </c>
      <c r="I252">
        <v>12.01</v>
      </c>
      <c r="J252">
        <v>474.35</v>
      </c>
      <c r="K252">
        <v>4503.53</v>
      </c>
      <c r="L252">
        <v>26.56</v>
      </c>
      <c r="M252">
        <v>2.8</v>
      </c>
      <c r="N252">
        <v>22.07</v>
      </c>
    </row>
    <row r="253" spans="1:14">
      <c r="A253" s="28">
        <v>974</v>
      </c>
      <c r="B253" t="s">
        <v>2508</v>
      </c>
      <c r="C253" t="s">
        <v>347</v>
      </c>
      <c r="D253">
        <v>13.53</v>
      </c>
      <c r="E253">
        <v>20.43</v>
      </c>
      <c r="F253">
        <v>9.68</v>
      </c>
      <c r="G253" t="s">
        <v>349</v>
      </c>
      <c r="H253">
        <v>-13.36</v>
      </c>
      <c r="I253">
        <v>-16.07</v>
      </c>
      <c r="J253">
        <v>-104.77</v>
      </c>
      <c r="K253">
        <v>602.13</v>
      </c>
      <c r="M253">
        <v>1.02</v>
      </c>
      <c r="N253">
        <v>16.11</v>
      </c>
    </row>
    <row r="254" spans="1:14">
      <c r="A254" s="28">
        <v>555</v>
      </c>
      <c r="B254" t="s">
        <v>438</v>
      </c>
      <c r="C254" t="s">
        <v>348</v>
      </c>
      <c r="D254">
        <v>13.72</v>
      </c>
      <c r="E254">
        <v>1344.83</v>
      </c>
      <c r="F254">
        <v>23.14</v>
      </c>
      <c r="G254" t="s">
        <v>349</v>
      </c>
      <c r="H254">
        <v>-1.49</v>
      </c>
      <c r="I254">
        <v>-1.69</v>
      </c>
      <c r="J254">
        <v>-116.62</v>
      </c>
      <c r="K254">
        <v>7224.13</v>
      </c>
      <c r="M254">
        <v>0.52</v>
      </c>
    </row>
    <row r="255" spans="1:14">
      <c r="A255" s="28">
        <v>797</v>
      </c>
      <c r="B255" t="s">
        <v>558</v>
      </c>
      <c r="C255" t="s">
        <v>347</v>
      </c>
      <c r="D255">
        <v>13.88</v>
      </c>
      <c r="E255">
        <v>3812.07</v>
      </c>
      <c r="F255">
        <v>14.32</v>
      </c>
      <c r="G255">
        <v>-77.94</v>
      </c>
      <c r="H255">
        <v>1.76</v>
      </c>
      <c r="I255">
        <v>2.02</v>
      </c>
      <c r="J255">
        <v>865.23</v>
      </c>
      <c r="K255">
        <v>48645.760000000002</v>
      </c>
      <c r="L255">
        <v>35.14</v>
      </c>
      <c r="M255">
        <v>0.62</v>
      </c>
      <c r="N255">
        <v>7.74</v>
      </c>
    </row>
    <row r="256" spans="1:14">
      <c r="A256" s="28">
        <v>265</v>
      </c>
      <c r="B256" t="s">
        <v>2015</v>
      </c>
      <c r="C256" t="s">
        <v>348</v>
      </c>
      <c r="D256">
        <v>13.88</v>
      </c>
      <c r="E256">
        <v>246.56</v>
      </c>
      <c r="F256">
        <v>44.83</v>
      </c>
      <c r="G256" t="s">
        <v>350</v>
      </c>
      <c r="H256">
        <v>4.78</v>
      </c>
      <c r="I256">
        <v>5.26</v>
      </c>
      <c r="J256">
        <v>88.58</v>
      </c>
      <c r="K256">
        <v>1732.78</v>
      </c>
      <c r="L256">
        <v>36.86</v>
      </c>
      <c r="M256">
        <v>1.88</v>
      </c>
      <c r="N256">
        <v>40.79</v>
      </c>
    </row>
    <row r="257" spans="1:14">
      <c r="A257" s="28">
        <v>1115</v>
      </c>
      <c r="B257" t="s">
        <v>1509</v>
      </c>
      <c r="C257" t="s">
        <v>348</v>
      </c>
      <c r="D257">
        <v>13.95</v>
      </c>
      <c r="E257">
        <v>988.66</v>
      </c>
      <c r="F257">
        <v>6.51</v>
      </c>
      <c r="G257" t="s">
        <v>2788</v>
      </c>
      <c r="H257">
        <v>-8</v>
      </c>
      <c r="I257">
        <v>-8.9700000000000006</v>
      </c>
      <c r="J257">
        <v>-505.9</v>
      </c>
      <c r="K257">
        <v>5443.32</v>
      </c>
      <c r="M257">
        <v>3.21</v>
      </c>
    </row>
    <row r="258" spans="1:14">
      <c r="A258" s="28">
        <v>1055</v>
      </c>
      <c r="B258" t="s">
        <v>1290</v>
      </c>
      <c r="C258" t="s">
        <v>347</v>
      </c>
      <c r="D258">
        <v>13.97</v>
      </c>
      <c r="E258">
        <v>1463.32</v>
      </c>
      <c r="F258">
        <v>7.97</v>
      </c>
      <c r="G258">
        <v>-67.48</v>
      </c>
      <c r="H258">
        <v>1.86</v>
      </c>
      <c r="I258">
        <v>2.15</v>
      </c>
      <c r="J258">
        <v>164.78</v>
      </c>
      <c r="K258">
        <v>7816.62</v>
      </c>
      <c r="L258">
        <v>12.56</v>
      </c>
      <c r="M258">
        <v>0.26</v>
      </c>
      <c r="N258">
        <v>6.03</v>
      </c>
    </row>
    <row r="259" spans="1:14">
      <c r="A259" s="28">
        <v>867</v>
      </c>
      <c r="B259" t="s">
        <v>333</v>
      </c>
      <c r="C259" t="s">
        <v>348</v>
      </c>
      <c r="D259">
        <v>130.05000000000001</v>
      </c>
      <c r="E259">
        <v>2764.57</v>
      </c>
      <c r="F259">
        <v>12.03</v>
      </c>
      <c r="G259">
        <v>5.41</v>
      </c>
      <c r="H259">
        <v>6.52</v>
      </c>
      <c r="I259">
        <v>14.98</v>
      </c>
      <c r="J259">
        <v>1912.53</v>
      </c>
      <c r="K259">
        <v>14322.85</v>
      </c>
      <c r="L259">
        <v>6.27</v>
      </c>
      <c r="M259">
        <v>0.84</v>
      </c>
      <c r="N259">
        <v>5.58</v>
      </c>
    </row>
    <row r="260" spans="1:14">
      <c r="A260" s="28">
        <v>516</v>
      </c>
      <c r="B260" t="s">
        <v>2027</v>
      </c>
      <c r="C260" t="s">
        <v>347</v>
      </c>
      <c r="D260">
        <v>130.44</v>
      </c>
      <c r="E260">
        <v>10.96</v>
      </c>
      <c r="F260">
        <v>24.88</v>
      </c>
      <c r="G260" t="s">
        <v>349</v>
      </c>
      <c r="H260">
        <v>-16.05</v>
      </c>
      <c r="I260">
        <v>-33.770000000000003</v>
      </c>
      <c r="J260">
        <v>-426.05</v>
      </c>
      <c r="K260">
        <v>1109.6300000000001</v>
      </c>
      <c r="M260">
        <v>1.1200000000000001</v>
      </c>
    </row>
    <row r="261" spans="1:14">
      <c r="A261" s="28">
        <v>937</v>
      </c>
      <c r="B261" t="s">
        <v>651</v>
      </c>
      <c r="C261" t="s">
        <v>348</v>
      </c>
      <c r="D261">
        <v>130.86000000000001</v>
      </c>
      <c r="E261">
        <v>280.27</v>
      </c>
      <c r="F261">
        <v>10.4</v>
      </c>
      <c r="G261" t="s">
        <v>349</v>
      </c>
      <c r="H261">
        <v>-0.04</v>
      </c>
      <c r="I261">
        <v>-0.08</v>
      </c>
      <c r="J261">
        <v>-1.23</v>
      </c>
      <c r="K261">
        <v>1901.36</v>
      </c>
      <c r="M261">
        <v>0.66</v>
      </c>
      <c r="N261">
        <v>36.24</v>
      </c>
    </row>
    <row r="262" spans="1:14">
      <c r="A262" s="28">
        <v>507</v>
      </c>
      <c r="B262" t="s">
        <v>2797</v>
      </c>
      <c r="C262" t="s">
        <v>348</v>
      </c>
      <c r="D262">
        <v>130.9</v>
      </c>
      <c r="E262">
        <v>1081.21</v>
      </c>
      <c r="F262">
        <v>25.4</v>
      </c>
      <c r="G262">
        <v>721.29</v>
      </c>
      <c r="H262">
        <v>1.85</v>
      </c>
      <c r="I262">
        <v>4.37</v>
      </c>
      <c r="J262">
        <v>285.97000000000003</v>
      </c>
      <c r="K262">
        <v>7045.98</v>
      </c>
      <c r="N262">
        <v>9.3800000000000008</v>
      </c>
    </row>
    <row r="263" spans="1:14">
      <c r="A263" s="28">
        <v>491</v>
      </c>
      <c r="B263" t="s">
        <v>1987</v>
      </c>
      <c r="C263" t="s">
        <v>347</v>
      </c>
      <c r="D263">
        <v>130.97</v>
      </c>
      <c r="E263">
        <v>81.400000000000006</v>
      </c>
      <c r="F263">
        <v>25.88</v>
      </c>
      <c r="G263" t="s">
        <v>2788</v>
      </c>
      <c r="H263">
        <v>-0.78</v>
      </c>
      <c r="I263">
        <v>-1.73</v>
      </c>
      <c r="J263">
        <v>-162.63999999999999</v>
      </c>
      <c r="K263">
        <v>9252.64</v>
      </c>
      <c r="M263">
        <v>1.72</v>
      </c>
      <c r="N263">
        <v>21.19</v>
      </c>
    </row>
    <row r="264" spans="1:14">
      <c r="A264" s="28">
        <v>634</v>
      </c>
      <c r="B264" t="s">
        <v>595</v>
      </c>
      <c r="C264" t="s">
        <v>348</v>
      </c>
      <c r="D264">
        <v>131.07</v>
      </c>
      <c r="E264">
        <v>930</v>
      </c>
      <c r="F264">
        <v>19.309999999999999</v>
      </c>
      <c r="G264">
        <v>-63.4</v>
      </c>
      <c r="H264">
        <v>2.72</v>
      </c>
      <c r="I264">
        <v>5.95</v>
      </c>
      <c r="J264">
        <v>291.02999999999997</v>
      </c>
      <c r="K264">
        <v>5264.22</v>
      </c>
      <c r="L264">
        <v>37.28</v>
      </c>
      <c r="M264">
        <v>2.06</v>
      </c>
      <c r="N264">
        <v>16.559999999999999</v>
      </c>
    </row>
    <row r="265" spans="1:14">
      <c r="A265" s="28">
        <v>600</v>
      </c>
      <c r="B265" t="s">
        <v>1608</v>
      </c>
      <c r="C265" t="s">
        <v>348</v>
      </c>
      <c r="D265">
        <v>131.57</v>
      </c>
      <c r="E265">
        <v>499.33</v>
      </c>
      <c r="F265">
        <v>20.54</v>
      </c>
      <c r="G265">
        <v>22.63</v>
      </c>
      <c r="H265">
        <v>9.43</v>
      </c>
      <c r="I265">
        <v>23.89</v>
      </c>
      <c r="J265">
        <v>324.2</v>
      </c>
      <c r="K265">
        <v>1498.33</v>
      </c>
      <c r="L265">
        <v>27.64</v>
      </c>
      <c r="M265">
        <v>5.98</v>
      </c>
      <c r="N265">
        <v>21.2</v>
      </c>
    </row>
    <row r="266" spans="1:14">
      <c r="A266" s="28">
        <v>1061</v>
      </c>
      <c r="B266" t="s">
        <v>2860</v>
      </c>
      <c r="C266" t="s">
        <v>348</v>
      </c>
      <c r="D266">
        <v>131.88999999999999</v>
      </c>
      <c r="E266">
        <v>646.04999999999995</v>
      </c>
      <c r="F266">
        <v>7.89</v>
      </c>
      <c r="G266">
        <v>-31.74</v>
      </c>
      <c r="H266">
        <v>3.94</v>
      </c>
      <c r="I266">
        <v>9.01</v>
      </c>
      <c r="J266">
        <v>321.45</v>
      </c>
      <c r="K266">
        <v>3730.23</v>
      </c>
      <c r="L266">
        <v>13.21</v>
      </c>
      <c r="M266">
        <v>1.1399999999999999</v>
      </c>
      <c r="N266">
        <v>7.57</v>
      </c>
    </row>
    <row r="267" spans="1:14">
      <c r="A267" s="28">
        <v>816</v>
      </c>
      <c r="B267" t="s">
        <v>825</v>
      </c>
      <c r="C267" t="s">
        <v>347</v>
      </c>
      <c r="D267">
        <v>131.96</v>
      </c>
      <c r="E267">
        <v>1909.18</v>
      </c>
      <c r="F267">
        <v>13.65</v>
      </c>
      <c r="G267">
        <v>-17.3</v>
      </c>
      <c r="H267">
        <v>2.77</v>
      </c>
      <c r="I267">
        <v>6.35</v>
      </c>
      <c r="J267">
        <v>621.14</v>
      </c>
      <c r="K267">
        <v>10045.89</v>
      </c>
      <c r="L267">
        <v>10.72</v>
      </c>
      <c r="M267">
        <v>0.66</v>
      </c>
      <c r="N267">
        <v>7.02</v>
      </c>
    </row>
    <row r="268" spans="1:14">
      <c r="A268" s="28">
        <v>1045</v>
      </c>
      <c r="B268" t="s">
        <v>1736</v>
      </c>
      <c r="C268" t="s">
        <v>348</v>
      </c>
      <c r="D268">
        <v>132.02000000000001</v>
      </c>
      <c r="E268">
        <v>76.95</v>
      </c>
      <c r="F268">
        <v>8.09</v>
      </c>
      <c r="G268" t="s">
        <v>2788</v>
      </c>
      <c r="H268">
        <v>-25.14</v>
      </c>
      <c r="I268">
        <v>-48.68</v>
      </c>
      <c r="J268">
        <v>-548.13</v>
      </c>
      <c r="K268">
        <v>884.74</v>
      </c>
      <c r="M268">
        <v>1.51</v>
      </c>
    </row>
    <row r="269" spans="1:14">
      <c r="A269" s="28">
        <v>243</v>
      </c>
      <c r="B269" t="s">
        <v>2642</v>
      </c>
      <c r="C269" t="s">
        <v>348</v>
      </c>
      <c r="D269">
        <v>132.09</v>
      </c>
      <c r="E269">
        <v>297.57</v>
      </c>
      <c r="F269">
        <v>47.77</v>
      </c>
      <c r="G269" t="s">
        <v>350</v>
      </c>
      <c r="H269">
        <v>8.74</v>
      </c>
      <c r="I269">
        <v>20.52</v>
      </c>
      <c r="J269">
        <v>348</v>
      </c>
      <c r="K269">
        <v>1987.87</v>
      </c>
      <c r="L269">
        <v>4.0199999999999996</v>
      </c>
      <c r="M269">
        <v>0.7</v>
      </c>
      <c r="N269">
        <v>3.58</v>
      </c>
    </row>
    <row r="270" spans="1:14">
      <c r="A270" s="28">
        <v>749</v>
      </c>
      <c r="B270" t="s">
        <v>2171</v>
      </c>
      <c r="C270" t="s">
        <v>348</v>
      </c>
      <c r="D270">
        <v>134.06</v>
      </c>
      <c r="F270">
        <v>15.58</v>
      </c>
      <c r="G270" t="s">
        <v>2788</v>
      </c>
      <c r="H270">
        <v>-2.72</v>
      </c>
      <c r="I270">
        <v>-7.8</v>
      </c>
      <c r="J270">
        <v>-144.38</v>
      </c>
      <c r="K270">
        <v>2022.72</v>
      </c>
      <c r="M270">
        <v>1.48</v>
      </c>
      <c r="N270">
        <v>16.559999999999999</v>
      </c>
    </row>
    <row r="271" spans="1:14">
      <c r="A271" s="28">
        <v>794</v>
      </c>
      <c r="B271" t="s">
        <v>1092</v>
      </c>
      <c r="C271" t="s">
        <v>348</v>
      </c>
      <c r="D271">
        <v>134.65</v>
      </c>
      <c r="E271">
        <v>415.06</v>
      </c>
      <c r="F271">
        <v>14.38</v>
      </c>
      <c r="G271">
        <v>4.1500000000000004</v>
      </c>
      <c r="H271">
        <v>1.95</v>
      </c>
      <c r="I271">
        <v>4.66</v>
      </c>
      <c r="J271">
        <v>112.57</v>
      </c>
      <c r="K271">
        <v>2575.3000000000002</v>
      </c>
      <c r="L271">
        <v>19.809999999999999</v>
      </c>
      <c r="M271">
        <v>0.87</v>
      </c>
      <c r="N271">
        <v>8.9600000000000009</v>
      </c>
    </row>
    <row r="272" spans="1:14">
      <c r="A272" s="28">
        <v>237</v>
      </c>
      <c r="B272" t="s">
        <v>2390</v>
      </c>
      <c r="C272" t="s">
        <v>348</v>
      </c>
      <c r="D272">
        <v>135.19</v>
      </c>
      <c r="E272">
        <v>90.75</v>
      </c>
      <c r="F272">
        <v>48.59</v>
      </c>
      <c r="G272">
        <v>787.68</v>
      </c>
      <c r="H272">
        <v>12.37</v>
      </c>
      <c r="I272">
        <v>30.6</v>
      </c>
      <c r="J272">
        <v>253.44</v>
      </c>
      <c r="K272">
        <v>953.74</v>
      </c>
      <c r="N272">
        <v>0.84</v>
      </c>
    </row>
    <row r="273" spans="1:14">
      <c r="A273" s="28">
        <v>649</v>
      </c>
      <c r="B273" t="s">
        <v>1888</v>
      </c>
      <c r="C273" t="s">
        <v>348</v>
      </c>
      <c r="D273">
        <v>135.24</v>
      </c>
      <c r="F273">
        <v>19.010000000000002</v>
      </c>
      <c r="G273" t="s">
        <v>2788</v>
      </c>
      <c r="H273">
        <v>-44.52</v>
      </c>
      <c r="I273">
        <v>-81.89</v>
      </c>
      <c r="J273">
        <v>-435.68</v>
      </c>
      <c r="K273">
        <v>314.20999999999998</v>
      </c>
      <c r="M273">
        <v>9.81</v>
      </c>
    </row>
    <row r="274" spans="1:14">
      <c r="A274" s="28">
        <v>839</v>
      </c>
      <c r="B274" t="s">
        <v>176</v>
      </c>
      <c r="C274" t="s">
        <v>347</v>
      </c>
      <c r="D274">
        <v>135.29</v>
      </c>
      <c r="E274">
        <v>405</v>
      </c>
      <c r="F274">
        <v>12.94</v>
      </c>
      <c r="G274">
        <v>30.72</v>
      </c>
      <c r="H274">
        <v>3.48</v>
      </c>
      <c r="I274">
        <v>8.27</v>
      </c>
      <c r="J274">
        <v>177.72</v>
      </c>
      <c r="K274">
        <v>2524.98</v>
      </c>
      <c r="L274">
        <v>8.69</v>
      </c>
      <c r="M274">
        <v>0.61</v>
      </c>
      <c r="N274">
        <v>6.9</v>
      </c>
    </row>
    <row r="275" spans="1:14">
      <c r="A275" s="28">
        <v>1064</v>
      </c>
      <c r="B275" t="s">
        <v>2454</v>
      </c>
      <c r="C275" t="s">
        <v>348</v>
      </c>
      <c r="D275">
        <v>135.34</v>
      </c>
      <c r="F275">
        <v>7.87</v>
      </c>
      <c r="G275" t="s">
        <v>2788</v>
      </c>
      <c r="H275">
        <v>-9.64</v>
      </c>
      <c r="I275">
        <v>-19.41</v>
      </c>
      <c r="J275">
        <v>-86.2</v>
      </c>
      <c r="K275">
        <v>366.35</v>
      </c>
      <c r="M275">
        <v>2.63</v>
      </c>
      <c r="N275">
        <v>190.25</v>
      </c>
    </row>
    <row r="276" spans="1:14">
      <c r="A276" s="28">
        <v>727</v>
      </c>
      <c r="B276" t="s">
        <v>1964</v>
      </c>
      <c r="C276" t="s">
        <v>348</v>
      </c>
      <c r="D276">
        <v>136.03</v>
      </c>
      <c r="E276">
        <v>180.16</v>
      </c>
      <c r="F276">
        <v>16.059999999999999</v>
      </c>
      <c r="G276" t="s">
        <v>2788</v>
      </c>
      <c r="H276">
        <v>-1.99</v>
      </c>
      <c r="I276">
        <v>-4.58</v>
      </c>
      <c r="J276">
        <v>-63.92</v>
      </c>
      <c r="K276">
        <v>1400.78</v>
      </c>
      <c r="M276">
        <v>2.37</v>
      </c>
      <c r="N276">
        <v>41.58</v>
      </c>
    </row>
    <row r="277" spans="1:14">
      <c r="A277" s="28">
        <v>188</v>
      </c>
      <c r="B277" t="s">
        <v>2432</v>
      </c>
      <c r="C277" t="s">
        <v>347</v>
      </c>
      <c r="D277">
        <v>136.5</v>
      </c>
      <c r="E277">
        <v>138.53</v>
      </c>
      <c r="F277">
        <v>58.94</v>
      </c>
      <c r="G277" t="s">
        <v>350</v>
      </c>
      <c r="H277">
        <v>2.1800000000000002</v>
      </c>
      <c r="I277">
        <v>5.7</v>
      </c>
      <c r="J277">
        <v>65.47</v>
      </c>
      <c r="K277">
        <v>1192.6300000000001</v>
      </c>
      <c r="L277">
        <v>24.36</v>
      </c>
      <c r="M277">
        <v>1.34</v>
      </c>
      <c r="N277">
        <v>19.71</v>
      </c>
    </row>
    <row r="278" spans="1:14">
      <c r="A278" s="28">
        <v>707</v>
      </c>
      <c r="B278" t="s">
        <v>1525</v>
      </c>
      <c r="C278" t="s">
        <v>347</v>
      </c>
      <c r="D278">
        <v>136.53</v>
      </c>
      <c r="E278">
        <v>717.35</v>
      </c>
      <c r="F278">
        <v>16.43</v>
      </c>
      <c r="G278" t="s">
        <v>349</v>
      </c>
      <c r="H278">
        <v>-25.61</v>
      </c>
      <c r="I278">
        <v>-49.61</v>
      </c>
      <c r="J278">
        <v>-1035.6099999999999</v>
      </c>
      <c r="K278">
        <v>1634.71</v>
      </c>
      <c r="M278">
        <v>0.53</v>
      </c>
    </row>
    <row r="279" spans="1:14">
      <c r="A279" s="28">
        <v>260</v>
      </c>
      <c r="B279" t="s">
        <v>126</v>
      </c>
      <c r="C279" t="s">
        <v>347</v>
      </c>
      <c r="D279">
        <v>1361.59</v>
      </c>
      <c r="E279">
        <v>546.42999999999995</v>
      </c>
      <c r="F279">
        <v>45.28</v>
      </c>
      <c r="G279">
        <v>21</v>
      </c>
      <c r="H279">
        <v>0.64</v>
      </c>
      <c r="I279">
        <v>9.3000000000000007</v>
      </c>
      <c r="J279">
        <v>3078.39</v>
      </c>
      <c r="K279">
        <v>34139.39</v>
      </c>
      <c r="L279">
        <v>3.19</v>
      </c>
      <c r="M279">
        <v>0.28999999999999998</v>
      </c>
    </row>
    <row r="280" spans="1:14">
      <c r="A280" s="28">
        <v>247</v>
      </c>
      <c r="B280" t="s">
        <v>1414</v>
      </c>
      <c r="C280" t="s">
        <v>347</v>
      </c>
      <c r="D280">
        <v>137.02000000000001</v>
      </c>
      <c r="E280">
        <v>6185.06</v>
      </c>
      <c r="F280">
        <v>46.56</v>
      </c>
      <c r="G280">
        <v>-72.02</v>
      </c>
      <c r="H280">
        <v>0.64</v>
      </c>
      <c r="I280">
        <v>1.32</v>
      </c>
      <c r="J280">
        <v>414.91</v>
      </c>
      <c r="K280">
        <v>31425.3</v>
      </c>
      <c r="L280">
        <v>865.25</v>
      </c>
      <c r="M280">
        <v>11.42</v>
      </c>
      <c r="N280">
        <v>189.74</v>
      </c>
    </row>
    <row r="281" spans="1:14">
      <c r="A281" s="28">
        <v>704</v>
      </c>
      <c r="B281" t="s">
        <v>669</v>
      </c>
      <c r="C281" t="s">
        <v>348</v>
      </c>
      <c r="D281">
        <v>137.51</v>
      </c>
      <c r="E281">
        <v>3269</v>
      </c>
      <c r="F281">
        <v>16.55</v>
      </c>
      <c r="G281">
        <v>0.67</v>
      </c>
      <c r="H281">
        <v>5.88</v>
      </c>
      <c r="I281">
        <v>13.1</v>
      </c>
      <c r="J281">
        <v>1852.27</v>
      </c>
      <c r="K281">
        <v>16845.02</v>
      </c>
      <c r="L281">
        <v>10.42</v>
      </c>
      <c r="M281">
        <v>1.1499999999999999</v>
      </c>
      <c r="N281">
        <v>10.82</v>
      </c>
    </row>
    <row r="282" spans="1:14">
      <c r="A282" s="28">
        <v>501</v>
      </c>
      <c r="B282" t="s">
        <v>2237</v>
      </c>
      <c r="C282" t="s">
        <v>348</v>
      </c>
      <c r="D282">
        <v>138.32</v>
      </c>
      <c r="E282">
        <v>225.05</v>
      </c>
      <c r="F282">
        <v>25.53</v>
      </c>
      <c r="G282" t="s">
        <v>2788</v>
      </c>
      <c r="H282">
        <v>-46.58</v>
      </c>
      <c r="I282">
        <v>-77.22</v>
      </c>
      <c r="J282">
        <v>-1503.59</v>
      </c>
      <c r="K282">
        <v>1625.27</v>
      </c>
      <c r="M282">
        <v>11.44</v>
      </c>
    </row>
    <row r="283" spans="1:14">
      <c r="A283" s="28">
        <v>935</v>
      </c>
      <c r="B283" t="s">
        <v>2160</v>
      </c>
      <c r="C283" t="s">
        <v>347</v>
      </c>
      <c r="D283">
        <v>138.34</v>
      </c>
      <c r="E283">
        <v>16.09</v>
      </c>
      <c r="F283">
        <v>10.41</v>
      </c>
      <c r="G283" t="s">
        <v>350</v>
      </c>
      <c r="H283">
        <v>0.65</v>
      </c>
      <c r="I283">
        <v>1.36</v>
      </c>
      <c r="J283">
        <v>78.94</v>
      </c>
      <c r="K283">
        <v>5804.26</v>
      </c>
      <c r="L283">
        <v>109.96</v>
      </c>
      <c r="M283">
        <v>1.5</v>
      </c>
      <c r="N283">
        <v>9.19</v>
      </c>
    </row>
    <row r="284" spans="1:14">
      <c r="A284" s="28">
        <v>111</v>
      </c>
      <c r="B284" t="s">
        <v>1432</v>
      </c>
      <c r="C284" t="s">
        <v>348</v>
      </c>
      <c r="D284">
        <v>138.55000000000001</v>
      </c>
      <c r="E284">
        <v>2135.63</v>
      </c>
      <c r="F284">
        <v>100.29</v>
      </c>
      <c r="G284" t="s">
        <v>350</v>
      </c>
      <c r="H284">
        <v>7.1</v>
      </c>
      <c r="I284">
        <v>16.57</v>
      </c>
      <c r="J284">
        <v>1688.15</v>
      </c>
      <c r="K284">
        <v>11178.16</v>
      </c>
      <c r="L284">
        <v>2.2200000000000002</v>
      </c>
      <c r="M284">
        <v>0.34</v>
      </c>
      <c r="N284">
        <v>3.16</v>
      </c>
    </row>
    <row r="285" spans="1:14">
      <c r="A285" s="28">
        <v>804</v>
      </c>
      <c r="B285" t="s">
        <v>1612</v>
      </c>
      <c r="C285" t="s">
        <v>348</v>
      </c>
      <c r="D285">
        <v>138.61000000000001</v>
      </c>
      <c r="E285">
        <v>2977.73</v>
      </c>
      <c r="F285">
        <v>13.96</v>
      </c>
      <c r="G285" t="s">
        <v>2788</v>
      </c>
      <c r="H285">
        <v>-5.13</v>
      </c>
      <c r="I285">
        <v>-11.51</v>
      </c>
      <c r="J285">
        <v>-372.87</v>
      </c>
      <c r="K285">
        <v>3077.73</v>
      </c>
      <c r="M285">
        <v>5.88</v>
      </c>
    </row>
    <row r="286" spans="1:14">
      <c r="A286" s="28">
        <v>1012</v>
      </c>
      <c r="B286" t="s">
        <v>1521</v>
      </c>
      <c r="C286" t="s">
        <v>348</v>
      </c>
      <c r="D286">
        <v>138.69</v>
      </c>
      <c r="E286">
        <v>1665.2</v>
      </c>
      <c r="F286">
        <v>8.91</v>
      </c>
      <c r="G286">
        <v>-52.57</v>
      </c>
      <c r="H286">
        <v>1.27</v>
      </c>
      <c r="I286">
        <v>3.07</v>
      </c>
      <c r="J286">
        <v>32.44</v>
      </c>
      <c r="K286">
        <v>1061.21</v>
      </c>
      <c r="N286">
        <v>13.24</v>
      </c>
    </row>
    <row r="287" spans="1:14">
      <c r="A287" s="28">
        <v>610</v>
      </c>
      <c r="B287" t="s">
        <v>2798</v>
      </c>
      <c r="C287" t="s">
        <v>348</v>
      </c>
      <c r="D287">
        <v>14</v>
      </c>
      <c r="E287">
        <v>359.9</v>
      </c>
      <c r="F287">
        <v>20.12</v>
      </c>
      <c r="G287">
        <v>-3.68</v>
      </c>
      <c r="H287">
        <v>8.8800000000000008</v>
      </c>
      <c r="I287">
        <v>10.23</v>
      </c>
      <c r="J287">
        <v>447.52</v>
      </c>
      <c r="K287">
        <v>4598.9799999999996</v>
      </c>
      <c r="L287">
        <v>11.17</v>
      </c>
      <c r="M287">
        <v>1.0900000000000001</v>
      </c>
      <c r="N287">
        <v>8.1199999999999992</v>
      </c>
    </row>
    <row r="288" spans="1:14">
      <c r="A288" s="28">
        <v>833</v>
      </c>
      <c r="B288" t="s">
        <v>2693</v>
      </c>
      <c r="C288" t="s">
        <v>348</v>
      </c>
      <c r="D288">
        <v>14.01</v>
      </c>
      <c r="E288">
        <v>2405.7399999999998</v>
      </c>
      <c r="F288">
        <v>13.17</v>
      </c>
      <c r="G288">
        <v>-33.61</v>
      </c>
      <c r="H288">
        <v>3.8</v>
      </c>
      <c r="I288">
        <v>4.26</v>
      </c>
      <c r="J288">
        <v>505.46</v>
      </c>
      <c r="K288">
        <v>12528.7</v>
      </c>
      <c r="L288">
        <v>15.41</v>
      </c>
      <c r="M288">
        <v>0.62</v>
      </c>
      <c r="N288">
        <v>10.14</v>
      </c>
    </row>
    <row r="289" spans="1:14">
      <c r="A289" s="28">
        <v>811</v>
      </c>
      <c r="B289" t="s">
        <v>994</v>
      </c>
      <c r="C289" t="s">
        <v>348</v>
      </c>
      <c r="D289">
        <v>14.13</v>
      </c>
      <c r="E289">
        <v>1282.43</v>
      </c>
      <c r="F289">
        <v>13.82</v>
      </c>
      <c r="G289" t="s">
        <v>2788</v>
      </c>
      <c r="H289">
        <v>-0.25</v>
      </c>
      <c r="I289">
        <v>-0.28000000000000003</v>
      </c>
      <c r="J289">
        <v>-17.53</v>
      </c>
      <c r="K289">
        <v>6912.17</v>
      </c>
      <c r="M289">
        <v>1.17</v>
      </c>
    </row>
    <row r="290" spans="1:14">
      <c r="A290" s="28">
        <v>490</v>
      </c>
      <c r="B290" t="s">
        <v>2608</v>
      </c>
      <c r="C290" t="s">
        <v>348</v>
      </c>
      <c r="D290">
        <v>14.14</v>
      </c>
      <c r="E290">
        <v>2600.58</v>
      </c>
      <c r="F290">
        <v>26.05</v>
      </c>
      <c r="G290">
        <v>-83.44</v>
      </c>
      <c r="H290">
        <v>1.56</v>
      </c>
      <c r="I290">
        <v>2.06</v>
      </c>
      <c r="J290">
        <v>29.73</v>
      </c>
      <c r="K290">
        <v>2700.58</v>
      </c>
      <c r="L290">
        <v>264.7</v>
      </c>
      <c r="M290">
        <v>2.91</v>
      </c>
    </row>
    <row r="291" spans="1:14">
      <c r="A291" s="28">
        <v>20</v>
      </c>
      <c r="B291" t="s">
        <v>1561</v>
      </c>
      <c r="C291" t="s">
        <v>348</v>
      </c>
      <c r="D291">
        <v>14.4</v>
      </c>
      <c r="E291">
        <v>16.850000000000001</v>
      </c>
      <c r="F291">
        <v>580.6</v>
      </c>
      <c r="G291" t="s">
        <v>2788</v>
      </c>
      <c r="H291">
        <v>-10.65</v>
      </c>
      <c r="I291">
        <v>-13.3</v>
      </c>
      <c r="J291">
        <v>-153.34</v>
      </c>
      <c r="K291">
        <v>1168.46</v>
      </c>
      <c r="M291">
        <v>10.08</v>
      </c>
      <c r="N291">
        <v>109.58</v>
      </c>
    </row>
    <row r="292" spans="1:14">
      <c r="A292" s="28">
        <v>378</v>
      </c>
      <c r="B292" t="s">
        <v>1723</v>
      </c>
      <c r="C292" t="s">
        <v>348</v>
      </c>
      <c r="D292">
        <v>14.46</v>
      </c>
      <c r="E292">
        <v>1326.18</v>
      </c>
      <c r="F292">
        <v>32.78</v>
      </c>
      <c r="G292" t="s">
        <v>2788</v>
      </c>
      <c r="H292">
        <v>-4.95</v>
      </c>
      <c r="I292">
        <v>-5.69</v>
      </c>
      <c r="J292">
        <v>-83.74</v>
      </c>
      <c r="K292">
        <v>1426.18</v>
      </c>
      <c r="M292">
        <v>1.18</v>
      </c>
      <c r="N292">
        <v>27.42</v>
      </c>
    </row>
    <row r="293" spans="1:14">
      <c r="A293" s="28">
        <v>659</v>
      </c>
      <c r="B293" t="s">
        <v>2117</v>
      </c>
      <c r="C293" t="s">
        <v>347</v>
      </c>
      <c r="D293">
        <v>14.49</v>
      </c>
      <c r="E293">
        <v>9308.98</v>
      </c>
      <c r="F293">
        <v>18.57</v>
      </c>
      <c r="G293">
        <v>-46.55</v>
      </c>
      <c r="H293">
        <v>2.1</v>
      </c>
      <c r="I293">
        <v>2.34</v>
      </c>
      <c r="J293">
        <v>1126.02</v>
      </c>
      <c r="K293">
        <v>50520.71</v>
      </c>
      <c r="L293">
        <v>20.74</v>
      </c>
      <c r="M293">
        <v>0.46</v>
      </c>
      <c r="N293">
        <v>7.7</v>
      </c>
    </row>
    <row r="294" spans="1:14">
      <c r="A294" s="28">
        <v>112</v>
      </c>
      <c r="B294" t="s">
        <v>1431</v>
      </c>
      <c r="C294" t="s">
        <v>348</v>
      </c>
      <c r="D294">
        <v>14.55</v>
      </c>
      <c r="E294">
        <v>628.86</v>
      </c>
      <c r="F294">
        <v>100.01</v>
      </c>
      <c r="G294" t="s">
        <v>2788</v>
      </c>
      <c r="H294">
        <v>-31.82</v>
      </c>
      <c r="I294">
        <v>-37.22</v>
      </c>
      <c r="J294">
        <v>-1457.2</v>
      </c>
      <c r="K294">
        <v>3644.3</v>
      </c>
      <c r="M294">
        <v>2.68</v>
      </c>
    </row>
    <row r="295" spans="1:14">
      <c r="A295" s="28">
        <v>357</v>
      </c>
      <c r="B295" t="s">
        <v>1216</v>
      </c>
      <c r="C295" t="s">
        <v>348</v>
      </c>
      <c r="D295">
        <v>14.58</v>
      </c>
      <c r="E295">
        <v>8424.16</v>
      </c>
      <c r="F295">
        <v>34.770000000000003</v>
      </c>
      <c r="G295">
        <v>85.03</v>
      </c>
      <c r="H295">
        <v>16.260000000000002</v>
      </c>
      <c r="I295">
        <v>19.5</v>
      </c>
      <c r="J295">
        <v>7406.25</v>
      </c>
      <c r="K295">
        <v>42620.79</v>
      </c>
      <c r="L295">
        <v>14.78</v>
      </c>
      <c r="M295">
        <v>2.57</v>
      </c>
      <c r="N295">
        <v>11.68</v>
      </c>
    </row>
    <row r="296" spans="1:14">
      <c r="A296" s="28">
        <v>59</v>
      </c>
      <c r="B296" t="s">
        <v>1482</v>
      </c>
      <c r="C296" t="s">
        <v>348</v>
      </c>
      <c r="D296">
        <v>14.59</v>
      </c>
      <c r="E296">
        <v>387.41</v>
      </c>
      <c r="F296">
        <v>171.77</v>
      </c>
      <c r="G296">
        <v>-35.71</v>
      </c>
      <c r="H296">
        <v>6.14</v>
      </c>
      <c r="I296">
        <v>6.71</v>
      </c>
      <c r="J296">
        <v>159.54</v>
      </c>
      <c r="K296">
        <v>2437.0300000000002</v>
      </c>
      <c r="L296">
        <v>7.87</v>
      </c>
      <c r="M296">
        <v>0.51</v>
      </c>
      <c r="N296">
        <v>9.64</v>
      </c>
    </row>
    <row r="297" spans="1:14">
      <c r="A297" s="28">
        <v>161</v>
      </c>
      <c r="B297" t="s">
        <v>2467</v>
      </c>
      <c r="C297" t="s">
        <v>348</v>
      </c>
      <c r="D297">
        <v>14.64</v>
      </c>
      <c r="E297">
        <v>179.62</v>
      </c>
      <c r="F297">
        <v>66.569999999999993</v>
      </c>
      <c r="G297" t="s">
        <v>349</v>
      </c>
      <c r="H297">
        <v>-5.33</v>
      </c>
      <c r="I297">
        <v>-6.36</v>
      </c>
      <c r="J297">
        <v>-83.94</v>
      </c>
      <c r="K297">
        <v>1319.86</v>
      </c>
      <c r="M297">
        <v>1.53</v>
      </c>
      <c r="N297">
        <v>315.01</v>
      </c>
    </row>
    <row r="298" spans="1:14">
      <c r="A298" s="28">
        <v>824</v>
      </c>
      <c r="B298" t="s">
        <v>2799</v>
      </c>
      <c r="C298" t="s">
        <v>348</v>
      </c>
      <c r="D298">
        <v>14.71</v>
      </c>
      <c r="E298">
        <v>9329.31</v>
      </c>
      <c r="F298">
        <v>13.51</v>
      </c>
      <c r="G298">
        <v>-9.2100000000000009</v>
      </c>
      <c r="H298">
        <v>2.57</v>
      </c>
      <c r="I298">
        <v>3.18</v>
      </c>
      <c r="J298">
        <v>50.34</v>
      </c>
      <c r="K298">
        <v>1792.46</v>
      </c>
      <c r="L298">
        <v>30.3</v>
      </c>
      <c r="M298">
        <v>0.85</v>
      </c>
      <c r="N298">
        <v>7.98</v>
      </c>
    </row>
    <row r="299" spans="1:14">
      <c r="A299" s="28">
        <v>350</v>
      </c>
      <c r="B299" t="s">
        <v>1385</v>
      </c>
      <c r="C299" t="s">
        <v>348</v>
      </c>
      <c r="D299">
        <v>14.75</v>
      </c>
      <c r="E299">
        <v>1849.19</v>
      </c>
      <c r="F299">
        <v>35.590000000000003</v>
      </c>
      <c r="G299">
        <v>-20.51</v>
      </c>
      <c r="H299">
        <v>8.77</v>
      </c>
      <c r="I299">
        <v>12.04</v>
      </c>
      <c r="J299">
        <v>185.97</v>
      </c>
      <c r="K299">
        <v>1949.19</v>
      </c>
      <c r="L299">
        <v>42.21</v>
      </c>
      <c r="M299">
        <v>4.03</v>
      </c>
      <c r="N299">
        <v>39.299999999999997</v>
      </c>
    </row>
    <row r="300" spans="1:14">
      <c r="A300" s="28">
        <v>525</v>
      </c>
      <c r="B300" t="s">
        <v>311</v>
      </c>
      <c r="C300" t="s">
        <v>348</v>
      </c>
      <c r="D300">
        <v>14.92</v>
      </c>
      <c r="E300">
        <v>1287.43</v>
      </c>
      <c r="F300">
        <v>24.48</v>
      </c>
      <c r="G300">
        <v>-35.24</v>
      </c>
      <c r="H300">
        <v>3.61</v>
      </c>
      <c r="I300">
        <v>4.18</v>
      </c>
      <c r="J300">
        <v>271.33</v>
      </c>
      <c r="K300">
        <v>6937.15</v>
      </c>
      <c r="L300">
        <v>19.46</v>
      </c>
      <c r="M300">
        <v>0.76</v>
      </c>
      <c r="N300">
        <v>17.91</v>
      </c>
    </row>
    <row r="301" spans="1:14">
      <c r="A301" s="28">
        <v>507</v>
      </c>
      <c r="B301" t="s">
        <v>1369</v>
      </c>
      <c r="C301" t="s">
        <v>348</v>
      </c>
      <c r="D301">
        <v>14.94</v>
      </c>
      <c r="E301">
        <v>9327.16</v>
      </c>
      <c r="F301">
        <v>25.4</v>
      </c>
      <c r="G301" t="s">
        <v>349</v>
      </c>
      <c r="H301">
        <v>-1.1599999999999999</v>
      </c>
      <c r="I301">
        <v>-1.29</v>
      </c>
      <c r="J301">
        <v>-607.57000000000005</v>
      </c>
      <c r="K301">
        <v>47135.8</v>
      </c>
      <c r="M301">
        <v>0.94</v>
      </c>
      <c r="N301">
        <v>61.55</v>
      </c>
    </row>
    <row r="302" spans="1:14">
      <c r="A302" s="28">
        <v>197</v>
      </c>
      <c r="B302" t="s">
        <v>1779</v>
      </c>
      <c r="C302" t="s">
        <v>347</v>
      </c>
      <c r="D302">
        <v>141.72</v>
      </c>
      <c r="E302">
        <v>101.45</v>
      </c>
      <c r="F302">
        <v>57.21</v>
      </c>
      <c r="G302" t="s">
        <v>350</v>
      </c>
      <c r="H302">
        <v>0.33</v>
      </c>
      <c r="I302">
        <v>0.79</v>
      </c>
      <c r="J302">
        <v>7.56</v>
      </c>
      <c r="K302">
        <v>1007.23</v>
      </c>
      <c r="L302">
        <v>132.06</v>
      </c>
      <c r="M302">
        <v>0.99</v>
      </c>
      <c r="N302">
        <v>8.76</v>
      </c>
    </row>
    <row r="303" spans="1:14">
      <c r="A303" s="28">
        <v>511</v>
      </c>
      <c r="B303" t="s">
        <v>1349</v>
      </c>
      <c r="C303" t="s">
        <v>347</v>
      </c>
      <c r="D303">
        <v>142.13</v>
      </c>
      <c r="E303">
        <v>472.03</v>
      </c>
      <c r="F303">
        <v>25.33</v>
      </c>
      <c r="G303">
        <v>88.95</v>
      </c>
      <c r="H303">
        <v>11.42</v>
      </c>
      <c r="I303">
        <v>28.45</v>
      </c>
      <c r="J303">
        <v>7142.97</v>
      </c>
      <c r="K303">
        <v>28601.27</v>
      </c>
      <c r="L303">
        <v>11.51</v>
      </c>
      <c r="M303">
        <v>2.87</v>
      </c>
      <c r="N303">
        <v>10.119999999999999</v>
      </c>
    </row>
    <row r="304" spans="1:14">
      <c r="A304" s="28">
        <v>199</v>
      </c>
      <c r="B304" t="s">
        <v>1558</v>
      </c>
      <c r="C304" t="s">
        <v>348</v>
      </c>
      <c r="D304">
        <v>142.27000000000001</v>
      </c>
      <c r="E304">
        <v>400.44</v>
      </c>
      <c r="F304">
        <v>57.03</v>
      </c>
      <c r="G304" t="s">
        <v>2788</v>
      </c>
      <c r="H304">
        <v>-7.67</v>
      </c>
      <c r="I304">
        <v>-17.7</v>
      </c>
      <c r="J304">
        <v>-493.19</v>
      </c>
      <c r="K304">
        <v>2502.2199999999998</v>
      </c>
      <c r="M304">
        <v>1.1000000000000001</v>
      </c>
    </row>
    <row r="305" spans="1:14">
      <c r="A305" s="28">
        <v>980</v>
      </c>
      <c r="B305" t="s">
        <v>2500</v>
      </c>
      <c r="C305" t="s">
        <v>348</v>
      </c>
      <c r="D305">
        <v>142.47</v>
      </c>
      <c r="E305">
        <v>344.36</v>
      </c>
      <c r="F305">
        <v>9.5399999999999991</v>
      </c>
      <c r="G305">
        <v>39.99</v>
      </c>
      <c r="H305">
        <v>3.68</v>
      </c>
      <c r="I305">
        <v>8.32</v>
      </c>
      <c r="J305">
        <v>169.32</v>
      </c>
      <c r="K305">
        <v>2221.8200000000002</v>
      </c>
      <c r="L305">
        <v>108.67</v>
      </c>
      <c r="M305">
        <v>8.2799999999999994</v>
      </c>
      <c r="N305">
        <v>32.61</v>
      </c>
    </row>
    <row r="306" spans="1:14">
      <c r="A306" s="28">
        <v>899</v>
      </c>
      <c r="B306" t="s">
        <v>683</v>
      </c>
      <c r="C306" t="s">
        <v>348</v>
      </c>
      <c r="D306">
        <v>142.88999999999999</v>
      </c>
      <c r="E306">
        <v>522.96</v>
      </c>
      <c r="F306">
        <v>11.22</v>
      </c>
      <c r="G306">
        <v>165.96</v>
      </c>
      <c r="H306">
        <v>0.37</v>
      </c>
      <c r="I306">
        <v>0.89</v>
      </c>
      <c r="J306">
        <v>27.51</v>
      </c>
      <c r="K306">
        <v>3114.78</v>
      </c>
      <c r="L306">
        <v>59.79</v>
      </c>
      <c r="M306">
        <v>0.53</v>
      </c>
      <c r="N306">
        <v>6.99</v>
      </c>
    </row>
    <row r="307" spans="1:14">
      <c r="A307" s="28">
        <v>435</v>
      </c>
      <c r="B307" t="s">
        <v>1725</v>
      </c>
      <c r="C307" t="s">
        <v>348</v>
      </c>
      <c r="D307">
        <v>143.08000000000001</v>
      </c>
      <c r="E307">
        <v>186.82</v>
      </c>
      <c r="F307">
        <v>29.02</v>
      </c>
      <c r="G307" t="s">
        <v>350</v>
      </c>
      <c r="H307">
        <v>2.25</v>
      </c>
      <c r="I307">
        <v>5.69</v>
      </c>
      <c r="J307">
        <v>76.7</v>
      </c>
      <c r="K307">
        <v>1434.09</v>
      </c>
      <c r="L307">
        <v>22.88</v>
      </c>
      <c r="M307">
        <v>1.22</v>
      </c>
      <c r="N307">
        <v>7.87</v>
      </c>
    </row>
    <row r="308" spans="1:14">
      <c r="A308" s="28">
        <v>92</v>
      </c>
      <c r="B308" t="s">
        <v>2350</v>
      </c>
      <c r="C308" t="s">
        <v>347</v>
      </c>
      <c r="D308">
        <v>144.02000000000001</v>
      </c>
      <c r="E308">
        <v>164.98</v>
      </c>
      <c r="F308">
        <v>118.73</v>
      </c>
      <c r="G308" t="s">
        <v>2788</v>
      </c>
      <c r="H308">
        <v>-11.24</v>
      </c>
      <c r="I308">
        <v>-24.05</v>
      </c>
      <c r="J308">
        <v>-252.95</v>
      </c>
      <c r="K308">
        <v>1324.91</v>
      </c>
      <c r="M308">
        <v>0.72</v>
      </c>
    </row>
    <row r="309" spans="1:14">
      <c r="A309" s="28">
        <v>1054</v>
      </c>
      <c r="B309" t="s">
        <v>2509</v>
      </c>
      <c r="C309" t="s">
        <v>348</v>
      </c>
      <c r="D309">
        <v>145.75</v>
      </c>
      <c r="E309">
        <v>367.16</v>
      </c>
      <c r="F309">
        <v>7.98</v>
      </c>
      <c r="G309" t="s">
        <v>350</v>
      </c>
      <c r="H309">
        <v>4.72</v>
      </c>
      <c r="I309">
        <v>12.01</v>
      </c>
      <c r="J309">
        <v>265.13</v>
      </c>
      <c r="K309">
        <v>2335.8200000000002</v>
      </c>
      <c r="L309">
        <v>9.6</v>
      </c>
      <c r="M309">
        <v>1.0900000000000001</v>
      </c>
      <c r="N309">
        <v>7.41</v>
      </c>
    </row>
    <row r="310" spans="1:14">
      <c r="A310" s="28">
        <v>499</v>
      </c>
      <c r="B310" t="s">
        <v>1469</v>
      </c>
      <c r="C310" t="s">
        <v>348</v>
      </c>
      <c r="D310">
        <v>146.06</v>
      </c>
      <c r="E310">
        <v>225.23</v>
      </c>
      <c r="F310">
        <v>25.6</v>
      </c>
      <c r="G310" t="s">
        <v>349</v>
      </c>
      <c r="H310">
        <v>-28.88</v>
      </c>
      <c r="I310">
        <v>-54.55</v>
      </c>
      <c r="J310">
        <v>-1173.31</v>
      </c>
      <c r="K310">
        <v>1571.14</v>
      </c>
      <c r="M310">
        <v>3.47</v>
      </c>
      <c r="N310">
        <v>68.11</v>
      </c>
    </row>
    <row r="311" spans="1:14">
      <c r="A311" s="28">
        <v>451</v>
      </c>
      <c r="B311" t="s">
        <v>284</v>
      </c>
      <c r="C311" t="s">
        <v>348</v>
      </c>
      <c r="D311">
        <v>146.33000000000001</v>
      </c>
      <c r="E311">
        <v>1626.96</v>
      </c>
      <c r="F311">
        <v>28.26</v>
      </c>
      <c r="G311">
        <v>104.46</v>
      </c>
      <c r="H311">
        <v>5.2</v>
      </c>
      <c r="I311">
        <v>12.63</v>
      </c>
      <c r="J311">
        <v>1086.51</v>
      </c>
      <c r="K311">
        <v>9000.14</v>
      </c>
      <c r="L311">
        <v>5.87</v>
      </c>
      <c r="M311">
        <v>0.71</v>
      </c>
      <c r="N311">
        <v>5.92</v>
      </c>
    </row>
    <row r="312" spans="1:14">
      <c r="A312" s="28">
        <v>639</v>
      </c>
      <c r="B312" t="s">
        <v>1023</v>
      </c>
      <c r="C312" t="s">
        <v>347</v>
      </c>
      <c r="D312">
        <v>146.99</v>
      </c>
      <c r="E312">
        <v>250.58</v>
      </c>
      <c r="F312">
        <v>19.22</v>
      </c>
      <c r="G312" t="s">
        <v>2788</v>
      </c>
      <c r="H312">
        <v>-8.14</v>
      </c>
      <c r="I312">
        <v>-17.86</v>
      </c>
      <c r="J312">
        <v>-351.88</v>
      </c>
      <c r="K312">
        <v>1752.9</v>
      </c>
      <c r="M312">
        <v>1.22</v>
      </c>
    </row>
    <row r="313" spans="1:14">
      <c r="A313" s="28">
        <v>893</v>
      </c>
      <c r="B313" t="s">
        <v>1596</v>
      </c>
      <c r="C313" t="s">
        <v>347</v>
      </c>
      <c r="D313">
        <v>1461.81</v>
      </c>
      <c r="F313">
        <v>11.32</v>
      </c>
      <c r="G313" t="s">
        <v>2788</v>
      </c>
      <c r="H313">
        <v>-4.57</v>
      </c>
      <c r="I313">
        <v>-72.39</v>
      </c>
      <c r="J313">
        <v>-348.14</v>
      </c>
      <c r="K313">
        <v>490.44</v>
      </c>
      <c r="M313">
        <v>2.23</v>
      </c>
      <c r="N313">
        <v>38.450000000000003</v>
      </c>
    </row>
    <row r="314" spans="1:14">
      <c r="A314" s="28">
        <v>821</v>
      </c>
      <c r="B314" t="s">
        <v>887</v>
      </c>
      <c r="C314" t="s">
        <v>347</v>
      </c>
      <c r="D314">
        <v>148.15</v>
      </c>
      <c r="E314">
        <v>90.7</v>
      </c>
      <c r="F314">
        <v>13.57</v>
      </c>
      <c r="G314">
        <v>-13.03</v>
      </c>
      <c r="H314">
        <v>1.21</v>
      </c>
      <c r="I314">
        <v>3.03</v>
      </c>
      <c r="J314">
        <v>280.49</v>
      </c>
      <c r="K314">
        <v>9535.0400000000009</v>
      </c>
      <c r="L314">
        <v>25.46</v>
      </c>
      <c r="M314">
        <v>0.75</v>
      </c>
    </row>
    <row r="315" spans="1:14">
      <c r="A315" s="28">
        <v>1025</v>
      </c>
      <c r="B315" t="s">
        <v>1155</v>
      </c>
      <c r="C315" t="s">
        <v>347</v>
      </c>
      <c r="D315">
        <v>148.63</v>
      </c>
      <c r="E315">
        <v>874.64</v>
      </c>
      <c r="F315">
        <v>8.58</v>
      </c>
      <c r="G315">
        <v>41.01</v>
      </c>
      <c r="H315">
        <v>3.66</v>
      </c>
      <c r="I315">
        <v>8.9700000000000006</v>
      </c>
      <c r="J315">
        <v>805.41</v>
      </c>
      <c r="K315">
        <v>9273.69</v>
      </c>
      <c r="L315">
        <v>13.21</v>
      </c>
      <c r="M315">
        <v>1.1499999999999999</v>
      </c>
      <c r="N315">
        <v>9.1199999999999992</v>
      </c>
    </row>
    <row r="316" spans="1:14">
      <c r="A316" s="28">
        <v>174</v>
      </c>
      <c r="B316" t="s">
        <v>686</v>
      </c>
      <c r="C316" t="s">
        <v>347</v>
      </c>
      <c r="D316">
        <v>148.85</v>
      </c>
      <c r="E316">
        <v>454.75</v>
      </c>
      <c r="F316">
        <v>63.8</v>
      </c>
      <c r="G316">
        <v>-40.78</v>
      </c>
      <c r="H316">
        <v>3.03</v>
      </c>
      <c r="I316">
        <v>7.95</v>
      </c>
      <c r="J316">
        <v>227.85</v>
      </c>
      <c r="K316">
        <v>3046.96</v>
      </c>
      <c r="L316">
        <v>22.6</v>
      </c>
      <c r="M316">
        <v>1.69</v>
      </c>
      <c r="N316">
        <v>15.5</v>
      </c>
    </row>
    <row r="317" spans="1:14">
      <c r="A317" s="28">
        <v>73</v>
      </c>
      <c r="B317" t="s">
        <v>2019</v>
      </c>
      <c r="C317" t="s">
        <v>348</v>
      </c>
      <c r="D317">
        <v>148.9</v>
      </c>
      <c r="E317">
        <v>352.75</v>
      </c>
      <c r="F317">
        <v>143.37</v>
      </c>
      <c r="G317" t="s">
        <v>2788</v>
      </c>
      <c r="H317">
        <v>-13.56</v>
      </c>
      <c r="I317">
        <v>-32.26</v>
      </c>
      <c r="J317">
        <v>-253.73</v>
      </c>
      <c r="K317">
        <v>757.78</v>
      </c>
      <c r="M317">
        <v>2.89</v>
      </c>
    </row>
    <row r="318" spans="1:14">
      <c r="A318" s="28">
        <v>332</v>
      </c>
      <c r="B318" t="s">
        <v>2684</v>
      </c>
      <c r="C318" t="s">
        <v>347</v>
      </c>
      <c r="D318">
        <v>1482.04</v>
      </c>
      <c r="E318">
        <v>113.8</v>
      </c>
      <c r="F318">
        <v>37.299999999999997</v>
      </c>
      <c r="G318" t="s">
        <v>350</v>
      </c>
      <c r="H318">
        <v>1.83</v>
      </c>
      <c r="I318">
        <v>34.75</v>
      </c>
      <c r="J318">
        <v>3065.6</v>
      </c>
      <c r="K318">
        <v>10689.99</v>
      </c>
      <c r="L318">
        <v>4.57</v>
      </c>
      <c r="M318">
        <v>1.31</v>
      </c>
      <c r="N318">
        <v>4.2699999999999996</v>
      </c>
    </row>
    <row r="319" spans="1:14">
      <c r="A319" s="28">
        <v>209</v>
      </c>
      <c r="B319" t="s">
        <v>2800</v>
      </c>
      <c r="C319" t="s">
        <v>348</v>
      </c>
      <c r="D319">
        <v>149.08000000000001</v>
      </c>
      <c r="E319">
        <v>61.04</v>
      </c>
      <c r="F319">
        <v>55.07</v>
      </c>
      <c r="G319">
        <v>384.9</v>
      </c>
      <c r="H319">
        <v>13.37</v>
      </c>
      <c r="I319">
        <v>33.99</v>
      </c>
      <c r="J319">
        <v>231.62</v>
      </c>
      <c r="K319">
        <v>805.21</v>
      </c>
      <c r="L319">
        <v>51.81</v>
      </c>
      <c r="M319">
        <v>14.9</v>
      </c>
      <c r="N319">
        <v>38</v>
      </c>
    </row>
    <row r="320" spans="1:14">
      <c r="A320" s="28">
        <v>1099</v>
      </c>
      <c r="B320" t="s">
        <v>154</v>
      </c>
      <c r="C320" t="s">
        <v>347</v>
      </c>
      <c r="D320">
        <v>1491.6</v>
      </c>
      <c r="E320">
        <v>19696.88</v>
      </c>
      <c r="F320">
        <v>7.04</v>
      </c>
      <c r="G320">
        <v>-27.61</v>
      </c>
      <c r="H320">
        <v>0.21</v>
      </c>
      <c r="I320">
        <v>2.38</v>
      </c>
      <c r="J320">
        <v>3083.48</v>
      </c>
      <c r="K320">
        <v>98984.38</v>
      </c>
      <c r="L320">
        <v>23.03</v>
      </c>
      <c r="M320">
        <v>0.72</v>
      </c>
    </row>
    <row r="321" spans="1:14">
      <c r="A321" s="28">
        <v>621</v>
      </c>
      <c r="B321" t="s">
        <v>2204</v>
      </c>
      <c r="C321" t="s">
        <v>348</v>
      </c>
      <c r="D321">
        <v>15.04</v>
      </c>
      <c r="E321">
        <v>407.78</v>
      </c>
      <c r="F321">
        <v>19.829999999999998</v>
      </c>
      <c r="G321" t="s">
        <v>350</v>
      </c>
      <c r="H321">
        <v>0.5</v>
      </c>
      <c r="I321">
        <v>0.63</v>
      </c>
      <c r="J321">
        <v>13.82</v>
      </c>
      <c r="K321">
        <v>2538.92</v>
      </c>
      <c r="L321">
        <v>317.19</v>
      </c>
      <c r="M321">
        <v>1.73</v>
      </c>
      <c r="N321">
        <v>35.64</v>
      </c>
    </row>
    <row r="322" spans="1:14">
      <c r="A322" s="28">
        <v>172</v>
      </c>
      <c r="B322" t="s">
        <v>1629</v>
      </c>
      <c r="C322" t="s">
        <v>348</v>
      </c>
      <c r="D322">
        <v>15.22</v>
      </c>
      <c r="E322">
        <v>1000.52</v>
      </c>
      <c r="F322">
        <v>64.3</v>
      </c>
      <c r="G322" t="s">
        <v>2788</v>
      </c>
      <c r="H322">
        <v>-15.6</v>
      </c>
      <c r="I322">
        <v>-18.690000000000001</v>
      </c>
      <c r="J322">
        <v>-1106.1400000000001</v>
      </c>
      <c r="K322">
        <v>5502.58</v>
      </c>
      <c r="M322">
        <v>1.92</v>
      </c>
    </row>
    <row r="323" spans="1:14">
      <c r="A323" s="28">
        <v>579</v>
      </c>
      <c r="B323" t="s">
        <v>872</v>
      </c>
      <c r="C323" t="s">
        <v>348</v>
      </c>
      <c r="D323">
        <v>15.27</v>
      </c>
      <c r="E323">
        <v>1393.15</v>
      </c>
      <c r="F323">
        <v>21.76</v>
      </c>
      <c r="G323" t="s">
        <v>349</v>
      </c>
      <c r="H323">
        <v>-4.34</v>
      </c>
      <c r="I323">
        <v>-5.72</v>
      </c>
      <c r="J323">
        <v>-293.7</v>
      </c>
      <c r="K323">
        <v>7502.63</v>
      </c>
      <c r="M323">
        <v>1.33</v>
      </c>
    </row>
    <row r="324" spans="1:14">
      <c r="A324" s="28">
        <v>671</v>
      </c>
      <c r="B324" t="s">
        <v>876</v>
      </c>
      <c r="C324" t="s">
        <v>348</v>
      </c>
      <c r="D324">
        <v>15.27</v>
      </c>
      <c r="E324">
        <v>7041.3</v>
      </c>
      <c r="F324">
        <v>18.02</v>
      </c>
      <c r="G324">
        <v>14.86</v>
      </c>
      <c r="H324">
        <v>21.62</v>
      </c>
      <c r="I324">
        <v>24.87</v>
      </c>
      <c r="J324">
        <v>8056.23</v>
      </c>
      <c r="K324">
        <v>35706.519999999997</v>
      </c>
      <c r="L324">
        <v>11.74</v>
      </c>
      <c r="M324">
        <v>2.65</v>
      </c>
      <c r="N324">
        <v>7.83</v>
      </c>
    </row>
    <row r="325" spans="1:14">
      <c r="A325" s="28">
        <v>686</v>
      </c>
      <c r="B325" t="s">
        <v>1087</v>
      </c>
      <c r="C325" t="s">
        <v>348</v>
      </c>
      <c r="D325">
        <v>15.41</v>
      </c>
      <c r="E325">
        <v>758.45</v>
      </c>
      <c r="F325">
        <v>17.23</v>
      </c>
      <c r="G325">
        <v>-4.2</v>
      </c>
      <c r="H325">
        <v>11.82</v>
      </c>
      <c r="I325">
        <v>13.36</v>
      </c>
      <c r="J325">
        <v>968.54</v>
      </c>
      <c r="K325">
        <v>8584.48</v>
      </c>
      <c r="L325">
        <v>21.17</v>
      </c>
      <c r="M325">
        <v>2.39</v>
      </c>
      <c r="N325">
        <v>13.69</v>
      </c>
    </row>
    <row r="326" spans="1:14">
      <c r="A326" s="28">
        <v>693</v>
      </c>
      <c r="B326" t="s">
        <v>1358</v>
      </c>
      <c r="C326" t="s">
        <v>348</v>
      </c>
      <c r="D326">
        <v>15.51</v>
      </c>
      <c r="E326">
        <v>1973.01</v>
      </c>
      <c r="F326">
        <v>16.989999999999998</v>
      </c>
      <c r="G326">
        <v>47.69</v>
      </c>
      <c r="H326">
        <v>10.78</v>
      </c>
      <c r="I326">
        <v>12.59</v>
      </c>
      <c r="J326">
        <v>1206.76</v>
      </c>
      <c r="K326">
        <v>10365.030000000001</v>
      </c>
      <c r="L326">
        <v>37.54</v>
      </c>
      <c r="M326">
        <v>4.37</v>
      </c>
      <c r="N326">
        <v>29.06</v>
      </c>
    </row>
    <row r="327" spans="1:14">
      <c r="A327" s="28">
        <v>806</v>
      </c>
      <c r="B327" t="s">
        <v>1111</v>
      </c>
      <c r="C327" t="s">
        <v>347</v>
      </c>
      <c r="D327">
        <v>15.55</v>
      </c>
      <c r="E327">
        <v>5744.67</v>
      </c>
      <c r="F327">
        <v>13.94</v>
      </c>
      <c r="G327">
        <v>129.04</v>
      </c>
      <c r="H327">
        <v>18.71</v>
      </c>
      <c r="I327">
        <v>22.76</v>
      </c>
      <c r="J327">
        <v>6062.96</v>
      </c>
      <c r="K327">
        <v>29223.35</v>
      </c>
      <c r="L327">
        <v>19.149999999999999</v>
      </c>
      <c r="M327">
        <v>3.97</v>
      </c>
      <c r="N327">
        <v>21.31</v>
      </c>
    </row>
    <row r="328" spans="1:14">
      <c r="A328" s="28">
        <v>559</v>
      </c>
      <c r="B328" t="s">
        <v>1109</v>
      </c>
      <c r="C328" t="s">
        <v>348</v>
      </c>
      <c r="D328">
        <v>15.56</v>
      </c>
      <c r="E328">
        <v>550.91999999999996</v>
      </c>
      <c r="F328">
        <v>22.77</v>
      </c>
      <c r="G328">
        <v>271.39999999999998</v>
      </c>
      <c r="H328">
        <v>5</v>
      </c>
      <c r="I328">
        <v>5.72</v>
      </c>
      <c r="J328">
        <v>189.17</v>
      </c>
      <c r="K328">
        <v>3390.34</v>
      </c>
      <c r="L328">
        <v>16.12</v>
      </c>
      <c r="M328">
        <v>0.9</v>
      </c>
      <c r="N328">
        <v>5.84</v>
      </c>
    </row>
    <row r="329" spans="1:14">
      <c r="A329" s="28">
        <v>581</v>
      </c>
      <c r="B329" t="s">
        <v>1625</v>
      </c>
      <c r="C329" t="s">
        <v>348</v>
      </c>
      <c r="D329">
        <v>15.84</v>
      </c>
      <c r="E329">
        <v>128.69</v>
      </c>
      <c r="F329">
        <v>21.73</v>
      </c>
      <c r="G329" t="s">
        <v>2788</v>
      </c>
      <c r="H329">
        <v>-23.72</v>
      </c>
      <c r="I329">
        <v>-27.24</v>
      </c>
      <c r="J329">
        <v>-355.61</v>
      </c>
      <c r="K329">
        <v>1143.46</v>
      </c>
      <c r="M329">
        <v>22.83</v>
      </c>
    </row>
    <row r="330" spans="1:14">
      <c r="A330" s="28">
        <v>896</v>
      </c>
      <c r="B330" t="s">
        <v>1746</v>
      </c>
      <c r="C330" t="s">
        <v>348</v>
      </c>
      <c r="D330">
        <v>15.88</v>
      </c>
      <c r="E330">
        <v>554.28</v>
      </c>
      <c r="F330">
        <v>11.23</v>
      </c>
      <c r="G330" t="s">
        <v>2788</v>
      </c>
      <c r="H330">
        <v>-1.31</v>
      </c>
      <c r="I330">
        <v>-1.59</v>
      </c>
      <c r="J330">
        <v>-9.8699999999999992</v>
      </c>
      <c r="K330">
        <v>654.28</v>
      </c>
      <c r="M330">
        <v>0.53</v>
      </c>
      <c r="N330">
        <v>27.27</v>
      </c>
    </row>
    <row r="331" spans="1:14">
      <c r="A331" s="28">
        <v>11</v>
      </c>
      <c r="B331" t="s">
        <v>2845</v>
      </c>
      <c r="C331" t="s">
        <v>348</v>
      </c>
      <c r="D331">
        <v>150.13</v>
      </c>
      <c r="F331">
        <v>1024.57</v>
      </c>
      <c r="G331" t="s">
        <v>2788</v>
      </c>
      <c r="H331">
        <v>-154.65</v>
      </c>
      <c r="I331">
        <v>-331.2</v>
      </c>
      <c r="J331">
        <v>-1441.41</v>
      </c>
      <c r="K331">
        <v>320.13</v>
      </c>
      <c r="M331">
        <v>26.86</v>
      </c>
    </row>
    <row r="332" spans="1:14">
      <c r="A332" s="28">
        <v>710</v>
      </c>
      <c r="B332" t="s">
        <v>2656</v>
      </c>
      <c r="C332" t="s">
        <v>347</v>
      </c>
      <c r="D332">
        <v>150.19999999999999</v>
      </c>
      <c r="F332">
        <v>16.37</v>
      </c>
      <c r="G332" t="s">
        <v>350</v>
      </c>
      <c r="H332">
        <v>0.94</v>
      </c>
      <c r="I332">
        <v>2.4900000000000002</v>
      </c>
      <c r="J332">
        <v>1.79</v>
      </c>
      <c r="K332">
        <v>75.12</v>
      </c>
      <c r="L332">
        <v>112.1</v>
      </c>
      <c r="M332">
        <v>2.68</v>
      </c>
      <c r="N332">
        <v>18.37</v>
      </c>
    </row>
    <row r="333" spans="1:14">
      <c r="A333" s="28">
        <v>324</v>
      </c>
      <c r="B333" t="s">
        <v>140</v>
      </c>
      <c r="C333" t="s">
        <v>347</v>
      </c>
      <c r="D333">
        <v>150.25</v>
      </c>
      <c r="E333">
        <v>414.66</v>
      </c>
      <c r="F333">
        <v>38.299999999999997</v>
      </c>
      <c r="G333">
        <v>-7.07</v>
      </c>
      <c r="H333">
        <v>3.13</v>
      </c>
      <c r="I333">
        <v>7.37</v>
      </c>
      <c r="J333">
        <v>1853.54</v>
      </c>
      <c r="K333">
        <v>25732.99</v>
      </c>
      <c r="L333">
        <v>3.17</v>
      </c>
      <c r="M333">
        <v>0.23</v>
      </c>
      <c r="N333">
        <v>3.88</v>
      </c>
    </row>
    <row r="334" spans="1:14">
      <c r="A334" s="28">
        <v>533</v>
      </c>
      <c r="B334" t="s">
        <v>2801</v>
      </c>
      <c r="C334" t="s">
        <v>348</v>
      </c>
      <c r="D334">
        <v>151.28</v>
      </c>
      <c r="E334">
        <v>479.65</v>
      </c>
      <c r="F334">
        <v>24.18</v>
      </c>
      <c r="G334" t="s">
        <v>350</v>
      </c>
      <c r="H334">
        <v>3.41</v>
      </c>
      <c r="I334">
        <v>8.9600000000000009</v>
      </c>
      <c r="J334">
        <v>78.83</v>
      </c>
      <c r="K334">
        <v>2898.26</v>
      </c>
      <c r="L334">
        <v>67.23</v>
      </c>
      <c r="M334">
        <v>1.83</v>
      </c>
      <c r="N334">
        <v>16.170000000000002</v>
      </c>
    </row>
    <row r="335" spans="1:14">
      <c r="A335" s="28">
        <v>1038</v>
      </c>
      <c r="B335" t="s">
        <v>1626</v>
      </c>
      <c r="C335" t="s">
        <v>347</v>
      </c>
      <c r="D335">
        <v>152.41</v>
      </c>
      <c r="E335">
        <v>881.75</v>
      </c>
      <c r="F335">
        <v>8.27</v>
      </c>
      <c r="G335" t="s">
        <v>2788</v>
      </c>
      <c r="H335">
        <v>-2.99</v>
      </c>
      <c r="I335">
        <v>-7.12</v>
      </c>
      <c r="J335">
        <v>-3634.89</v>
      </c>
      <c r="K335">
        <v>49087.72</v>
      </c>
      <c r="M335">
        <v>1.73</v>
      </c>
    </row>
    <row r="336" spans="1:14">
      <c r="A336" s="28">
        <v>463</v>
      </c>
      <c r="B336" t="s">
        <v>198</v>
      </c>
      <c r="C336" t="s">
        <v>347</v>
      </c>
      <c r="D336">
        <v>152.44</v>
      </c>
      <c r="E336">
        <v>4922.5600000000004</v>
      </c>
      <c r="F336">
        <v>27.59</v>
      </c>
      <c r="G336">
        <v>-94.46</v>
      </c>
      <c r="H336">
        <v>0.16</v>
      </c>
      <c r="I336">
        <v>0.43</v>
      </c>
      <c r="J336">
        <v>1093.53</v>
      </c>
      <c r="K336">
        <v>251128.1</v>
      </c>
      <c r="L336">
        <v>158.02000000000001</v>
      </c>
      <c r="M336">
        <v>0.69</v>
      </c>
      <c r="N336">
        <v>11.62</v>
      </c>
    </row>
    <row r="337" spans="1:14">
      <c r="A337" s="28">
        <v>1075</v>
      </c>
      <c r="B337" t="s">
        <v>2517</v>
      </c>
      <c r="C337" t="s">
        <v>347</v>
      </c>
      <c r="D337">
        <v>152.81</v>
      </c>
      <c r="F337">
        <v>7.57</v>
      </c>
      <c r="G337" t="s">
        <v>2788</v>
      </c>
      <c r="H337">
        <v>-1.8</v>
      </c>
      <c r="I337">
        <v>-4.32</v>
      </c>
      <c r="J337">
        <v>-21.19</v>
      </c>
      <c r="K337">
        <v>490.08</v>
      </c>
      <c r="M337">
        <v>4.34</v>
      </c>
      <c r="N337">
        <v>37.71</v>
      </c>
    </row>
    <row r="338" spans="1:14">
      <c r="A338" s="28">
        <v>130</v>
      </c>
      <c r="B338" t="s">
        <v>2802</v>
      </c>
      <c r="C338" t="s">
        <v>348</v>
      </c>
      <c r="D338">
        <v>154.41999999999999</v>
      </c>
      <c r="E338">
        <v>3.58</v>
      </c>
      <c r="F338">
        <v>81.42</v>
      </c>
      <c r="G338" t="s">
        <v>2788</v>
      </c>
      <c r="H338">
        <v>-10.210000000000001</v>
      </c>
      <c r="I338">
        <v>-22.76</v>
      </c>
      <c r="J338">
        <v>-266</v>
      </c>
      <c r="K338">
        <v>1035.81</v>
      </c>
      <c r="M338">
        <v>1.06</v>
      </c>
      <c r="N338">
        <v>10.42</v>
      </c>
    </row>
    <row r="339" spans="1:14">
      <c r="A339" s="28">
        <v>1011</v>
      </c>
      <c r="B339" t="s">
        <v>1242</v>
      </c>
      <c r="C339" t="s">
        <v>348</v>
      </c>
      <c r="D339">
        <v>154.69999999999999</v>
      </c>
      <c r="E339">
        <v>409.43</v>
      </c>
      <c r="F339">
        <v>8.92</v>
      </c>
      <c r="G339" t="s">
        <v>349</v>
      </c>
      <c r="H339">
        <v>-0.25</v>
      </c>
      <c r="I339">
        <v>-0.66</v>
      </c>
      <c r="J339">
        <v>-16.059999999999999</v>
      </c>
      <c r="K339">
        <v>2547.15</v>
      </c>
      <c r="M339">
        <v>1.27</v>
      </c>
      <c r="N339">
        <v>42.37</v>
      </c>
    </row>
    <row r="340" spans="1:14">
      <c r="A340" s="28">
        <v>856</v>
      </c>
      <c r="B340" t="s">
        <v>238</v>
      </c>
      <c r="C340" t="s">
        <v>347</v>
      </c>
      <c r="D340">
        <v>155.09</v>
      </c>
      <c r="E340">
        <v>800.9</v>
      </c>
      <c r="F340">
        <v>12.41</v>
      </c>
      <c r="G340">
        <v>6.59</v>
      </c>
      <c r="H340">
        <v>6.04</v>
      </c>
      <c r="I340">
        <v>16.690000000000001</v>
      </c>
      <c r="J340">
        <v>6338.8</v>
      </c>
      <c r="K340">
        <v>45045.25</v>
      </c>
      <c r="L340">
        <v>2.98</v>
      </c>
      <c r="M340">
        <v>0.42</v>
      </c>
      <c r="N340">
        <v>6.19</v>
      </c>
    </row>
    <row r="341" spans="1:14">
      <c r="A341" s="28">
        <v>707</v>
      </c>
      <c r="B341" t="s">
        <v>2750</v>
      </c>
      <c r="C341" t="s">
        <v>348</v>
      </c>
      <c r="D341">
        <v>156.1</v>
      </c>
      <c r="E341">
        <v>577.64</v>
      </c>
      <c r="F341">
        <v>16.43</v>
      </c>
      <c r="G341">
        <v>325.18</v>
      </c>
      <c r="H341">
        <v>8.8699999999999992</v>
      </c>
      <c r="I341">
        <v>23.31</v>
      </c>
      <c r="J341">
        <v>691.98</v>
      </c>
      <c r="K341">
        <v>3388.2</v>
      </c>
      <c r="L341">
        <v>17.05</v>
      </c>
      <c r="M341">
        <v>3.48</v>
      </c>
      <c r="N341">
        <v>15.66</v>
      </c>
    </row>
    <row r="342" spans="1:14">
      <c r="A342" s="28">
        <v>885</v>
      </c>
      <c r="B342" t="s">
        <v>203</v>
      </c>
      <c r="C342" t="s">
        <v>347</v>
      </c>
      <c r="D342">
        <v>157.47</v>
      </c>
      <c r="E342">
        <v>676.99</v>
      </c>
      <c r="F342">
        <v>11.5</v>
      </c>
      <c r="G342" t="s">
        <v>350</v>
      </c>
      <c r="H342">
        <v>1.92</v>
      </c>
      <c r="I342">
        <v>4.78</v>
      </c>
      <c r="J342">
        <v>1820.2</v>
      </c>
      <c r="K342">
        <v>38849.370000000003</v>
      </c>
      <c r="L342">
        <v>12.03</v>
      </c>
      <c r="M342">
        <v>0.56000000000000005</v>
      </c>
      <c r="N342">
        <v>25.01</v>
      </c>
    </row>
    <row r="343" spans="1:14">
      <c r="A343" s="28">
        <v>677</v>
      </c>
      <c r="B343" t="s">
        <v>2253</v>
      </c>
      <c r="C343" t="s">
        <v>347</v>
      </c>
      <c r="D343">
        <v>157.94</v>
      </c>
      <c r="E343">
        <v>368.03</v>
      </c>
      <c r="F343">
        <v>17.72</v>
      </c>
      <c r="G343">
        <v>-68.930000000000007</v>
      </c>
      <c r="H343">
        <v>2.23</v>
      </c>
      <c r="I343">
        <v>4.68</v>
      </c>
      <c r="J343">
        <v>105.42</v>
      </c>
      <c r="K343">
        <v>2340.16</v>
      </c>
      <c r="L343">
        <v>30.35</v>
      </c>
      <c r="M343">
        <v>1.37</v>
      </c>
      <c r="N343">
        <v>12.06</v>
      </c>
    </row>
    <row r="344" spans="1:14">
      <c r="A344" s="28">
        <v>393</v>
      </c>
      <c r="B344" t="s">
        <v>2599</v>
      </c>
      <c r="C344" t="s">
        <v>348</v>
      </c>
      <c r="D344">
        <v>158.22</v>
      </c>
      <c r="E344">
        <v>479.95</v>
      </c>
      <c r="F344">
        <v>31.95</v>
      </c>
      <c r="G344" t="s">
        <v>350</v>
      </c>
      <c r="H344">
        <v>5.72</v>
      </c>
      <c r="I344">
        <v>16.5</v>
      </c>
      <c r="J344">
        <v>327.73</v>
      </c>
      <c r="K344">
        <v>2899.76</v>
      </c>
      <c r="L344">
        <v>5.31</v>
      </c>
      <c r="M344">
        <v>0.6</v>
      </c>
      <c r="N344">
        <v>7.1</v>
      </c>
    </row>
    <row r="345" spans="1:14">
      <c r="A345" s="28">
        <v>932</v>
      </c>
      <c r="B345" t="s">
        <v>82</v>
      </c>
      <c r="C345" t="s">
        <v>347</v>
      </c>
      <c r="D345">
        <v>158.24</v>
      </c>
      <c r="E345">
        <v>1061.3599999999999</v>
      </c>
      <c r="F345">
        <v>10.49</v>
      </c>
      <c r="G345">
        <v>-24.12</v>
      </c>
      <c r="H345">
        <v>1.88</v>
      </c>
      <c r="I345">
        <v>4.93</v>
      </c>
      <c r="J345">
        <v>2812.2</v>
      </c>
      <c r="K345">
        <v>58067.839999999997</v>
      </c>
      <c r="L345">
        <v>7.52</v>
      </c>
      <c r="M345">
        <v>0.36</v>
      </c>
      <c r="N345">
        <v>7.86</v>
      </c>
    </row>
    <row r="346" spans="1:14">
      <c r="A346" s="28">
        <v>101</v>
      </c>
      <c r="B346" t="s">
        <v>2710</v>
      </c>
      <c r="C346" t="s">
        <v>348</v>
      </c>
      <c r="D346">
        <v>159.27000000000001</v>
      </c>
      <c r="E346">
        <v>2990.65</v>
      </c>
      <c r="F346">
        <v>111.48</v>
      </c>
      <c r="G346" t="s">
        <v>350</v>
      </c>
      <c r="H346">
        <v>6.8</v>
      </c>
      <c r="I346">
        <v>18.47</v>
      </c>
      <c r="J346">
        <v>2252.5500000000002</v>
      </c>
      <c r="K346">
        <v>14230.54</v>
      </c>
      <c r="N346">
        <v>2.0299999999999998</v>
      </c>
    </row>
    <row r="347" spans="1:14">
      <c r="A347" s="28">
        <v>698</v>
      </c>
      <c r="B347" t="s">
        <v>1201</v>
      </c>
      <c r="C347" t="s">
        <v>348</v>
      </c>
      <c r="D347">
        <v>16.2</v>
      </c>
      <c r="E347">
        <v>828.11</v>
      </c>
      <c r="F347">
        <v>16.760000000000002</v>
      </c>
      <c r="G347">
        <v>-31.05</v>
      </c>
      <c r="H347">
        <v>1.97</v>
      </c>
      <c r="I347">
        <v>2.27</v>
      </c>
      <c r="J347">
        <v>103.72</v>
      </c>
      <c r="K347">
        <v>4640.55</v>
      </c>
      <c r="L347">
        <v>95.93</v>
      </c>
      <c r="M347">
        <v>2.14</v>
      </c>
      <c r="N347">
        <v>70.61</v>
      </c>
    </row>
    <row r="348" spans="1:14">
      <c r="A348" s="28">
        <v>1022</v>
      </c>
      <c r="B348" t="s">
        <v>1440</v>
      </c>
      <c r="C348" t="s">
        <v>348</v>
      </c>
      <c r="D348">
        <v>16.48</v>
      </c>
      <c r="E348">
        <v>803.9</v>
      </c>
      <c r="F348">
        <v>8.65</v>
      </c>
      <c r="G348" t="s">
        <v>349</v>
      </c>
      <c r="H348">
        <v>-0.44</v>
      </c>
      <c r="I348">
        <v>-0.5</v>
      </c>
      <c r="J348">
        <v>-22.72</v>
      </c>
      <c r="K348">
        <v>4519.51</v>
      </c>
      <c r="M348">
        <v>1.21</v>
      </c>
      <c r="N348">
        <v>18.55</v>
      </c>
    </row>
    <row r="349" spans="1:14">
      <c r="A349" s="28">
        <v>282</v>
      </c>
      <c r="B349" t="s">
        <v>2306</v>
      </c>
      <c r="C349" t="s">
        <v>348</v>
      </c>
      <c r="D349">
        <v>16.72</v>
      </c>
      <c r="E349">
        <v>128.21</v>
      </c>
      <c r="F349">
        <v>42.98</v>
      </c>
      <c r="G349" t="s">
        <v>2788</v>
      </c>
      <c r="H349">
        <v>-13.22</v>
      </c>
      <c r="I349">
        <v>-14.72</v>
      </c>
      <c r="J349">
        <v>-151.85</v>
      </c>
      <c r="K349">
        <v>1141.07</v>
      </c>
      <c r="M349">
        <v>1.76</v>
      </c>
    </row>
    <row r="350" spans="1:14">
      <c r="A350" s="28">
        <v>1007</v>
      </c>
      <c r="B350" t="s">
        <v>1382</v>
      </c>
      <c r="C350" t="s">
        <v>347</v>
      </c>
      <c r="D350">
        <v>16.75</v>
      </c>
      <c r="E350">
        <v>61492.74</v>
      </c>
      <c r="F350">
        <v>9.02</v>
      </c>
      <c r="G350" t="s">
        <v>349</v>
      </c>
      <c r="H350">
        <v>-0.66</v>
      </c>
      <c r="I350">
        <v>-0.79</v>
      </c>
      <c r="J350">
        <v>-23557.97</v>
      </c>
      <c r="K350">
        <v>3079636.81</v>
      </c>
      <c r="M350">
        <v>0.24</v>
      </c>
    </row>
    <row r="351" spans="1:14">
      <c r="A351" s="28">
        <v>937</v>
      </c>
      <c r="B351" t="s">
        <v>2803</v>
      </c>
      <c r="C351" t="s">
        <v>348</v>
      </c>
      <c r="D351">
        <v>16.82</v>
      </c>
      <c r="E351">
        <v>551.91</v>
      </c>
      <c r="F351">
        <v>10.4</v>
      </c>
      <c r="G351">
        <v>32.950000000000003</v>
      </c>
      <c r="H351">
        <v>17.11</v>
      </c>
      <c r="I351">
        <v>19.690000000000001</v>
      </c>
      <c r="J351">
        <v>621.55999999999995</v>
      </c>
      <c r="K351">
        <v>3467.31</v>
      </c>
      <c r="L351">
        <v>4.66</v>
      </c>
      <c r="M351">
        <v>0.83</v>
      </c>
      <c r="N351">
        <v>3.88</v>
      </c>
    </row>
    <row r="352" spans="1:14">
      <c r="A352" s="28">
        <v>855</v>
      </c>
      <c r="B352" t="s">
        <v>1195</v>
      </c>
      <c r="C352" t="s">
        <v>347</v>
      </c>
      <c r="D352">
        <v>16.89</v>
      </c>
      <c r="E352">
        <v>4133.34</v>
      </c>
      <c r="F352">
        <v>12.43</v>
      </c>
      <c r="G352" t="s">
        <v>2788</v>
      </c>
      <c r="H352">
        <v>-1.9</v>
      </c>
      <c r="I352">
        <v>-2.19</v>
      </c>
      <c r="J352">
        <v>-5922.65</v>
      </c>
      <c r="K352">
        <v>267026.27</v>
      </c>
      <c r="M352">
        <v>0.56999999999999995</v>
      </c>
      <c r="N352">
        <v>9.6300000000000008</v>
      </c>
    </row>
    <row r="353" spans="1:14">
      <c r="A353" s="28">
        <v>690</v>
      </c>
      <c r="B353" t="s">
        <v>1429</v>
      </c>
      <c r="C353" t="s">
        <v>347</v>
      </c>
      <c r="D353">
        <v>16.93</v>
      </c>
      <c r="E353">
        <v>1059.5899999999999</v>
      </c>
      <c r="F353">
        <v>17.03</v>
      </c>
      <c r="G353">
        <v>-45.9</v>
      </c>
      <c r="H353">
        <v>1.37</v>
      </c>
      <c r="I353">
        <v>1.61</v>
      </c>
      <c r="J353">
        <v>911.59</v>
      </c>
      <c r="K353">
        <v>59723.55</v>
      </c>
      <c r="L353">
        <v>53.97</v>
      </c>
      <c r="M353">
        <v>0.82</v>
      </c>
      <c r="N353">
        <v>113.98</v>
      </c>
    </row>
    <row r="354" spans="1:14">
      <c r="A354" s="28">
        <v>745</v>
      </c>
      <c r="B354" t="s">
        <v>838</v>
      </c>
      <c r="C354" t="s">
        <v>348</v>
      </c>
      <c r="D354">
        <v>16.97</v>
      </c>
      <c r="E354">
        <v>2257.79</v>
      </c>
      <c r="F354">
        <v>15.67</v>
      </c>
      <c r="G354">
        <v>-70.58</v>
      </c>
      <c r="H354">
        <v>15.1</v>
      </c>
      <c r="I354">
        <v>17.510000000000002</v>
      </c>
      <c r="J354">
        <v>2573.5500000000002</v>
      </c>
      <c r="K354">
        <v>11788.97</v>
      </c>
      <c r="N354">
        <v>0</v>
      </c>
    </row>
    <row r="355" spans="1:14">
      <c r="A355" s="28">
        <v>455</v>
      </c>
      <c r="B355" t="s">
        <v>1607</v>
      </c>
      <c r="C355" t="s">
        <v>348</v>
      </c>
      <c r="D355">
        <v>16.98</v>
      </c>
      <c r="E355">
        <v>161.93</v>
      </c>
      <c r="F355">
        <v>27.81</v>
      </c>
      <c r="G355" t="s">
        <v>350</v>
      </c>
      <c r="H355">
        <v>21.4</v>
      </c>
      <c r="I355">
        <v>26.22</v>
      </c>
      <c r="J355">
        <v>285.11</v>
      </c>
      <c r="K355">
        <v>1309.6300000000001</v>
      </c>
      <c r="L355">
        <v>4.5599999999999996</v>
      </c>
      <c r="M355">
        <v>0.99</v>
      </c>
      <c r="N355">
        <v>17.649999999999999</v>
      </c>
    </row>
    <row r="356" spans="1:14">
      <c r="A356" s="28">
        <v>268</v>
      </c>
      <c r="B356" t="s">
        <v>2320</v>
      </c>
      <c r="C356" t="s">
        <v>348</v>
      </c>
      <c r="D356">
        <v>160.86000000000001</v>
      </c>
      <c r="E356">
        <v>62.37</v>
      </c>
      <c r="F356">
        <v>44.61</v>
      </c>
      <c r="G356" t="s">
        <v>2788</v>
      </c>
      <c r="H356">
        <v>-14.96</v>
      </c>
      <c r="I356">
        <v>-33.799999999999997</v>
      </c>
      <c r="J356">
        <v>-314.24</v>
      </c>
      <c r="K356">
        <v>811.86</v>
      </c>
      <c r="M356">
        <v>1.27</v>
      </c>
      <c r="N356">
        <v>17.46</v>
      </c>
    </row>
    <row r="357" spans="1:14">
      <c r="A357" s="28">
        <v>594</v>
      </c>
      <c r="B357" t="s">
        <v>272</v>
      </c>
      <c r="C357" t="s">
        <v>348</v>
      </c>
      <c r="D357">
        <v>161.55000000000001</v>
      </c>
      <c r="E357">
        <v>686.04</v>
      </c>
      <c r="F357">
        <v>20.85</v>
      </c>
      <c r="G357">
        <v>-14.75</v>
      </c>
      <c r="H357">
        <v>4.42</v>
      </c>
      <c r="I357">
        <v>10.44</v>
      </c>
      <c r="J357">
        <v>392.22</v>
      </c>
      <c r="K357">
        <v>3930.22</v>
      </c>
      <c r="L357">
        <v>2.88</v>
      </c>
      <c r="M357">
        <v>0.28999999999999998</v>
      </c>
      <c r="N357">
        <v>4.72</v>
      </c>
    </row>
    <row r="358" spans="1:14">
      <c r="A358" s="28">
        <v>27</v>
      </c>
      <c r="B358" t="s">
        <v>2232</v>
      </c>
      <c r="C358" t="s">
        <v>348</v>
      </c>
      <c r="D358">
        <v>163.4</v>
      </c>
      <c r="E358">
        <v>399.43</v>
      </c>
      <c r="F358">
        <v>363.53</v>
      </c>
      <c r="G358" t="s">
        <v>350</v>
      </c>
      <c r="H358">
        <v>5.81</v>
      </c>
      <c r="I358">
        <v>15.88</v>
      </c>
      <c r="J358">
        <v>359.73</v>
      </c>
      <c r="K358">
        <v>2497.14</v>
      </c>
      <c r="L358">
        <v>18.260000000000002</v>
      </c>
      <c r="M358">
        <v>2.63</v>
      </c>
      <c r="N358">
        <v>11.33</v>
      </c>
    </row>
    <row r="359" spans="1:14">
      <c r="A359" s="28">
        <v>341</v>
      </c>
      <c r="B359" t="s">
        <v>255</v>
      </c>
      <c r="C359" t="s">
        <v>348</v>
      </c>
      <c r="D359">
        <v>163.41999999999999</v>
      </c>
      <c r="E359">
        <v>2500.3200000000002</v>
      </c>
      <c r="F359">
        <v>36.56</v>
      </c>
      <c r="G359">
        <v>-3.2</v>
      </c>
      <c r="H359">
        <v>2.88</v>
      </c>
      <c r="I359">
        <v>8.01</v>
      </c>
      <c r="J359">
        <v>1075.31</v>
      </c>
      <c r="K359">
        <v>13546.98</v>
      </c>
      <c r="L359">
        <v>6.85</v>
      </c>
      <c r="M359">
        <v>0.54</v>
      </c>
      <c r="N359">
        <v>5.49</v>
      </c>
    </row>
    <row r="360" spans="1:14">
      <c r="A360" s="28">
        <v>554</v>
      </c>
      <c r="B360" t="s">
        <v>1642</v>
      </c>
      <c r="C360" t="s">
        <v>348</v>
      </c>
      <c r="D360">
        <v>163.88</v>
      </c>
      <c r="E360">
        <v>1521.6</v>
      </c>
      <c r="F360">
        <v>23.29</v>
      </c>
      <c r="G360" t="s">
        <v>350</v>
      </c>
      <c r="H360">
        <v>3.38</v>
      </c>
      <c r="I360">
        <v>8.6999999999999993</v>
      </c>
      <c r="J360">
        <v>657.51</v>
      </c>
      <c r="K360">
        <v>8108</v>
      </c>
      <c r="L360">
        <v>5.0199999999999996</v>
      </c>
      <c r="M360">
        <v>0.41</v>
      </c>
      <c r="N360">
        <v>28.82</v>
      </c>
    </row>
    <row r="361" spans="1:14">
      <c r="A361" s="28">
        <v>673</v>
      </c>
      <c r="B361" t="s">
        <v>2283</v>
      </c>
      <c r="C361" t="s">
        <v>348</v>
      </c>
      <c r="D361">
        <v>164.69</v>
      </c>
      <c r="E361">
        <v>284.02</v>
      </c>
      <c r="F361">
        <v>17.86</v>
      </c>
      <c r="G361" t="s">
        <v>2788</v>
      </c>
      <c r="H361">
        <v>-13.75</v>
      </c>
      <c r="I361">
        <v>-31.77</v>
      </c>
      <c r="J361">
        <v>-164.37</v>
      </c>
      <c r="K361">
        <v>434.48</v>
      </c>
      <c r="M361">
        <v>5.1100000000000003</v>
      </c>
    </row>
    <row r="362" spans="1:14">
      <c r="A362" s="28">
        <v>860</v>
      </c>
      <c r="B362" t="s">
        <v>1176</v>
      </c>
      <c r="C362" t="s">
        <v>347</v>
      </c>
      <c r="D362">
        <v>165.14</v>
      </c>
      <c r="E362">
        <v>291.7</v>
      </c>
      <c r="F362">
        <v>12.23</v>
      </c>
      <c r="G362">
        <v>11.38</v>
      </c>
      <c r="H362">
        <v>0.81</v>
      </c>
      <c r="I362">
        <v>2.13</v>
      </c>
      <c r="J362">
        <v>82.76</v>
      </c>
      <c r="K362">
        <v>3916.96</v>
      </c>
      <c r="L362">
        <v>37.94</v>
      </c>
      <c r="M362">
        <v>0.8</v>
      </c>
      <c r="N362">
        <v>16.059999999999999</v>
      </c>
    </row>
    <row r="363" spans="1:14">
      <c r="A363" s="28">
        <v>730</v>
      </c>
      <c r="B363" t="s">
        <v>2013</v>
      </c>
      <c r="C363" t="s">
        <v>348</v>
      </c>
      <c r="D363">
        <v>165.16</v>
      </c>
      <c r="E363">
        <v>817.43</v>
      </c>
      <c r="F363">
        <v>16</v>
      </c>
      <c r="G363" t="s">
        <v>2788</v>
      </c>
      <c r="H363">
        <v>-1.21</v>
      </c>
      <c r="I363">
        <v>-3.21</v>
      </c>
      <c r="J363">
        <v>-29.77</v>
      </c>
      <c r="K363">
        <v>917.43</v>
      </c>
      <c r="M363">
        <v>1.81</v>
      </c>
      <c r="N363">
        <v>35.14</v>
      </c>
    </row>
    <row r="364" spans="1:14">
      <c r="A364" s="28">
        <v>656</v>
      </c>
      <c r="B364" t="s">
        <v>584</v>
      </c>
      <c r="C364" t="s">
        <v>347</v>
      </c>
      <c r="D364">
        <v>165.83</v>
      </c>
      <c r="E364">
        <v>878.42</v>
      </c>
      <c r="F364">
        <v>18.62</v>
      </c>
      <c r="G364">
        <v>10.85</v>
      </c>
      <c r="H364">
        <v>4.7300000000000004</v>
      </c>
      <c r="I364">
        <v>13.05</v>
      </c>
      <c r="J364">
        <v>5322.53</v>
      </c>
      <c r="K364">
        <v>48921.22</v>
      </c>
      <c r="L364">
        <v>13.4</v>
      </c>
      <c r="M364">
        <v>1.46</v>
      </c>
      <c r="N364">
        <v>6.79</v>
      </c>
    </row>
    <row r="365" spans="1:14">
      <c r="A365" s="28">
        <v>513</v>
      </c>
      <c r="B365" t="s">
        <v>918</v>
      </c>
      <c r="C365" t="s">
        <v>347</v>
      </c>
      <c r="D365">
        <v>166.09</v>
      </c>
      <c r="E365">
        <v>870</v>
      </c>
      <c r="F365">
        <v>25.14</v>
      </c>
      <c r="G365">
        <v>332.27</v>
      </c>
      <c r="H365">
        <v>3.06</v>
      </c>
      <c r="I365">
        <v>8.89</v>
      </c>
      <c r="J365">
        <v>414.38</v>
      </c>
      <c r="K365">
        <v>5025.71</v>
      </c>
      <c r="L365">
        <v>4.1399999999999997</v>
      </c>
      <c r="M365">
        <v>0.34</v>
      </c>
      <c r="N365">
        <v>7.01</v>
      </c>
    </row>
    <row r="366" spans="1:14">
      <c r="A366" s="28">
        <v>714</v>
      </c>
      <c r="B366" t="s">
        <v>1740</v>
      </c>
      <c r="C366" t="s">
        <v>348</v>
      </c>
      <c r="D366">
        <v>166.76</v>
      </c>
      <c r="E366">
        <v>2523.66</v>
      </c>
      <c r="F366">
        <v>16.239999999999998</v>
      </c>
      <c r="G366">
        <v>-14.92</v>
      </c>
      <c r="H366">
        <v>5.74</v>
      </c>
      <c r="I366">
        <v>15.56</v>
      </c>
      <c r="J366">
        <v>1607.04</v>
      </c>
      <c r="K366">
        <v>13607.29</v>
      </c>
      <c r="L366">
        <v>11.14</v>
      </c>
      <c r="M366">
        <v>1.32</v>
      </c>
      <c r="N366">
        <v>6.09</v>
      </c>
    </row>
    <row r="367" spans="1:14">
      <c r="A367" s="28">
        <v>1024</v>
      </c>
      <c r="B367" t="s">
        <v>2815</v>
      </c>
      <c r="C367" t="s">
        <v>348</v>
      </c>
      <c r="D367">
        <v>167.28</v>
      </c>
      <c r="E367">
        <v>219.88</v>
      </c>
      <c r="F367">
        <v>8.61</v>
      </c>
      <c r="G367" t="s">
        <v>350</v>
      </c>
      <c r="H367">
        <v>0.62</v>
      </c>
      <c r="I367">
        <v>1.75</v>
      </c>
      <c r="J367">
        <v>28.74</v>
      </c>
      <c r="K367">
        <v>1599.42</v>
      </c>
      <c r="L367">
        <v>34.450000000000003</v>
      </c>
      <c r="M367">
        <v>0.62</v>
      </c>
      <c r="N367">
        <v>12.76</v>
      </c>
    </row>
    <row r="368" spans="1:14">
      <c r="A368" s="28">
        <v>655</v>
      </c>
      <c r="B368" t="s">
        <v>2804</v>
      </c>
      <c r="C368" t="s">
        <v>348</v>
      </c>
      <c r="D368">
        <v>167.84</v>
      </c>
      <c r="E368">
        <v>3606.04</v>
      </c>
      <c r="F368">
        <v>18.71</v>
      </c>
      <c r="G368">
        <v>170.22</v>
      </c>
      <c r="H368">
        <v>11.5</v>
      </c>
      <c r="I368">
        <v>35.93</v>
      </c>
      <c r="J368">
        <v>4218.74</v>
      </c>
      <c r="K368">
        <v>14407.99</v>
      </c>
      <c r="N368">
        <v>2.2200000000000002</v>
      </c>
    </row>
    <row r="369" spans="1:14">
      <c r="A369" s="28">
        <v>394</v>
      </c>
      <c r="B369" t="s">
        <v>1497</v>
      </c>
      <c r="C369" t="s">
        <v>348</v>
      </c>
      <c r="D369">
        <v>167.84</v>
      </c>
      <c r="E369">
        <v>346.03</v>
      </c>
      <c r="F369">
        <v>31.91</v>
      </c>
      <c r="G369" t="s">
        <v>350</v>
      </c>
      <c r="H369">
        <v>2.1</v>
      </c>
      <c r="I369">
        <v>5.0999999999999996</v>
      </c>
      <c r="J369">
        <v>107.93</v>
      </c>
      <c r="K369">
        <v>2230.13</v>
      </c>
      <c r="L369">
        <v>56.05</v>
      </c>
      <c r="M369">
        <v>2.71</v>
      </c>
      <c r="N369">
        <v>23.35</v>
      </c>
    </row>
    <row r="370" spans="1:14">
      <c r="A370" s="28">
        <v>972</v>
      </c>
      <c r="B370" t="s">
        <v>1000</v>
      </c>
      <c r="C370" t="s">
        <v>347</v>
      </c>
      <c r="D370">
        <v>167.95</v>
      </c>
      <c r="E370">
        <v>1511.56</v>
      </c>
      <c r="F370">
        <v>9.7100000000000009</v>
      </c>
      <c r="G370" t="s">
        <v>349</v>
      </c>
      <c r="H370">
        <v>-0.82</v>
      </c>
      <c r="I370">
        <v>-2.2400000000000002</v>
      </c>
      <c r="J370">
        <v>-178.83</v>
      </c>
      <c r="K370">
        <v>8057.79</v>
      </c>
      <c r="M370">
        <v>0.6</v>
      </c>
      <c r="N370">
        <v>11.07</v>
      </c>
    </row>
    <row r="371" spans="1:14">
      <c r="A371" s="28">
        <v>280</v>
      </c>
      <c r="B371" t="s">
        <v>1226</v>
      </c>
      <c r="C371" t="s">
        <v>348</v>
      </c>
      <c r="D371">
        <v>168.32</v>
      </c>
      <c r="E371">
        <v>2099.15</v>
      </c>
      <c r="F371">
        <v>43.09</v>
      </c>
      <c r="G371">
        <v>48.46</v>
      </c>
      <c r="H371">
        <v>0.85</v>
      </c>
      <c r="I371">
        <v>2.2999999999999998</v>
      </c>
      <c r="J371">
        <v>239.18</v>
      </c>
      <c r="K371">
        <v>10787.92</v>
      </c>
      <c r="L371">
        <v>29.56</v>
      </c>
      <c r="M371">
        <v>0.66</v>
      </c>
      <c r="N371">
        <v>32.47</v>
      </c>
    </row>
    <row r="372" spans="1:14">
      <c r="A372" s="28">
        <v>768</v>
      </c>
      <c r="B372" t="s">
        <v>845</v>
      </c>
      <c r="C372" t="s">
        <v>348</v>
      </c>
      <c r="D372">
        <v>168.79</v>
      </c>
      <c r="E372">
        <v>1113.24</v>
      </c>
      <c r="F372">
        <v>15.04</v>
      </c>
      <c r="G372">
        <v>-12.39</v>
      </c>
      <c r="H372">
        <v>1.32</v>
      </c>
      <c r="I372">
        <v>3.62</v>
      </c>
      <c r="J372">
        <v>177.66</v>
      </c>
      <c r="K372">
        <v>6066.2</v>
      </c>
      <c r="L372">
        <v>25.84</v>
      </c>
      <c r="M372">
        <v>0.76</v>
      </c>
      <c r="N372">
        <v>3.56</v>
      </c>
    </row>
    <row r="373" spans="1:14">
      <c r="A373" s="28">
        <v>86</v>
      </c>
      <c r="B373" t="s">
        <v>2805</v>
      </c>
      <c r="C373" t="s">
        <v>348</v>
      </c>
      <c r="D373">
        <v>1684.49</v>
      </c>
      <c r="F373">
        <v>125.98</v>
      </c>
      <c r="G373" t="s">
        <v>2788</v>
      </c>
      <c r="H373">
        <v>-12.05</v>
      </c>
      <c r="I373">
        <v>-104.99</v>
      </c>
      <c r="J373">
        <v>-533.02</v>
      </c>
      <c r="K373">
        <v>241.17</v>
      </c>
      <c r="M373">
        <v>93.3</v>
      </c>
    </row>
    <row r="374" spans="1:14">
      <c r="A374" s="28">
        <v>776</v>
      </c>
      <c r="B374" t="s">
        <v>1274</v>
      </c>
      <c r="C374" t="s">
        <v>348</v>
      </c>
      <c r="D374">
        <v>17.149999999999999</v>
      </c>
      <c r="E374">
        <v>7822.9</v>
      </c>
      <c r="F374">
        <v>14.79</v>
      </c>
      <c r="G374">
        <v>16.059999999999999</v>
      </c>
      <c r="H374">
        <v>14.52</v>
      </c>
      <c r="I374">
        <v>17.149999999999999</v>
      </c>
      <c r="J374">
        <v>6191.57</v>
      </c>
      <c r="K374">
        <v>39614.5</v>
      </c>
      <c r="L374">
        <v>10.76</v>
      </c>
      <c r="M374">
        <v>1.68</v>
      </c>
      <c r="N374">
        <v>9.2100000000000009</v>
      </c>
    </row>
    <row r="375" spans="1:14">
      <c r="A375" s="28">
        <v>271</v>
      </c>
      <c r="B375" t="s">
        <v>2427</v>
      </c>
      <c r="C375" t="s">
        <v>348</v>
      </c>
      <c r="D375">
        <v>17.149999999999999</v>
      </c>
      <c r="E375">
        <v>87.76</v>
      </c>
      <c r="F375">
        <v>44.2</v>
      </c>
      <c r="G375" t="s">
        <v>350</v>
      </c>
      <c r="H375">
        <v>6.5</v>
      </c>
      <c r="I375">
        <v>7.44</v>
      </c>
      <c r="J375">
        <v>66.95</v>
      </c>
      <c r="K375">
        <v>938.8</v>
      </c>
      <c r="L375">
        <v>6.23</v>
      </c>
      <c r="M375">
        <v>0.44</v>
      </c>
      <c r="N375">
        <v>21</v>
      </c>
    </row>
    <row r="376" spans="1:14">
      <c r="A376" s="28">
        <v>446</v>
      </c>
      <c r="B376" t="s">
        <v>1233</v>
      </c>
      <c r="C376" t="s">
        <v>347</v>
      </c>
      <c r="D376">
        <v>17.2</v>
      </c>
      <c r="E376">
        <v>10819.82</v>
      </c>
      <c r="F376">
        <v>28.56</v>
      </c>
      <c r="G376">
        <v>37.18</v>
      </c>
      <c r="H376">
        <v>3.83</v>
      </c>
      <c r="I376">
        <v>4.59</v>
      </c>
      <c r="J376">
        <v>25180.03</v>
      </c>
      <c r="K376">
        <v>545990.94999999995</v>
      </c>
      <c r="L376">
        <v>4.6500000000000004</v>
      </c>
      <c r="M376">
        <v>0.21</v>
      </c>
      <c r="N376">
        <v>21.11</v>
      </c>
    </row>
    <row r="377" spans="1:14">
      <c r="A377" s="28">
        <v>504</v>
      </c>
      <c r="B377" t="s">
        <v>111</v>
      </c>
      <c r="C377" t="s">
        <v>347</v>
      </c>
      <c r="D377">
        <v>17.25</v>
      </c>
      <c r="E377">
        <v>3648.12</v>
      </c>
      <c r="F377">
        <v>25.5</v>
      </c>
      <c r="G377">
        <v>140.01</v>
      </c>
      <c r="H377">
        <v>5.43</v>
      </c>
      <c r="I377">
        <v>6.5</v>
      </c>
      <c r="J377">
        <v>11466.63</v>
      </c>
      <c r="K377">
        <v>187406.05</v>
      </c>
      <c r="L377">
        <v>12.24</v>
      </c>
      <c r="M377">
        <v>0.75</v>
      </c>
      <c r="N377">
        <v>10.72</v>
      </c>
    </row>
    <row r="378" spans="1:14">
      <c r="A378" s="28">
        <v>818</v>
      </c>
      <c r="B378" t="s">
        <v>2806</v>
      </c>
      <c r="C378" t="s">
        <v>348</v>
      </c>
      <c r="D378">
        <v>17.27</v>
      </c>
      <c r="E378">
        <v>109.46</v>
      </c>
      <c r="F378">
        <v>13.63</v>
      </c>
      <c r="G378" t="s">
        <v>2788</v>
      </c>
      <c r="H378">
        <v>-33.840000000000003</v>
      </c>
      <c r="I378">
        <v>-38.29</v>
      </c>
      <c r="J378">
        <v>-494.31</v>
      </c>
      <c r="K378">
        <v>1047.28</v>
      </c>
      <c r="M378">
        <v>8.23</v>
      </c>
    </row>
    <row r="379" spans="1:14">
      <c r="A379" s="28">
        <v>1015</v>
      </c>
      <c r="B379" t="s">
        <v>1022</v>
      </c>
      <c r="C379" t="s">
        <v>348</v>
      </c>
      <c r="D379">
        <v>17.399999999999999</v>
      </c>
      <c r="E379">
        <v>840.16</v>
      </c>
      <c r="F379">
        <v>8.8800000000000008</v>
      </c>
      <c r="G379">
        <v>-16.02</v>
      </c>
      <c r="H379">
        <v>15.06</v>
      </c>
      <c r="I379">
        <v>18.309999999999999</v>
      </c>
      <c r="J379">
        <v>701.49</v>
      </c>
      <c r="K379">
        <v>4700.79</v>
      </c>
      <c r="N379">
        <v>0</v>
      </c>
    </row>
    <row r="380" spans="1:14">
      <c r="A380" s="28">
        <v>374</v>
      </c>
      <c r="B380" t="s">
        <v>1791</v>
      </c>
      <c r="C380" t="s">
        <v>347</v>
      </c>
      <c r="D380">
        <v>17.55</v>
      </c>
      <c r="E380">
        <v>148.05000000000001</v>
      </c>
      <c r="F380">
        <v>33.270000000000003</v>
      </c>
      <c r="G380" t="s">
        <v>2788</v>
      </c>
      <c r="H380">
        <v>-8.83</v>
      </c>
      <c r="I380">
        <v>-10.15</v>
      </c>
      <c r="J380">
        <v>-258.69</v>
      </c>
      <c r="K380">
        <v>2480.5100000000002</v>
      </c>
      <c r="M380">
        <v>2.88</v>
      </c>
    </row>
    <row r="381" spans="1:14">
      <c r="A381" s="28">
        <v>204</v>
      </c>
      <c r="B381" t="s">
        <v>328</v>
      </c>
      <c r="C381" t="s">
        <v>348</v>
      </c>
      <c r="D381">
        <v>17.8</v>
      </c>
      <c r="E381">
        <v>4172.3500000000004</v>
      </c>
      <c r="F381">
        <v>55.73</v>
      </c>
      <c r="G381">
        <v>88.36</v>
      </c>
      <c r="H381">
        <v>7.23</v>
      </c>
      <c r="I381">
        <v>8.6300000000000008</v>
      </c>
      <c r="J381">
        <v>1854.88</v>
      </c>
      <c r="K381">
        <v>21361.759999999998</v>
      </c>
      <c r="L381">
        <v>6.86</v>
      </c>
      <c r="M381">
        <v>0.6</v>
      </c>
      <c r="N381">
        <v>8.41</v>
      </c>
    </row>
    <row r="382" spans="1:14">
      <c r="A382" s="28">
        <v>548</v>
      </c>
      <c r="B382" t="s">
        <v>321</v>
      </c>
      <c r="C382" t="s">
        <v>348</v>
      </c>
      <c r="D382">
        <v>17.850000000000001</v>
      </c>
      <c r="E382">
        <v>952.39</v>
      </c>
      <c r="F382">
        <v>23.6</v>
      </c>
      <c r="G382">
        <v>53.9</v>
      </c>
      <c r="H382">
        <v>5.09</v>
      </c>
      <c r="I382">
        <v>5.99</v>
      </c>
      <c r="J382">
        <v>309.61</v>
      </c>
      <c r="K382">
        <v>5261.95</v>
      </c>
      <c r="L382">
        <v>13.34</v>
      </c>
      <c r="M382">
        <v>0.78</v>
      </c>
      <c r="N382">
        <v>15.68</v>
      </c>
    </row>
    <row r="383" spans="1:14">
      <c r="A383" s="28">
        <v>674</v>
      </c>
      <c r="B383" t="s">
        <v>365</v>
      </c>
      <c r="C383" t="s">
        <v>347</v>
      </c>
      <c r="D383">
        <v>17.86</v>
      </c>
      <c r="E383">
        <v>2817.6</v>
      </c>
      <c r="F383">
        <v>17.84</v>
      </c>
      <c r="G383">
        <v>-9.0500000000000007</v>
      </c>
      <c r="H383">
        <v>8.0500000000000007</v>
      </c>
      <c r="I383">
        <v>9.42</v>
      </c>
      <c r="J383">
        <v>1320.86</v>
      </c>
      <c r="K383">
        <v>14588</v>
      </c>
      <c r="L383">
        <v>5.28</v>
      </c>
      <c r="M383">
        <v>0.48</v>
      </c>
      <c r="N383">
        <v>3.95</v>
      </c>
    </row>
    <row r="384" spans="1:14">
      <c r="A384" s="28">
        <v>702</v>
      </c>
      <c r="B384" t="s">
        <v>1141</v>
      </c>
      <c r="C384" t="s">
        <v>348</v>
      </c>
      <c r="D384">
        <v>17.86</v>
      </c>
      <c r="E384">
        <v>656.21</v>
      </c>
      <c r="F384">
        <v>16.649999999999999</v>
      </c>
      <c r="G384" t="s">
        <v>349</v>
      </c>
      <c r="H384">
        <v>-11.38</v>
      </c>
      <c r="I384">
        <v>-13.57</v>
      </c>
      <c r="J384">
        <v>-540.80999999999995</v>
      </c>
      <c r="K384">
        <v>3781.06</v>
      </c>
      <c r="M384">
        <v>1.1200000000000001</v>
      </c>
      <c r="N384">
        <v>10.24</v>
      </c>
    </row>
    <row r="385" spans="1:14">
      <c r="A385" s="28">
        <v>790</v>
      </c>
      <c r="B385" t="s">
        <v>207</v>
      </c>
      <c r="C385" t="s">
        <v>347</v>
      </c>
      <c r="D385">
        <v>17.989999999999998</v>
      </c>
      <c r="E385">
        <v>28677.59</v>
      </c>
      <c r="F385">
        <v>14.45</v>
      </c>
      <c r="G385">
        <v>87.61</v>
      </c>
      <c r="H385">
        <v>15.82</v>
      </c>
      <c r="I385">
        <v>19.59</v>
      </c>
      <c r="J385">
        <v>5185.3</v>
      </c>
      <c r="K385">
        <v>28777.59</v>
      </c>
      <c r="L385">
        <v>5.67</v>
      </c>
      <c r="M385">
        <v>1.02</v>
      </c>
      <c r="N385">
        <v>3.83</v>
      </c>
    </row>
    <row r="386" spans="1:14">
      <c r="A386" s="28">
        <v>812</v>
      </c>
      <c r="B386" t="s">
        <v>1893</v>
      </c>
      <c r="C386" t="s">
        <v>348</v>
      </c>
      <c r="D386">
        <v>170.35</v>
      </c>
      <c r="E386">
        <v>785.45</v>
      </c>
      <c r="F386">
        <v>13.8</v>
      </c>
      <c r="G386" t="s">
        <v>2788</v>
      </c>
      <c r="H386">
        <v>-9.44</v>
      </c>
      <c r="I386">
        <v>-21.65</v>
      </c>
      <c r="J386">
        <v>-913.96</v>
      </c>
      <c r="K386">
        <v>4427.2700000000004</v>
      </c>
      <c r="M386">
        <v>4.3600000000000003</v>
      </c>
    </row>
    <row r="387" spans="1:14">
      <c r="A387" s="28">
        <v>189</v>
      </c>
      <c r="B387" t="s">
        <v>1499</v>
      </c>
      <c r="C387" t="s">
        <v>348</v>
      </c>
      <c r="D387">
        <v>173.42</v>
      </c>
      <c r="E387">
        <v>197.61</v>
      </c>
      <c r="F387">
        <v>58.53</v>
      </c>
      <c r="G387" t="s">
        <v>350</v>
      </c>
      <c r="H387">
        <v>9.44</v>
      </c>
      <c r="I387">
        <v>22.8</v>
      </c>
      <c r="J387">
        <v>310.82</v>
      </c>
      <c r="K387">
        <v>1488.07</v>
      </c>
      <c r="L387">
        <v>9.9700000000000006</v>
      </c>
      <c r="M387">
        <v>2.08</v>
      </c>
      <c r="N387">
        <v>23.56</v>
      </c>
    </row>
    <row r="388" spans="1:14">
      <c r="A388" s="28">
        <v>945</v>
      </c>
      <c r="B388" t="s">
        <v>429</v>
      </c>
      <c r="C388" t="s">
        <v>347</v>
      </c>
      <c r="D388">
        <v>173.65</v>
      </c>
      <c r="E388">
        <v>4614.21</v>
      </c>
      <c r="F388">
        <v>10.26</v>
      </c>
      <c r="G388">
        <v>136.91</v>
      </c>
      <c r="H388">
        <v>0.63</v>
      </c>
      <c r="I388">
        <v>1.73</v>
      </c>
      <c r="J388">
        <v>79.3</v>
      </c>
      <c r="K388">
        <v>4714.21</v>
      </c>
      <c r="L388">
        <v>91.93</v>
      </c>
      <c r="M388">
        <v>1.55</v>
      </c>
      <c r="N388">
        <v>29.64</v>
      </c>
    </row>
    <row r="389" spans="1:14">
      <c r="A389" s="28">
        <v>793</v>
      </c>
      <c r="B389" t="s">
        <v>1107</v>
      </c>
      <c r="C389" t="s">
        <v>348</v>
      </c>
      <c r="D389">
        <v>174.07</v>
      </c>
      <c r="E389">
        <v>897.01</v>
      </c>
      <c r="F389">
        <v>14.39</v>
      </c>
      <c r="G389">
        <v>-23</v>
      </c>
      <c r="H389">
        <v>2.4500000000000002</v>
      </c>
      <c r="I389">
        <v>6.58</v>
      </c>
      <c r="J389">
        <v>298.88</v>
      </c>
      <c r="K389">
        <v>4742.3599999999997</v>
      </c>
      <c r="L389">
        <v>8.52</v>
      </c>
      <c r="M389">
        <v>0.54</v>
      </c>
      <c r="N389">
        <v>3.83</v>
      </c>
    </row>
    <row r="390" spans="1:14">
      <c r="A390" s="28">
        <v>69</v>
      </c>
      <c r="B390" t="s">
        <v>1827</v>
      </c>
      <c r="C390" t="s">
        <v>347</v>
      </c>
      <c r="D390">
        <v>1744.08</v>
      </c>
      <c r="F390">
        <v>145.27000000000001</v>
      </c>
      <c r="G390" t="s">
        <v>2788</v>
      </c>
      <c r="H390">
        <v>-13.49</v>
      </c>
      <c r="I390">
        <v>-233.61</v>
      </c>
      <c r="J390">
        <v>-667.24</v>
      </c>
      <c r="K390">
        <v>299.94</v>
      </c>
      <c r="M390">
        <v>8.25</v>
      </c>
    </row>
    <row r="391" spans="1:14">
      <c r="A391" s="28">
        <v>163</v>
      </c>
      <c r="B391" t="s">
        <v>2270</v>
      </c>
      <c r="C391" t="s">
        <v>348</v>
      </c>
      <c r="D391">
        <v>177.2</v>
      </c>
      <c r="E391">
        <v>1268.49</v>
      </c>
      <c r="F391">
        <v>66.3</v>
      </c>
      <c r="G391" t="s">
        <v>350</v>
      </c>
      <c r="H391">
        <v>1.58</v>
      </c>
      <c r="I391">
        <v>4.5199999999999996</v>
      </c>
      <c r="J391">
        <v>301.67</v>
      </c>
      <c r="K391">
        <v>6842.44</v>
      </c>
      <c r="L391">
        <v>46.24</v>
      </c>
      <c r="M391">
        <v>2.04</v>
      </c>
      <c r="N391">
        <v>17.11</v>
      </c>
    </row>
    <row r="392" spans="1:14">
      <c r="A392" s="28">
        <v>620</v>
      </c>
      <c r="B392" t="s">
        <v>2807</v>
      </c>
      <c r="C392" t="s">
        <v>348</v>
      </c>
      <c r="D392">
        <v>178.45</v>
      </c>
      <c r="E392">
        <v>1392.19</v>
      </c>
      <c r="F392">
        <v>19.84</v>
      </c>
      <c r="G392">
        <v>-77.040000000000006</v>
      </c>
      <c r="H392">
        <v>6.16</v>
      </c>
      <c r="I392">
        <v>18.43</v>
      </c>
      <c r="J392">
        <v>1259.1099999999999</v>
      </c>
      <c r="K392">
        <v>7460.97</v>
      </c>
      <c r="L392">
        <v>1.58</v>
      </c>
      <c r="M392">
        <v>0.27</v>
      </c>
      <c r="N392">
        <v>5.41</v>
      </c>
    </row>
    <row r="393" spans="1:14">
      <c r="A393" s="28">
        <v>728</v>
      </c>
      <c r="B393" t="s">
        <v>2615</v>
      </c>
      <c r="C393" t="s">
        <v>348</v>
      </c>
      <c r="D393">
        <v>178.68</v>
      </c>
      <c r="E393">
        <v>66.5</v>
      </c>
      <c r="F393">
        <v>16.02</v>
      </c>
      <c r="G393" t="s">
        <v>350</v>
      </c>
      <c r="H393">
        <v>7.53</v>
      </c>
      <c r="I393">
        <v>27.62</v>
      </c>
      <c r="J393">
        <v>198.59</v>
      </c>
      <c r="K393">
        <v>832.51</v>
      </c>
      <c r="L393">
        <v>10.78</v>
      </c>
      <c r="M393">
        <v>2.57</v>
      </c>
      <c r="N393">
        <v>3.83</v>
      </c>
    </row>
    <row r="394" spans="1:14">
      <c r="A394" s="28">
        <v>397</v>
      </c>
      <c r="B394" t="s">
        <v>1780</v>
      </c>
      <c r="C394" t="s">
        <v>348</v>
      </c>
      <c r="D394">
        <v>179.76</v>
      </c>
      <c r="E394">
        <v>201.02</v>
      </c>
      <c r="F394">
        <v>31.8</v>
      </c>
      <c r="G394" t="s">
        <v>350</v>
      </c>
      <c r="H394">
        <v>7.36</v>
      </c>
      <c r="I394">
        <v>24.45</v>
      </c>
      <c r="J394">
        <v>318.33999999999997</v>
      </c>
      <c r="K394">
        <v>1505.08</v>
      </c>
      <c r="L394">
        <v>3.39</v>
      </c>
      <c r="M394">
        <v>0.72</v>
      </c>
      <c r="N394">
        <v>7.29</v>
      </c>
    </row>
    <row r="395" spans="1:14">
      <c r="A395" s="28">
        <v>1017</v>
      </c>
      <c r="B395" t="s">
        <v>848</v>
      </c>
      <c r="C395" t="s">
        <v>347</v>
      </c>
      <c r="D395">
        <v>179.9</v>
      </c>
      <c r="E395">
        <v>918.82</v>
      </c>
      <c r="F395">
        <v>8.8000000000000007</v>
      </c>
      <c r="G395">
        <v>-6.39</v>
      </c>
      <c r="H395">
        <v>7.43</v>
      </c>
      <c r="I395">
        <v>22.78</v>
      </c>
      <c r="J395">
        <v>1046.1400000000001</v>
      </c>
      <c r="K395">
        <v>5094.1000000000004</v>
      </c>
      <c r="L395">
        <v>3.37</v>
      </c>
      <c r="M395">
        <v>0.69</v>
      </c>
      <c r="N395">
        <v>4.95</v>
      </c>
    </row>
    <row r="396" spans="1:14">
      <c r="A396" s="28">
        <v>822</v>
      </c>
      <c r="B396" t="s">
        <v>2808</v>
      </c>
      <c r="C396" t="s">
        <v>348</v>
      </c>
      <c r="D396">
        <v>18.010000000000002</v>
      </c>
      <c r="E396">
        <v>56.25</v>
      </c>
      <c r="F396">
        <v>13.53</v>
      </c>
      <c r="G396">
        <v>1557.06</v>
      </c>
      <c r="H396">
        <v>8.84</v>
      </c>
      <c r="I396">
        <v>10.67</v>
      </c>
      <c r="J396">
        <v>395.89</v>
      </c>
      <c r="K396">
        <v>3906.18</v>
      </c>
      <c r="L396">
        <v>17.18</v>
      </c>
      <c r="M396">
        <v>1.74</v>
      </c>
      <c r="N396">
        <v>14.39</v>
      </c>
    </row>
    <row r="397" spans="1:14">
      <c r="A397" s="28">
        <v>719</v>
      </c>
      <c r="B397" t="s">
        <v>1003</v>
      </c>
      <c r="C397" t="s">
        <v>348</v>
      </c>
      <c r="D397">
        <v>18.12</v>
      </c>
      <c r="E397">
        <v>3274.65</v>
      </c>
      <c r="F397">
        <v>16.170000000000002</v>
      </c>
      <c r="G397">
        <v>82.81</v>
      </c>
      <c r="H397">
        <v>14.36</v>
      </c>
      <c r="I397">
        <v>16.77</v>
      </c>
      <c r="J397">
        <v>2629.39</v>
      </c>
      <c r="K397">
        <v>16873.259999999998</v>
      </c>
      <c r="L397">
        <v>12.93</v>
      </c>
      <c r="M397">
        <v>2.02</v>
      </c>
      <c r="N397">
        <v>12.97</v>
      </c>
    </row>
    <row r="398" spans="1:14">
      <c r="A398" s="28">
        <v>108</v>
      </c>
      <c r="B398" t="s">
        <v>2809</v>
      </c>
      <c r="C398" t="s">
        <v>348</v>
      </c>
      <c r="D398">
        <v>18.3</v>
      </c>
      <c r="E398">
        <v>3596.71</v>
      </c>
      <c r="F398">
        <v>103.37</v>
      </c>
      <c r="G398" t="s">
        <v>350</v>
      </c>
      <c r="H398">
        <v>2.44</v>
      </c>
      <c r="I398">
        <v>2.9</v>
      </c>
      <c r="J398">
        <v>518.66</v>
      </c>
      <c r="K398">
        <v>18483.53</v>
      </c>
      <c r="L398">
        <v>77.12</v>
      </c>
      <c r="M398">
        <v>2.16</v>
      </c>
      <c r="N398">
        <v>44.64</v>
      </c>
    </row>
    <row r="399" spans="1:14">
      <c r="A399" s="28">
        <v>1098</v>
      </c>
      <c r="B399" t="s">
        <v>2721</v>
      </c>
      <c r="C399" t="s">
        <v>347</v>
      </c>
      <c r="D399">
        <v>18.420000000000002</v>
      </c>
      <c r="F399">
        <v>7.09</v>
      </c>
      <c r="G399" t="s">
        <v>2788</v>
      </c>
      <c r="H399">
        <v>-41.41</v>
      </c>
      <c r="I399">
        <v>-63.67</v>
      </c>
      <c r="J399">
        <v>-415.17</v>
      </c>
      <c r="K399">
        <v>445.03</v>
      </c>
      <c r="M399">
        <v>0.71</v>
      </c>
    </row>
    <row r="400" spans="1:14">
      <c r="A400" s="28">
        <v>569</v>
      </c>
      <c r="B400" t="s">
        <v>212</v>
      </c>
      <c r="C400" t="s">
        <v>347</v>
      </c>
      <c r="D400">
        <v>18.43</v>
      </c>
      <c r="E400">
        <v>2789.78</v>
      </c>
      <c r="F400">
        <v>22.25</v>
      </c>
      <c r="G400">
        <v>109.99</v>
      </c>
      <c r="H400">
        <v>3.03</v>
      </c>
      <c r="I400">
        <v>3.49</v>
      </c>
      <c r="J400">
        <v>396.86</v>
      </c>
      <c r="K400">
        <v>14970.08</v>
      </c>
      <c r="L400">
        <v>22.05</v>
      </c>
      <c r="M400">
        <v>0.57999999999999996</v>
      </c>
      <c r="N400">
        <v>20.37</v>
      </c>
    </row>
    <row r="401" spans="1:14">
      <c r="A401" s="28">
        <v>487</v>
      </c>
      <c r="B401" t="s">
        <v>729</v>
      </c>
      <c r="C401" t="s">
        <v>347</v>
      </c>
      <c r="D401">
        <v>18.43</v>
      </c>
      <c r="E401">
        <v>1562.67</v>
      </c>
      <c r="F401">
        <v>26.21</v>
      </c>
      <c r="G401">
        <v>12.33</v>
      </c>
      <c r="H401">
        <v>3.28</v>
      </c>
      <c r="I401">
        <v>3.81</v>
      </c>
      <c r="J401">
        <v>3004.12</v>
      </c>
      <c r="K401">
        <v>83473.100000000006</v>
      </c>
      <c r="L401">
        <v>27.99</v>
      </c>
      <c r="M401">
        <v>1.01</v>
      </c>
      <c r="N401">
        <v>25.72</v>
      </c>
    </row>
    <row r="402" spans="1:14">
      <c r="A402" s="28">
        <v>290</v>
      </c>
      <c r="B402" t="s">
        <v>1077</v>
      </c>
      <c r="C402" t="s">
        <v>347</v>
      </c>
      <c r="D402">
        <v>18.45</v>
      </c>
      <c r="E402">
        <v>3267.69</v>
      </c>
      <c r="F402">
        <v>41.85</v>
      </c>
      <c r="G402">
        <v>14.01</v>
      </c>
      <c r="H402">
        <v>3.05</v>
      </c>
      <c r="I402">
        <v>3.59</v>
      </c>
      <c r="J402">
        <v>5965.64</v>
      </c>
      <c r="K402">
        <v>168384.45</v>
      </c>
      <c r="L402">
        <v>40.229999999999997</v>
      </c>
      <c r="M402">
        <v>1.43</v>
      </c>
      <c r="N402">
        <v>35.61</v>
      </c>
    </row>
    <row r="403" spans="1:14">
      <c r="A403" s="28">
        <v>94</v>
      </c>
      <c r="B403" t="s">
        <v>2450</v>
      </c>
      <c r="C403" t="s">
        <v>347</v>
      </c>
      <c r="D403">
        <v>18.47</v>
      </c>
      <c r="F403">
        <v>116.06</v>
      </c>
      <c r="G403" t="s">
        <v>2788</v>
      </c>
      <c r="H403">
        <v>-18.23</v>
      </c>
      <c r="I403">
        <v>-33.869999999999997</v>
      </c>
      <c r="J403">
        <v>-145.85</v>
      </c>
      <c r="K403">
        <v>438.22</v>
      </c>
      <c r="M403">
        <v>2.4300000000000002</v>
      </c>
    </row>
    <row r="404" spans="1:14">
      <c r="A404" s="28">
        <v>272</v>
      </c>
      <c r="B404" t="s">
        <v>2279</v>
      </c>
      <c r="C404" t="s">
        <v>348</v>
      </c>
      <c r="D404">
        <v>18.600000000000001</v>
      </c>
      <c r="E404">
        <v>601.85</v>
      </c>
      <c r="F404">
        <v>44.07</v>
      </c>
      <c r="G404" t="s">
        <v>2788</v>
      </c>
      <c r="H404">
        <v>-5.25</v>
      </c>
      <c r="I404">
        <v>-6.47</v>
      </c>
      <c r="J404">
        <v>-176.28</v>
      </c>
      <c r="K404">
        <v>2631.95</v>
      </c>
      <c r="M404">
        <v>1.69</v>
      </c>
    </row>
    <row r="405" spans="1:14">
      <c r="A405" s="28">
        <v>752</v>
      </c>
      <c r="B405" t="s">
        <v>1575</v>
      </c>
      <c r="C405" t="s">
        <v>348</v>
      </c>
      <c r="D405">
        <v>18.84</v>
      </c>
      <c r="E405">
        <v>2665.54</v>
      </c>
      <c r="F405">
        <v>15.43</v>
      </c>
      <c r="G405" t="s">
        <v>2788</v>
      </c>
      <c r="H405">
        <v>-25.42</v>
      </c>
      <c r="I405">
        <v>-38.29</v>
      </c>
      <c r="J405">
        <v>-683.1</v>
      </c>
      <c r="K405">
        <v>2756.58</v>
      </c>
      <c r="M405">
        <v>1.69</v>
      </c>
    </row>
    <row r="406" spans="1:14">
      <c r="A406" s="28">
        <v>42</v>
      </c>
      <c r="B406" t="s">
        <v>1980</v>
      </c>
      <c r="C406" t="s">
        <v>348</v>
      </c>
      <c r="D406">
        <v>18.89</v>
      </c>
      <c r="F406">
        <v>235.86</v>
      </c>
      <c r="G406" t="s">
        <v>2788</v>
      </c>
      <c r="H406">
        <v>-59.82</v>
      </c>
      <c r="I406">
        <v>-67.92</v>
      </c>
      <c r="J406">
        <v>-441.29</v>
      </c>
      <c r="K406">
        <v>427.45</v>
      </c>
      <c r="M406">
        <v>1.48</v>
      </c>
    </row>
    <row r="407" spans="1:14">
      <c r="A407" s="28">
        <v>572</v>
      </c>
      <c r="B407" t="s">
        <v>2660</v>
      </c>
      <c r="C407" t="s">
        <v>348</v>
      </c>
      <c r="D407">
        <v>180.71</v>
      </c>
      <c r="E407">
        <v>779.04</v>
      </c>
      <c r="F407">
        <v>22.1</v>
      </c>
      <c r="G407">
        <v>-67.13</v>
      </c>
      <c r="H407">
        <v>0.6</v>
      </c>
      <c r="I407">
        <v>1.66</v>
      </c>
      <c r="J407">
        <v>73.3</v>
      </c>
      <c r="K407">
        <v>4395.2</v>
      </c>
      <c r="L407">
        <v>105.18</v>
      </c>
      <c r="M407">
        <v>1.75</v>
      </c>
      <c r="N407">
        <v>19.760000000000002</v>
      </c>
    </row>
    <row r="408" spans="1:14">
      <c r="A408" s="28">
        <v>519</v>
      </c>
      <c r="B408" t="s">
        <v>1919</v>
      </c>
      <c r="C408" t="s">
        <v>348</v>
      </c>
      <c r="D408">
        <v>181</v>
      </c>
      <c r="E408">
        <v>537.74</v>
      </c>
      <c r="F408">
        <v>24.72</v>
      </c>
      <c r="G408" t="s">
        <v>2788</v>
      </c>
      <c r="H408">
        <v>-12.28</v>
      </c>
      <c r="I408">
        <v>-25.32</v>
      </c>
      <c r="J408">
        <v>-927.53</v>
      </c>
      <c r="K408">
        <v>3188.72</v>
      </c>
      <c r="M408">
        <v>8.15</v>
      </c>
    </row>
    <row r="409" spans="1:14">
      <c r="A409" s="28">
        <v>417</v>
      </c>
      <c r="B409" t="s">
        <v>1060</v>
      </c>
      <c r="C409" t="s">
        <v>348</v>
      </c>
      <c r="D409">
        <v>182.11</v>
      </c>
      <c r="E409">
        <v>1719.49</v>
      </c>
      <c r="F409">
        <v>30.47</v>
      </c>
      <c r="G409" t="s">
        <v>349</v>
      </c>
      <c r="H409">
        <v>-7.32</v>
      </c>
      <c r="I409">
        <v>-17.36</v>
      </c>
      <c r="J409">
        <v>-1896</v>
      </c>
      <c r="K409">
        <v>9097.44</v>
      </c>
      <c r="M409">
        <v>1.45</v>
      </c>
    </row>
    <row r="410" spans="1:14">
      <c r="A410" s="28">
        <v>719</v>
      </c>
      <c r="B410" t="s">
        <v>1340</v>
      </c>
      <c r="C410" t="s">
        <v>348</v>
      </c>
      <c r="D410">
        <v>182.81</v>
      </c>
      <c r="E410">
        <v>1837.29</v>
      </c>
      <c r="F410">
        <v>16.170000000000002</v>
      </c>
      <c r="G410">
        <v>-34.42</v>
      </c>
      <c r="H410">
        <v>1.1299999999999999</v>
      </c>
      <c r="I410">
        <v>3.43</v>
      </c>
      <c r="J410">
        <v>308.32</v>
      </c>
      <c r="K410">
        <v>9686.4699999999993</v>
      </c>
      <c r="L410">
        <v>36.909999999999997</v>
      </c>
      <c r="M410">
        <v>1.17</v>
      </c>
      <c r="N410">
        <v>12.03</v>
      </c>
    </row>
    <row r="411" spans="1:14">
      <c r="A411" s="28">
        <v>994</v>
      </c>
      <c r="B411" t="s">
        <v>2622</v>
      </c>
      <c r="C411" t="s">
        <v>347</v>
      </c>
      <c r="D411">
        <v>183.67</v>
      </c>
      <c r="E411">
        <v>1551.65</v>
      </c>
      <c r="F411">
        <v>9.32</v>
      </c>
      <c r="G411" t="s">
        <v>2788</v>
      </c>
      <c r="H411">
        <v>-0.33</v>
      </c>
      <c r="I411">
        <v>-0.91</v>
      </c>
      <c r="J411">
        <v>-72.150000000000006</v>
      </c>
      <c r="K411">
        <v>8258.23</v>
      </c>
      <c r="M411">
        <v>0.81</v>
      </c>
      <c r="N411">
        <v>15.55</v>
      </c>
    </row>
    <row r="412" spans="1:14">
      <c r="A412" s="28">
        <v>781</v>
      </c>
      <c r="B412" t="s">
        <v>1134</v>
      </c>
      <c r="C412" t="s">
        <v>348</v>
      </c>
      <c r="D412">
        <v>183.73</v>
      </c>
      <c r="E412">
        <v>1372.91</v>
      </c>
      <c r="F412">
        <v>14.63</v>
      </c>
      <c r="G412">
        <v>-62.74</v>
      </c>
      <c r="H412">
        <v>1.18</v>
      </c>
      <c r="I412">
        <v>3.42</v>
      </c>
      <c r="J412">
        <v>234.43</v>
      </c>
      <c r="K412">
        <v>7364.57</v>
      </c>
      <c r="L412">
        <v>21.33</v>
      </c>
      <c r="M412">
        <v>0.68</v>
      </c>
      <c r="N412">
        <v>11.56</v>
      </c>
    </row>
    <row r="413" spans="1:14">
      <c r="A413" s="28">
        <v>127</v>
      </c>
      <c r="B413" t="s">
        <v>2810</v>
      </c>
      <c r="C413" t="s">
        <v>348</v>
      </c>
      <c r="D413">
        <v>183.77</v>
      </c>
      <c r="E413">
        <v>242.33</v>
      </c>
      <c r="F413">
        <v>83.63</v>
      </c>
      <c r="G413" t="s">
        <v>350</v>
      </c>
      <c r="H413">
        <v>8</v>
      </c>
      <c r="I413">
        <v>33.65</v>
      </c>
      <c r="J413">
        <v>197.63</v>
      </c>
      <c r="K413">
        <v>855.83</v>
      </c>
      <c r="L413">
        <v>12.14</v>
      </c>
      <c r="M413">
        <v>2.8</v>
      </c>
      <c r="N413">
        <v>9.8000000000000007</v>
      </c>
    </row>
    <row r="414" spans="1:14">
      <c r="A414" s="28">
        <v>121</v>
      </c>
      <c r="B414" t="s">
        <v>1995</v>
      </c>
      <c r="C414" t="s">
        <v>347</v>
      </c>
      <c r="D414">
        <v>1837.34</v>
      </c>
      <c r="E414">
        <v>147.04</v>
      </c>
      <c r="F414">
        <v>87.66</v>
      </c>
      <c r="G414">
        <v>-64.81</v>
      </c>
      <c r="H414">
        <v>0.26</v>
      </c>
      <c r="I414">
        <v>3.9</v>
      </c>
      <c r="J414">
        <v>601.32000000000005</v>
      </c>
      <c r="K414">
        <v>12351.78</v>
      </c>
      <c r="L414">
        <v>8.08</v>
      </c>
      <c r="M414">
        <v>0.39</v>
      </c>
    </row>
    <row r="415" spans="1:14">
      <c r="A415" s="28">
        <v>1105</v>
      </c>
      <c r="B415" t="s">
        <v>980</v>
      </c>
      <c r="C415" t="s">
        <v>347</v>
      </c>
      <c r="D415">
        <v>184.34</v>
      </c>
      <c r="E415">
        <v>1123.1500000000001</v>
      </c>
      <c r="F415">
        <v>6.86</v>
      </c>
      <c r="G415">
        <v>-10.11</v>
      </c>
      <c r="H415">
        <v>2</v>
      </c>
      <c r="I415">
        <v>5.9</v>
      </c>
      <c r="J415">
        <v>341.51</v>
      </c>
      <c r="K415">
        <v>6115.76</v>
      </c>
      <c r="L415">
        <v>10.23</v>
      </c>
      <c r="M415">
        <v>0.56999999999999995</v>
      </c>
      <c r="N415">
        <v>5.86</v>
      </c>
    </row>
    <row r="416" spans="1:14">
      <c r="A416" s="28">
        <v>314</v>
      </c>
      <c r="B416" t="s">
        <v>1465</v>
      </c>
      <c r="C416" t="s">
        <v>348</v>
      </c>
      <c r="D416">
        <v>184.48</v>
      </c>
      <c r="E416">
        <v>346.65</v>
      </c>
      <c r="F416">
        <v>39.19</v>
      </c>
      <c r="G416" t="s">
        <v>350</v>
      </c>
      <c r="H416">
        <v>1.25</v>
      </c>
      <c r="I416">
        <v>3.68</v>
      </c>
      <c r="J416">
        <v>14.96</v>
      </c>
      <c r="K416">
        <v>419.15</v>
      </c>
      <c r="L416">
        <v>99.63</v>
      </c>
      <c r="M416">
        <v>3.56</v>
      </c>
      <c r="N416">
        <v>36.369999999999997</v>
      </c>
    </row>
    <row r="417" spans="1:14">
      <c r="A417" s="28">
        <v>260</v>
      </c>
      <c r="B417" t="s">
        <v>2861</v>
      </c>
      <c r="C417" t="s">
        <v>348</v>
      </c>
      <c r="D417">
        <v>185.48</v>
      </c>
      <c r="E417">
        <v>203.68</v>
      </c>
      <c r="F417">
        <v>45.28</v>
      </c>
      <c r="G417" t="s">
        <v>350</v>
      </c>
      <c r="H417">
        <v>5.31</v>
      </c>
      <c r="I417">
        <v>17.41</v>
      </c>
      <c r="J417">
        <v>243.99</v>
      </c>
      <c r="K417">
        <v>1518.42</v>
      </c>
      <c r="L417">
        <v>19.22</v>
      </c>
      <c r="M417">
        <v>3.09</v>
      </c>
      <c r="N417">
        <v>28.83</v>
      </c>
    </row>
    <row r="418" spans="1:14">
      <c r="A418" s="28">
        <v>723</v>
      </c>
      <c r="B418" t="s">
        <v>263</v>
      </c>
      <c r="C418" t="s">
        <v>348</v>
      </c>
      <c r="D418">
        <v>185.61</v>
      </c>
      <c r="E418">
        <v>1179</v>
      </c>
      <c r="F418">
        <v>16.149999999999999</v>
      </c>
      <c r="G418">
        <v>21.46</v>
      </c>
      <c r="H418">
        <v>5.22</v>
      </c>
      <c r="I418">
        <v>14.9</v>
      </c>
      <c r="J418">
        <v>844.44</v>
      </c>
      <c r="K418">
        <v>6394.99</v>
      </c>
      <c r="L418">
        <v>6.73</v>
      </c>
      <c r="M418">
        <v>0.89</v>
      </c>
      <c r="N418">
        <v>7.51</v>
      </c>
    </row>
    <row r="419" spans="1:14">
      <c r="A419" s="28">
        <v>521</v>
      </c>
      <c r="B419" t="s">
        <v>2811</v>
      </c>
      <c r="C419" t="s">
        <v>348</v>
      </c>
      <c r="D419">
        <v>186.02</v>
      </c>
      <c r="E419">
        <v>344.34</v>
      </c>
      <c r="F419">
        <v>24.62</v>
      </c>
      <c r="G419">
        <v>-17.37</v>
      </c>
      <c r="H419">
        <v>2</v>
      </c>
      <c r="I419">
        <v>5.93</v>
      </c>
      <c r="J419">
        <v>127.98</v>
      </c>
      <c r="K419">
        <v>2221.6999999999998</v>
      </c>
      <c r="L419">
        <v>9.1</v>
      </c>
      <c r="M419">
        <v>0.52</v>
      </c>
      <c r="N419">
        <v>7.74</v>
      </c>
    </row>
    <row r="420" spans="1:14">
      <c r="A420" s="28">
        <v>736</v>
      </c>
      <c r="B420" t="s">
        <v>2225</v>
      </c>
      <c r="C420" t="s">
        <v>348</v>
      </c>
      <c r="D420">
        <v>187.85</v>
      </c>
      <c r="E420">
        <v>780.31</v>
      </c>
      <c r="F420">
        <v>15.85</v>
      </c>
      <c r="G420" t="s">
        <v>2788</v>
      </c>
      <c r="H420">
        <v>-7.38</v>
      </c>
      <c r="I420">
        <v>-21.92</v>
      </c>
      <c r="J420">
        <v>-156.76</v>
      </c>
      <c r="K420">
        <v>880.31</v>
      </c>
      <c r="M420">
        <v>1.7</v>
      </c>
    </row>
    <row r="421" spans="1:14">
      <c r="A421" s="28">
        <v>662</v>
      </c>
      <c r="B421" t="s">
        <v>1481</v>
      </c>
      <c r="C421" t="s">
        <v>348</v>
      </c>
      <c r="D421">
        <v>188.42</v>
      </c>
      <c r="E421">
        <v>334.52</v>
      </c>
      <c r="F421">
        <v>18.440000000000001</v>
      </c>
      <c r="G421" t="s">
        <v>2788</v>
      </c>
      <c r="H421">
        <v>-8.86</v>
      </c>
      <c r="I421">
        <v>-34.76</v>
      </c>
      <c r="J421">
        <v>-581.76</v>
      </c>
      <c r="K421">
        <v>2172.62</v>
      </c>
    </row>
    <row r="422" spans="1:14">
      <c r="A422" s="28">
        <v>18</v>
      </c>
      <c r="B422" t="s">
        <v>87</v>
      </c>
      <c r="C422" t="s">
        <v>347</v>
      </c>
      <c r="D422">
        <v>189.52</v>
      </c>
      <c r="E422">
        <v>852.18</v>
      </c>
      <c r="F422">
        <v>598.4</v>
      </c>
      <c r="G422">
        <v>53.88</v>
      </c>
      <c r="H422">
        <v>5.03</v>
      </c>
      <c r="I422">
        <v>11.55</v>
      </c>
      <c r="J422">
        <v>846.49</v>
      </c>
      <c r="K422">
        <v>10098.84</v>
      </c>
      <c r="L422">
        <v>7.36</v>
      </c>
      <c r="M422">
        <v>0.62</v>
      </c>
      <c r="N422">
        <v>4.53</v>
      </c>
    </row>
    <row r="423" spans="1:14">
      <c r="A423" s="28">
        <v>629</v>
      </c>
      <c r="B423" t="s">
        <v>273</v>
      </c>
      <c r="C423" t="s">
        <v>348</v>
      </c>
      <c r="D423">
        <v>189.82</v>
      </c>
      <c r="E423">
        <v>1090.21</v>
      </c>
      <c r="F423">
        <v>19.600000000000001</v>
      </c>
      <c r="G423">
        <v>73.459999999999994</v>
      </c>
      <c r="H423">
        <v>6.93</v>
      </c>
      <c r="I423">
        <v>21.59</v>
      </c>
      <c r="J423">
        <v>1191.06</v>
      </c>
      <c r="K423">
        <v>5951.06</v>
      </c>
      <c r="L423">
        <v>4.53</v>
      </c>
      <c r="M423">
        <v>0.91</v>
      </c>
      <c r="N423">
        <v>3.97</v>
      </c>
    </row>
    <row r="424" spans="1:14">
      <c r="A424" s="28">
        <v>863</v>
      </c>
      <c r="B424" t="s">
        <v>283</v>
      </c>
      <c r="C424" t="s">
        <v>348</v>
      </c>
      <c r="D424">
        <v>19.05</v>
      </c>
      <c r="E424">
        <v>10085.16</v>
      </c>
      <c r="F424">
        <v>12.13</v>
      </c>
      <c r="G424">
        <v>34.590000000000003</v>
      </c>
      <c r="H424">
        <v>10.49</v>
      </c>
      <c r="I424">
        <v>12.76</v>
      </c>
      <c r="J424">
        <v>6149.85</v>
      </c>
      <c r="K424">
        <v>50925.82</v>
      </c>
      <c r="L424">
        <v>4.24</v>
      </c>
      <c r="M424">
        <v>0.51</v>
      </c>
      <c r="N424">
        <v>3.87</v>
      </c>
    </row>
    <row r="425" spans="1:14">
      <c r="A425" s="28">
        <v>563</v>
      </c>
      <c r="B425" t="s">
        <v>902</v>
      </c>
      <c r="C425" t="s">
        <v>348</v>
      </c>
      <c r="D425">
        <v>19.13</v>
      </c>
      <c r="E425">
        <v>3505.39</v>
      </c>
      <c r="F425">
        <v>22.56</v>
      </c>
      <c r="G425">
        <v>25.69</v>
      </c>
      <c r="H425">
        <v>9.52</v>
      </c>
      <c r="I425">
        <v>11.25</v>
      </c>
      <c r="J425">
        <v>1915.23</v>
      </c>
      <c r="K425">
        <v>18026.939999999999</v>
      </c>
      <c r="L425">
        <v>12.51</v>
      </c>
      <c r="M425">
        <v>1.33</v>
      </c>
      <c r="N425">
        <v>8.44</v>
      </c>
    </row>
    <row r="426" spans="1:14">
      <c r="A426" s="28">
        <v>48</v>
      </c>
      <c r="B426" t="s">
        <v>1424</v>
      </c>
      <c r="C426" t="s">
        <v>348</v>
      </c>
      <c r="D426">
        <v>19.170000000000002</v>
      </c>
      <c r="E426">
        <v>345.46</v>
      </c>
      <c r="F426">
        <v>196.85</v>
      </c>
      <c r="G426" t="s">
        <v>2788</v>
      </c>
      <c r="H426">
        <v>-31.22</v>
      </c>
      <c r="I426">
        <v>-43.73</v>
      </c>
      <c r="J426">
        <v>-971.28</v>
      </c>
      <c r="K426">
        <v>2225.4</v>
      </c>
      <c r="M426">
        <v>2.98</v>
      </c>
    </row>
    <row r="427" spans="1:14">
      <c r="A427" s="28">
        <v>796</v>
      </c>
      <c r="B427" t="s">
        <v>2481</v>
      </c>
      <c r="C427" t="s">
        <v>348</v>
      </c>
      <c r="D427">
        <v>19.32</v>
      </c>
      <c r="E427">
        <v>98.58</v>
      </c>
      <c r="F427">
        <v>14.33</v>
      </c>
      <c r="G427" t="s">
        <v>349</v>
      </c>
      <c r="H427">
        <v>-1.07</v>
      </c>
      <c r="I427">
        <v>-1.31</v>
      </c>
      <c r="J427">
        <v>-12.96</v>
      </c>
      <c r="K427">
        <v>992.91</v>
      </c>
      <c r="M427">
        <v>0.63</v>
      </c>
      <c r="N427">
        <v>17.239999999999998</v>
      </c>
    </row>
    <row r="428" spans="1:14">
      <c r="A428" s="28">
        <v>1087</v>
      </c>
      <c r="B428" t="s">
        <v>852</v>
      </c>
      <c r="C428" t="s">
        <v>347</v>
      </c>
      <c r="D428">
        <v>19.39</v>
      </c>
      <c r="E428">
        <v>330.54</v>
      </c>
      <c r="F428">
        <v>7.35</v>
      </c>
      <c r="G428">
        <v>291.56</v>
      </c>
      <c r="H428">
        <v>9.39</v>
      </c>
      <c r="I428">
        <v>11.51</v>
      </c>
      <c r="J428">
        <v>250.03</v>
      </c>
      <c r="K428">
        <v>2223.34</v>
      </c>
      <c r="L428">
        <v>10.5</v>
      </c>
      <c r="M428">
        <v>1.18</v>
      </c>
      <c r="N428">
        <v>8.35</v>
      </c>
    </row>
    <row r="429" spans="1:14">
      <c r="A429" s="28">
        <v>1055</v>
      </c>
      <c r="B429" t="s">
        <v>2569</v>
      </c>
      <c r="C429" t="s">
        <v>348</v>
      </c>
      <c r="D429">
        <v>19.489999999999998</v>
      </c>
      <c r="E429">
        <v>355.39</v>
      </c>
      <c r="F429">
        <v>7.97</v>
      </c>
      <c r="G429" t="s">
        <v>2788</v>
      </c>
      <c r="H429">
        <v>-19.54</v>
      </c>
      <c r="I429">
        <v>-22.86</v>
      </c>
      <c r="J429">
        <v>-587.55999999999995</v>
      </c>
      <c r="K429">
        <v>2276.94</v>
      </c>
      <c r="M429">
        <v>2.5499999999999998</v>
      </c>
    </row>
    <row r="430" spans="1:14">
      <c r="A430" s="28">
        <v>236</v>
      </c>
      <c r="B430" t="s">
        <v>182</v>
      </c>
      <c r="C430" t="s">
        <v>347</v>
      </c>
      <c r="D430">
        <v>19.52</v>
      </c>
      <c r="E430">
        <v>7128.3</v>
      </c>
      <c r="F430">
        <v>48.71</v>
      </c>
      <c r="G430">
        <v>49.64</v>
      </c>
      <c r="H430">
        <v>10.84</v>
      </c>
      <c r="I430">
        <v>13.85</v>
      </c>
      <c r="J430">
        <v>4608.62</v>
      </c>
      <c r="K430">
        <v>36141.5</v>
      </c>
      <c r="L430">
        <v>10.19</v>
      </c>
      <c r="M430">
        <v>1.3</v>
      </c>
      <c r="N430">
        <v>8.2799999999999994</v>
      </c>
    </row>
    <row r="431" spans="1:14">
      <c r="A431" s="28">
        <v>422</v>
      </c>
      <c r="B431" t="s">
        <v>2511</v>
      </c>
      <c r="C431" t="s">
        <v>348</v>
      </c>
      <c r="D431">
        <v>19.54</v>
      </c>
      <c r="E431">
        <v>1257.77</v>
      </c>
      <c r="F431">
        <v>30.24</v>
      </c>
      <c r="G431" t="s">
        <v>350</v>
      </c>
      <c r="H431">
        <v>4.47</v>
      </c>
      <c r="I431">
        <v>5.23</v>
      </c>
      <c r="J431">
        <v>339.81</v>
      </c>
      <c r="K431">
        <v>6788.87</v>
      </c>
      <c r="L431">
        <v>86.08</v>
      </c>
      <c r="M431">
        <v>4.3099999999999996</v>
      </c>
      <c r="N431">
        <v>51.93</v>
      </c>
    </row>
    <row r="432" spans="1:14">
      <c r="A432" s="28">
        <v>2</v>
      </c>
      <c r="B432" t="s">
        <v>2531</v>
      </c>
      <c r="C432" t="s">
        <v>348</v>
      </c>
      <c r="D432">
        <v>19.57</v>
      </c>
      <c r="E432">
        <v>858.48</v>
      </c>
      <c r="F432" t="s">
        <v>349</v>
      </c>
      <c r="G432" t="s">
        <v>349</v>
      </c>
      <c r="H432">
        <v>-46.85</v>
      </c>
      <c r="I432">
        <v>-58.06</v>
      </c>
      <c r="J432">
        <v>-3895.71</v>
      </c>
      <c r="K432">
        <v>4792.3900000000003</v>
      </c>
      <c r="M432">
        <v>0.78</v>
      </c>
    </row>
    <row r="433" spans="1:14">
      <c r="A433" s="28">
        <v>281</v>
      </c>
      <c r="B433" t="s">
        <v>2342</v>
      </c>
      <c r="C433" t="s">
        <v>348</v>
      </c>
      <c r="D433">
        <v>19.57</v>
      </c>
      <c r="E433">
        <v>27.59</v>
      </c>
      <c r="F433">
        <v>43.04</v>
      </c>
      <c r="G433" t="s">
        <v>350</v>
      </c>
      <c r="H433">
        <v>3.17</v>
      </c>
      <c r="I433">
        <v>3.88</v>
      </c>
      <c r="J433">
        <v>22.83</v>
      </c>
      <c r="K433">
        <v>637.96</v>
      </c>
      <c r="L433">
        <v>27.25</v>
      </c>
      <c r="M433">
        <v>0.97</v>
      </c>
      <c r="N433">
        <v>37.270000000000003</v>
      </c>
    </row>
    <row r="434" spans="1:14">
      <c r="A434" s="28">
        <v>192</v>
      </c>
      <c r="B434" t="s">
        <v>2812</v>
      </c>
      <c r="C434" t="s">
        <v>348</v>
      </c>
      <c r="D434">
        <v>19.59</v>
      </c>
      <c r="E434">
        <v>355.62</v>
      </c>
      <c r="F434">
        <v>58.2</v>
      </c>
      <c r="H434">
        <v>37.83</v>
      </c>
      <c r="I434">
        <v>46.8</v>
      </c>
      <c r="N434">
        <v>0</v>
      </c>
    </row>
    <row r="435" spans="1:14">
      <c r="A435" s="28">
        <v>166</v>
      </c>
      <c r="B435" t="s">
        <v>1360</v>
      </c>
      <c r="C435" t="s">
        <v>348</v>
      </c>
      <c r="D435">
        <v>19.649999999999999</v>
      </c>
      <c r="E435">
        <v>379.79</v>
      </c>
      <c r="F435">
        <v>65.42</v>
      </c>
      <c r="G435" t="s">
        <v>350</v>
      </c>
      <c r="H435">
        <v>8.6999999999999993</v>
      </c>
      <c r="I435">
        <v>9.89</v>
      </c>
      <c r="J435">
        <v>447.91</v>
      </c>
      <c r="K435">
        <v>4797.91</v>
      </c>
      <c r="L435">
        <v>24.4</v>
      </c>
      <c r="M435">
        <v>2.2799999999999998</v>
      </c>
      <c r="N435">
        <v>14.5</v>
      </c>
    </row>
    <row r="436" spans="1:14">
      <c r="A436" s="28">
        <v>605</v>
      </c>
      <c r="B436" t="s">
        <v>1040</v>
      </c>
      <c r="C436" t="s">
        <v>348</v>
      </c>
      <c r="D436">
        <v>19.73</v>
      </c>
      <c r="E436">
        <v>4266.01</v>
      </c>
      <c r="F436">
        <v>20.399999999999999</v>
      </c>
      <c r="G436">
        <v>20.58</v>
      </c>
      <c r="H436">
        <v>11.91</v>
      </c>
      <c r="I436">
        <v>14.24</v>
      </c>
      <c r="J436">
        <v>2924.69</v>
      </c>
      <c r="K436">
        <v>21830.05</v>
      </c>
      <c r="L436">
        <v>5.95</v>
      </c>
      <c r="M436">
        <v>0.8</v>
      </c>
      <c r="N436">
        <v>4.84</v>
      </c>
    </row>
    <row r="437" spans="1:14">
      <c r="A437" s="28">
        <v>358</v>
      </c>
      <c r="B437" t="s">
        <v>2181</v>
      </c>
      <c r="C437" t="s">
        <v>348</v>
      </c>
      <c r="D437">
        <v>19.8</v>
      </c>
      <c r="E437">
        <v>1535.08</v>
      </c>
      <c r="F437">
        <v>34.75</v>
      </c>
      <c r="G437" t="s">
        <v>2788</v>
      </c>
      <c r="H437">
        <v>-23.51</v>
      </c>
      <c r="I437">
        <v>-33.4</v>
      </c>
      <c r="J437">
        <v>-2781.57</v>
      </c>
      <c r="K437">
        <v>8175.4</v>
      </c>
      <c r="M437">
        <v>1.97</v>
      </c>
    </row>
    <row r="438" spans="1:14">
      <c r="A438" s="28">
        <v>1114</v>
      </c>
      <c r="B438" t="s">
        <v>1135</v>
      </c>
      <c r="C438" t="s">
        <v>348</v>
      </c>
      <c r="D438">
        <v>19.829999999999998</v>
      </c>
      <c r="E438">
        <v>1904.1</v>
      </c>
      <c r="F438">
        <v>6.54</v>
      </c>
      <c r="G438">
        <v>48.43</v>
      </c>
      <c r="H438">
        <v>5.12</v>
      </c>
      <c r="I438">
        <v>6.15</v>
      </c>
      <c r="J438">
        <v>602.72</v>
      </c>
      <c r="K438">
        <v>10333.1</v>
      </c>
      <c r="L438">
        <v>18.27</v>
      </c>
      <c r="M438">
        <v>1.07</v>
      </c>
      <c r="N438">
        <v>8.77</v>
      </c>
    </row>
    <row r="439" spans="1:14">
      <c r="A439" s="28">
        <v>2</v>
      </c>
      <c r="B439" t="s">
        <v>2073</v>
      </c>
      <c r="C439" t="s">
        <v>348</v>
      </c>
      <c r="D439">
        <v>19.899999999999999</v>
      </c>
      <c r="F439" t="s">
        <v>349</v>
      </c>
      <c r="G439" t="s">
        <v>2788</v>
      </c>
      <c r="H439">
        <v>-5.81</v>
      </c>
      <c r="I439">
        <v>-6.94</v>
      </c>
      <c r="J439">
        <v>-25.2</v>
      </c>
      <c r="K439">
        <v>355.24</v>
      </c>
      <c r="M439">
        <v>0.95</v>
      </c>
    </row>
    <row r="440" spans="1:14">
      <c r="A440" s="28">
        <v>637</v>
      </c>
      <c r="B440" t="s">
        <v>1553</v>
      </c>
      <c r="C440" t="s">
        <v>348</v>
      </c>
      <c r="D440">
        <v>19.940000000000001</v>
      </c>
      <c r="E440">
        <v>1039.53</v>
      </c>
      <c r="F440">
        <v>19.25</v>
      </c>
      <c r="G440">
        <v>-17.899999999999999</v>
      </c>
      <c r="H440">
        <v>7.29</v>
      </c>
      <c r="I440">
        <v>8.75</v>
      </c>
      <c r="J440">
        <v>479.44</v>
      </c>
      <c r="K440">
        <v>5697.66</v>
      </c>
      <c r="L440">
        <v>20.96</v>
      </c>
      <c r="M440">
        <v>1.76</v>
      </c>
      <c r="N440">
        <v>20.51</v>
      </c>
    </row>
    <row r="441" spans="1:14">
      <c r="A441" s="28">
        <v>415</v>
      </c>
      <c r="B441" t="s">
        <v>1693</v>
      </c>
      <c r="C441" t="s">
        <v>348</v>
      </c>
      <c r="D441">
        <v>190.01</v>
      </c>
      <c r="E441">
        <v>228.9</v>
      </c>
      <c r="F441">
        <v>30.5</v>
      </c>
      <c r="G441" t="s">
        <v>2788</v>
      </c>
      <c r="H441">
        <v>-6.18</v>
      </c>
      <c r="I441">
        <v>-16.84</v>
      </c>
      <c r="J441">
        <v>-286.33999999999997</v>
      </c>
      <c r="K441">
        <v>1644.48</v>
      </c>
      <c r="M441">
        <v>0.72</v>
      </c>
      <c r="N441">
        <v>51.84</v>
      </c>
    </row>
    <row r="442" spans="1:14">
      <c r="A442" s="28">
        <v>303</v>
      </c>
      <c r="B442" t="s">
        <v>1689</v>
      </c>
      <c r="C442" t="s">
        <v>347</v>
      </c>
      <c r="D442">
        <v>1907.45</v>
      </c>
      <c r="E442">
        <v>66.709999999999994</v>
      </c>
      <c r="F442">
        <v>40.61</v>
      </c>
      <c r="G442">
        <v>-13.69</v>
      </c>
      <c r="H442">
        <v>0.28000000000000003</v>
      </c>
      <c r="I442">
        <v>4.29</v>
      </c>
      <c r="J442">
        <v>407.98</v>
      </c>
      <c r="K442">
        <v>8335.44</v>
      </c>
      <c r="L442">
        <v>6.79</v>
      </c>
      <c r="M442">
        <v>0.33</v>
      </c>
    </row>
    <row r="443" spans="1:14">
      <c r="A443" s="28">
        <v>631</v>
      </c>
      <c r="B443" t="s">
        <v>1659</v>
      </c>
      <c r="C443" t="s">
        <v>347</v>
      </c>
      <c r="D443">
        <v>191.45</v>
      </c>
      <c r="E443">
        <v>2415.87</v>
      </c>
      <c r="F443">
        <v>19.559999999999999</v>
      </c>
      <c r="G443">
        <v>70.400000000000006</v>
      </c>
      <c r="H443">
        <v>2.4900000000000002</v>
      </c>
      <c r="I443">
        <v>7.58</v>
      </c>
      <c r="J443">
        <v>9215.9699999999993</v>
      </c>
      <c r="K443">
        <v>125793.26</v>
      </c>
      <c r="L443">
        <v>17.57</v>
      </c>
      <c r="M443">
        <v>1.29</v>
      </c>
      <c r="N443">
        <v>9.85</v>
      </c>
    </row>
    <row r="444" spans="1:14">
      <c r="A444" s="28">
        <v>49</v>
      </c>
      <c r="B444" t="s">
        <v>2813</v>
      </c>
      <c r="C444" t="s">
        <v>348</v>
      </c>
      <c r="D444">
        <v>191.87</v>
      </c>
      <c r="E444">
        <v>47.48</v>
      </c>
      <c r="F444">
        <v>195.16</v>
      </c>
      <c r="G444" t="s">
        <v>349</v>
      </c>
      <c r="H444">
        <v>-5.09</v>
      </c>
      <c r="I444">
        <v>-15.09</v>
      </c>
      <c r="J444">
        <v>-104.77</v>
      </c>
      <c r="K444">
        <v>757.86</v>
      </c>
      <c r="M444">
        <v>6.53</v>
      </c>
      <c r="N444">
        <v>17.88</v>
      </c>
    </row>
    <row r="445" spans="1:14">
      <c r="A445" s="28">
        <v>201</v>
      </c>
      <c r="B445" t="s">
        <v>2418</v>
      </c>
      <c r="C445" t="s">
        <v>347</v>
      </c>
      <c r="D445">
        <v>192.76</v>
      </c>
      <c r="E445">
        <v>83.98</v>
      </c>
      <c r="F445">
        <v>56.39</v>
      </c>
      <c r="G445" t="s">
        <v>2788</v>
      </c>
      <c r="H445">
        <v>-25.34</v>
      </c>
      <c r="I445">
        <v>-68.52</v>
      </c>
      <c r="J445">
        <v>-873.41</v>
      </c>
      <c r="K445">
        <v>919.89</v>
      </c>
      <c r="M445">
        <v>1.75</v>
      </c>
    </row>
    <row r="446" spans="1:14">
      <c r="A446" s="28">
        <v>140</v>
      </c>
      <c r="B446" t="s">
        <v>2814</v>
      </c>
      <c r="C446" t="s">
        <v>348</v>
      </c>
      <c r="D446">
        <v>193.28</v>
      </c>
      <c r="E446">
        <v>40.619999999999997</v>
      </c>
      <c r="F446">
        <v>76.39</v>
      </c>
      <c r="G446">
        <v>512.27</v>
      </c>
      <c r="H446">
        <v>15.49</v>
      </c>
      <c r="I446">
        <v>54.09</v>
      </c>
      <c r="J446">
        <v>299.33999999999997</v>
      </c>
      <c r="K446">
        <v>703.12</v>
      </c>
      <c r="N446">
        <v>0</v>
      </c>
    </row>
    <row r="447" spans="1:14">
      <c r="A447" s="28">
        <v>691</v>
      </c>
      <c r="B447" t="s">
        <v>1297</v>
      </c>
      <c r="C447" t="s">
        <v>348</v>
      </c>
      <c r="D447">
        <v>194.13</v>
      </c>
      <c r="E447">
        <v>484.92</v>
      </c>
      <c r="F447">
        <v>17.02</v>
      </c>
      <c r="G447" t="s">
        <v>350</v>
      </c>
      <c r="H447">
        <v>1.39</v>
      </c>
      <c r="I447">
        <v>4.0599999999999996</v>
      </c>
      <c r="J447">
        <v>116.16</v>
      </c>
      <c r="K447">
        <v>2924.59</v>
      </c>
      <c r="L447">
        <v>35.729999999999997</v>
      </c>
      <c r="M447">
        <v>1.42</v>
      </c>
      <c r="N447">
        <v>22.06</v>
      </c>
    </row>
    <row r="448" spans="1:14">
      <c r="A448" s="28">
        <v>840</v>
      </c>
      <c r="B448" t="s">
        <v>2250</v>
      </c>
      <c r="C448" t="s">
        <v>347</v>
      </c>
      <c r="D448">
        <v>197.32</v>
      </c>
      <c r="E448">
        <v>57.26</v>
      </c>
      <c r="F448">
        <v>12.93</v>
      </c>
      <c r="G448">
        <v>0.1</v>
      </c>
      <c r="H448">
        <v>2.67</v>
      </c>
      <c r="I448">
        <v>8.2799999999999994</v>
      </c>
      <c r="J448">
        <v>613.51</v>
      </c>
      <c r="K448">
        <v>7863.13</v>
      </c>
      <c r="L448">
        <v>6.76</v>
      </c>
      <c r="M448">
        <v>0.53</v>
      </c>
      <c r="N448">
        <v>6.73</v>
      </c>
    </row>
    <row r="449" spans="1:14">
      <c r="A449" s="28">
        <v>477</v>
      </c>
      <c r="B449" t="s">
        <v>849</v>
      </c>
      <c r="C449" t="s">
        <v>348</v>
      </c>
      <c r="D449">
        <v>197.64</v>
      </c>
      <c r="E449">
        <v>48.77</v>
      </c>
      <c r="F449">
        <v>26.54</v>
      </c>
      <c r="G449" t="s">
        <v>349</v>
      </c>
      <c r="H449">
        <v>-0.06</v>
      </c>
      <c r="I449">
        <v>-0.17</v>
      </c>
      <c r="J449">
        <v>-1.26</v>
      </c>
      <c r="K449">
        <v>743.85</v>
      </c>
      <c r="M449">
        <v>1.49</v>
      </c>
      <c r="N449">
        <v>7.47</v>
      </c>
    </row>
    <row r="450" spans="1:14">
      <c r="A450" s="28">
        <v>663</v>
      </c>
      <c r="B450" t="s">
        <v>1362</v>
      </c>
      <c r="C450" t="s">
        <v>347</v>
      </c>
      <c r="D450">
        <v>198.66</v>
      </c>
      <c r="E450">
        <v>6038.86</v>
      </c>
      <c r="F450">
        <v>18.37</v>
      </c>
      <c r="G450" t="s">
        <v>349</v>
      </c>
      <c r="H450">
        <v>-6.13</v>
      </c>
      <c r="I450">
        <v>-16.100000000000001</v>
      </c>
      <c r="J450">
        <v>-5319.26</v>
      </c>
      <c r="K450">
        <v>30694.31</v>
      </c>
      <c r="M450">
        <v>6.65</v>
      </c>
    </row>
    <row r="451" spans="1:14">
      <c r="A451" s="28">
        <v>30</v>
      </c>
      <c r="B451" t="s">
        <v>1639</v>
      </c>
      <c r="C451" t="s">
        <v>348</v>
      </c>
      <c r="D451">
        <v>2</v>
      </c>
      <c r="E451">
        <v>447.53</v>
      </c>
      <c r="F451">
        <v>328.23</v>
      </c>
      <c r="G451" t="s">
        <v>349</v>
      </c>
      <c r="H451">
        <v>-0.38</v>
      </c>
      <c r="I451">
        <v>-0.4</v>
      </c>
      <c r="J451">
        <v>-11.08</v>
      </c>
      <c r="K451">
        <v>2776.71</v>
      </c>
      <c r="M451">
        <v>1.59</v>
      </c>
      <c r="N451">
        <v>47.48</v>
      </c>
    </row>
    <row r="452" spans="1:14">
      <c r="A452" s="28">
        <v>229</v>
      </c>
      <c r="B452" t="s">
        <v>2214</v>
      </c>
      <c r="C452" t="s">
        <v>347</v>
      </c>
      <c r="D452">
        <v>2.12</v>
      </c>
      <c r="E452">
        <v>3161.16</v>
      </c>
      <c r="F452">
        <v>49.53</v>
      </c>
      <c r="G452">
        <v>-19.71</v>
      </c>
      <c r="H452">
        <v>2.6</v>
      </c>
      <c r="I452">
        <v>2.66</v>
      </c>
      <c r="J452">
        <v>4259.4799999999996</v>
      </c>
      <c r="K452">
        <v>163058.10999999999</v>
      </c>
      <c r="L452">
        <v>28.38</v>
      </c>
      <c r="M452">
        <v>0.74</v>
      </c>
      <c r="N452">
        <v>643.69000000000005</v>
      </c>
    </row>
    <row r="453" spans="1:14">
      <c r="A453" s="28">
        <v>586</v>
      </c>
      <c r="B453" t="s">
        <v>658</v>
      </c>
      <c r="C453" t="s">
        <v>347</v>
      </c>
      <c r="D453">
        <v>2.9</v>
      </c>
      <c r="E453">
        <v>1257.42</v>
      </c>
      <c r="F453">
        <v>21.55</v>
      </c>
      <c r="G453" t="s">
        <v>2788</v>
      </c>
      <c r="H453">
        <v>-0.63</v>
      </c>
      <c r="I453">
        <v>-0.65</v>
      </c>
      <c r="J453">
        <v>-44.48</v>
      </c>
      <c r="K453">
        <v>6787.1</v>
      </c>
      <c r="M453">
        <v>0.47</v>
      </c>
      <c r="N453">
        <v>207.77</v>
      </c>
    </row>
    <row r="454" spans="1:14">
      <c r="A454" s="28">
        <v>1031</v>
      </c>
      <c r="B454" t="s">
        <v>1302</v>
      </c>
      <c r="C454" t="s">
        <v>348</v>
      </c>
      <c r="D454">
        <v>2.91</v>
      </c>
      <c r="E454">
        <v>1919.4</v>
      </c>
      <c r="F454">
        <v>8.43</v>
      </c>
      <c r="G454" t="s">
        <v>350</v>
      </c>
      <c r="H454">
        <v>2.68</v>
      </c>
      <c r="I454">
        <v>2.75</v>
      </c>
      <c r="J454">
        <v>274.85000000000002</v>
      </c>
      <c r="K454">
        <v>10096.98</v>
      </c>
      <c r="L454">
        <v>44.57</v>
      </c>
      <c r="M454">
        <v>1.21</v>
      </c>
      <c r="N454">
        <v>25.64</v>
      </c>
    </row>
    <row r="455" spans="1:14">
      <c r="A455" s="28">
        <v>38</v>
      </c>
      <c r="B455" t="s">
        <v>2633</v>
      </c>
      <c r="C455" t="s">
        <v>348</v>
      </c>
      <c r="D455">
        <v>20.05</v>
      </c>
      <c r="E455">
        <v>160.53</v>
      </c>
      <c r="F455">
        <v>282.52999999999997</v>
      </c>
      <c r="G455" t="s">
        <v>2788</v>
      </c>
      <c r="H455">
        <v>-34.33</v>
      </c>
      <c r="I455">
        <v>-39.76</v>
      </c>
      <c r="J455">
        <v>-532.02</v>
      </c>
      <c r="K455">
        <v>1302.67</v>
      </c>
      <c r="M455">
        <v>5.45</v>
      </c>
    </row>
    <row r="456" spans="1:14">
      <c r="A456" s="28">
        <v>77</v>
      </c>
      <c r="B456" t="s">
        <v>2816</v>
      </c>
      <c r="C456" t="s">
        <v>348</v>
      </c>
      <c r="D456">
        <v>20.11</v>
      </c>
      <c r="E456">
        <v>2826243.28</v>
      </c>
      <c r="F456">
        <v>136.22</v>
      </c>
      <c r="G456" t="s">
        <v>2788</v>
      </c>
      <c r="H456">
        <v>-13</v>
      </c>
      <c r="I456">
        <v>-17.11</v>
      </c>
      <c r="J456">
        <v>-168.07</v>
      </c>
      <c r="K456">
        <v>1328.04</v>
      </c>
      <c r="M456">
        <v>6.69</v>
      </c>
    </row>
    <row r="457" spans="1:14">
      <c r="A457" s="28">
        <v>703</v>
      </c>
      <c r="B457" t="s">
        <v>2295</v>
      </c>
      <c r="C457" t="s">
        <v>348</v>
      </c>
      <c r="D457">
        <v>20.239999999999998</v>
      </c>
      <c r="F457">
        <v>16.59</v>
      </c>
      <c r="G457" t="s">
        <v>349</v>
      </c>
      <c r="H457">
        <v>-28.59</v>
      </c>
      <c r="I457">
        <v>-41.82</v>
      </c>
      <c r="J457">
        <v>-135.29</v>
      </c>
      <c r="K457">
        <v>315.22000000000003</v>
      </c>
      <c r="M457">
        <v>17.07</v>
      </c>
      <c r="N457">
        <v>679.14</v>
      </c>
    </row>
    <row r="458" spans="1:14">
      <c r="A458" s="28">
        <v>1074</v>
      </c>
      <c r="B458" t="s">
        <v>2738</v>
      </c>
      <c r="C458" t="s">
        <v>348</v>
      </c>
      <c r="D458">
        <v>20.3</v>
      </c>
      <c r="E458">
        <v>921.24</v>
      </c>
      <c r="F458">
        <v>7.58</v>
      </c>
      <c r="G458" t="s">
        <v>349</v>
      </c>
      <c r="H458">
        <v>-0.1</v>
      </c>
      <c r="I458">
        <v>-0.12</v>
      </c>
      <c r="J458">
        <v>-5.28</v>
      </c>
      <c r="K458">
        <v>5258.76</v>
      </c>
      <c r="M458">
        <v>2.2200000000000002</v>
      </c>
      <c r="N458">
        <v>23.4</v>
      </c>
    </row>
    <row r="459" spans="1:14">
      <c r="A459" s="28">
        <v>813</v>
      </c>
      <c r="B459" t="s">
        <v>2536</v>
      </c>
      <c r="C459" t="s">
        <v>347</v>
      </c>
      <c r="D459">
        <v>20.309999999999999</v>
      </c>
      <c r="E459">
        <v>11.14</v>
      </c>
      <c r="F459">
        <v>13.79</v>
      </c>
      <c r="G459" t="s">
        <v>2788</v>
      </c>
      <c r="H459">
        <v>-1.29</v>
      </c>
      <c r="I459">
        <v>-1.72</v>
      </c>
      <c r="J459">
        <v>-43.33</v>
      </c>
      <c r="K459">
        <v>2778.44</v>
      </c>
      <c r="M459">
        <v>1</v>
      </c>
      <c r="N459">
        <v>19.170000000000002</v>
      </c>
    </row>
    <row r="460" spans="1:14">
      <c r="A460" s="28">
        <v>852</v>
      </c>
      <c r="B460" t="s">
        <v>966</v>
      </c>
      <c r="C460" t="s">
        <v>347</v>
      </c>
      <c r="D460">
        <v>20.58</v>
      </c>
      <c r="E460">
        <v>5045.5600000000004</v>
      </c>
      <c r="F460">
        <v>12.55</v>
      </c>
      <c r="G460">
        <v>2.67</v>
      </c>
      <c r="H460">
        <v>3.19</v>
      </c>
      <c r="I460">
        <v>3.88</v>
      </c>
      <c r="J460">
        <v>1805.15</v>
      </c>
      <c r="K460">
        <v>47339.12</v>
      </c>
      <c r="L460">
        <v>10.8</v>
      </c>
      <c r="M460">
        <v>0.41</v>
      </c>
      <c r="N460">
        <v>9.56</v>
      </c>
    </row>
    <row r="461" spans="1:14">
      <c r="A461" s="28">
        <v>974</v>
      </c>
      <c r="B461" t="s">
        <v>623</v>
      </c>
      <c r="C461" t="s">
        <v>348</v>
      </c>
      <c r="D461">
        <v>20.58</v>
      </c>
      <c r="E461">
        <v>3941.84</v>
      </c>
      <c r="F461">
        <v>9.68</v>
      </c>
      <c r="G461">
        <v>1.52</v>
      </c>
      <c r="H461">
        <v>7.17</v>
      </c>
      <c r="I461">
        <v>8.9</v>
      </c>
      <c r="J461">
        <v>1730.13</v>
      </c>
      <c r="K461">
        <v>20209.21</v>
      </c>
      <c r="L461">
        <v>3.38</v>
      </c>
      <c r="M461">
        <v>0.28999999999999998</v>
      </c>
      <c r="N461">
        <v>2.06</v>
      </c>
    </row>
    <row r="462" spans="1:14">
      <c r="A462" s="28">
        <v>838</v>
      </c>
      <c r="B462" t="s">
        <v>695</v>
      </c>
      <c r="C462" t="s">
        <v>348</v>
      </c>
      <c r="D462">
        <v>20.76</v>
      </c>
      <c r="E462">
        <v>1172.1500000000001</v>
      </c>
      <c r="F462">
        <v>13.02</v>
      </c>
      <c r="G462">
        <v>10.71</v>
      </c>
      <c r="H462">
        <v>14.48</v>
      </c>
      <c r="I462">
        <v>17.829999999999998</v>
      </c>
      <c r="J462">
        <v>1001.93</v>
      </c>
      <c r="K462">
        <v>6360.76</v>
      </c>
      <c r="L462">
        <v>7.73</v>
      </c>
      <c r="M462">
        <v>1.22</v>
      </c>
      <c r="N462">
        <v>5.92</v>
      </c>
    </row>
    <row r="463" spans="1:14">
      <c r="A463" s="28">
        <v>658</v>
      </c>
      <c r="B463" t="s">
        <v>497</v>
      </c>
      <c r="C463" t="s">
        <v>347</v>
      </c>
      <c r="D463">
        <v>20.84</v>
      </c>
      <c r="E463">
        <v>653.66</v>
      </c>
      <c r="F463">
        <v>18.59</v>
      </c>
      <c r="G463" t="s">
        <v>349</v>
      </c>
      <c r="H463">
        <v>-2.2000000000000002</v>
      </c>
      <c r="I463">
        <v>-2.68</v>
      </c>
      <c r="J463">
        <v>-87.18</v>
      </c>
      <c r="K463">
        <v>3768.28</v>
      </c>
      <c r="M463">
        <v>0.27</v>
      </c>
      <c r="N463">
        <v>8.76</v>
      </c>
    </row>
    <row r="464" spans="1:14">
      <c r="A464" s="28">
        <v>941</v>
      </c>
      <c r="B464" t="s">
        <v>874</v>
      </c>
      <c r="C464" t="s">
        <v>347</v>
      </c>
      <c r="D464">
        <v>20.88</v>
      </c>
      <c r="E464">
        <v>1374.19</v>
      </c>
      <c r="F464">
        <v>10.32</v>
      </c>
      <c r="G464">
        <v>53.28</v>
      </c>
      <c r="H464">
        <v>5.98</v>
      </c>
      <c r="I464">
        <v>7.33</v>
      </c>
      <c r="J464">
        <v>517.15</v>
      </c>
      <c r="K464">
        <v>7370.95</v>
      </c>
      <c r="L464">
        <v>17.98</v>
      </c>
      <c r="M464">
        <v>1.26</v>
      </c>
      <c r="N464">
        <v>16.05</v>
      </c>
    </row>
    <row r="465" spans="1:14">
      <c r="A465" s="28">
        <v>464</v>
      </c>
      <c r="B465" t="s">
        <v>1721</v>
      </c>
      <c r="C465" t="s">
        <v>348</v>
      </c>
      <c r="D465">
        <v>201.73</v>
      </c>
      <c r="E465">
        <v>3057.87</v>
      </c>
      <c r="F465">
        <v>27.58</v>
      </c>
      <c r="G465" t="s">
        <v>2788</v>
      </c>
      <c r="H465">
        <v>-6.82</v>
      </c>
      <c r="I465">
        <v>-18.12</v>
      </c>
      <c r="J465">
        <v>-2977.37</v>
      </c>
      <c r="K465">
        <v>15789.33</v>
      </c>
      <c r="M465">
        <v>2.4500000000000002</v>
      </c>
      <c r="N465">
        <v>42.83</v>
      </c>
    </row>
    <row r="466" spans="1:14">
      <c r="A466" s="28">
        <v>448</v>
      </c>
      <c r="B466" t="s">
        <v>2817</v>
      </c>
      <c r="C466" t="s">
        <v>348</v>
      </c>
      <c r="D466">
        <v>201.82</v>
      </c>
      <c r="E466">
        <v>281.72000000000003</v>
      </c>
      <c r="F466">
        <v>28.32</v>
      </c>
      <c r="G466">
        <v>35.409999999999997</v>
      </c>
      <c r="H466">
        <v>4.51</v>
      </c>
      <c r="I466">
        <v>14</v>
      </c>
      <c r="J466">
        <v>246.06</v>
      </c>
      <c r="K466">
        <v>1908.62</v>
      </c>
      <c r="L466">
        <v>26.86</v>
      </c>
      <c r="M466">
        <v>3.46</v>
      </c>
      <c r="N466">
        <v>19.93</v>
      </c>
    </row>
    <row r="467" spans="1:14">
      <c r="A467" s="28">
        <v>1021</v>
      </c>
      <c r="B467" t="s">
        <v>136</v>
      </c>
      <c r="C467" t="s">
        <v>347</v>
      </c>
      <c r="D467">
        <v>202.09</v>
      </c>
      <c r="E467">
        <v>423.91</v>
      </c>
      <c r="F467">
        <v>8.67</v>
      </c>
      <c r="G467">
        <v>-48.49</v>
      </c>
      <c r="H467">
        <v>3.2</v>
      </c>
      <c r="I467">
        <v>9.6999999999999993</v>
      </c>
      <c r="J467">
        <v>2482.27</v>
      </c>
      <c r="K467">
        <v>26195.51</v>
      </c>
      <c r="L467">
        <v>9.6300000000000008</v>
      </c>
      <c r="M467">
        <v>0.91</v>
      </c>
      <c r="N467">
        <v>4.37</v>
      </c>
    </row>
    <row r="468" spans="1:14">
      <c r="A468" s="28">
        <v>1089</v>
      </c>
      <c r="B468" t="s">
        <v>545</v>
      </c>
      <c r="C468" t="s">
        <v>347</v>
      </c>
      <c r="D468">
        <v>202.41</v>
      </c>
      <c r="E468">
        <v>5888.84</v>
      </c>
      <c r="F468">
        <v>7.31</v>
      </c>
      <c r="G468">
        <v>-3.03</v>
      </c>
      <c r="H468">
        <v>6.18</v>
      </c>
      <c r="I468">
        <v>18.82</v>
      </c>
      <c r="J468">
        <v>10698.7</v>
      </c>
      <c r="K468">
        <v>59888.38</v>
      </c>
      <c r="L468">
        <v>12.27</v>
      </c>
      <c r="M468">
        <v>2.19</v>
      </c>
      <c r="N468">
        <v>3.7</v>
      </c>
    </row>
    <row r="469" spans="1:14">
      <c r="A469" s="28">
        <v>951</v>
      </c>
      <c r="B469" t="s">
        <v>1905</v>
      </c>
      <c r="C469" t="s">
        <v>348</v>
      </c>
      <c r="D469">
        <v>204.56</v>
      </c>
      <c r="E469">
        <v>12.56</v>
      </c>
      <c r="F469">
        <v>10.16</v>
      </c>
      <c r="G469" t="s">
        <v>349</v>
      </c>
      <c r="H469">
        <v>-5.58</v>
      </c>
      <c r="I469">
        <v>-17.100000000000001</v>
      </c>
      <c r="J469">
        <v>-101.21</v>
      </c>
      <c r="K469">
        <v>562.79</v>
      </c>
      <c r="M469">
        <v>1.7</v>
      </c>
    </row>
    <row r="470" spans="1:14">
      <c r="A470" s="28">
        <v>317</v>
      </c>
      <c r="B470" t="s">
        <v>2749</v>
      </c>
      <c r="C470" t="s">
        <v>348</v>
      </c>
      <c r="D470">
        <v>205.02</v>
      </c>
      <c r="E470">
        <v>547.95000000000005</v>
      </c>
      <c r="F470">
        <v>38.79</v>
      </c>
      <c r="G470" t="s">
        <v>2788</v>
      </c>
      <c r="H470">
        <v>-1.41</v>
      </c>
      <c r="I470">
        <v>-3.84</v>
      </c>
      <c r="J470">
        <v>-126.81</v>
      </c>
      <c r="K470">
        <v>3248.16</v>
      </c>
      <c r="M470">
        <v>3.59</v>
      </c>
      <c r="N470">
        <v>33.5</v>
      </c>
    </row>
    <row r="471" spans="1:14">
      <c r="A471" s="28">
        <v>454</v>
      </c>
      <c r="B471" t="s">
        <v>1836</v>
      </c>
      <c r="C471" t="s">
        <v>348</v>
      </c>
      <c r="D471">
        <v>205.92</v>
      </c>
      <c r="E471">
        <v>278.13</v>
      </c>
      <c r="F471">
        <v>27.87</v>
      </c>
      <c r="G471" t="s">
        <v>350</v>
      </c>
      <c r="H471">
        <v>1.34</v>
      </c>
      <c r="I471">
        <v>4.0999999999999996</v>
      </c>
      <c r="J471">
        <v>70.34</v>
      </c>
      <c r="K471">
        <v>1763.83</v>
      </c>
      <c r="L471">
        <v>85.3</v>
      </c>
      <c r="M471">
        <v>3.4</v>
      </c>
      <c r="N471">
        <v>32.229999999999997</v>
      </c>
    </row>
    <row r="472" spans="1:14">
      <c r="A472" s="28">
        <v>509</v>
      </c>
      <c r="B472" t="s">
        <v>1514</v>
      </c>
      <c r="C472" t="s">
        <v>348</v>
      </c>
      <c r="D472">
        <v>206.21</v>
      </c>
      <c r="E472">
        <v>64.31</v>
      </c>
      <c r="F472">
        <v>25.37</v>
      </c>
      <c r="G472" t="s">
        <v>2788</v>
      </c>
      <c r="H472">
        <v>-0.12</v>
      </c>
      <c r="I472">
        <v>-0.37</v>
      </c>
      <c r="J472">
        <v>-2.77</v>
      </c>
      <c r="K472">
        <v>821.57</v>
      </c>
      <c r="M472">
        <v>0.66</v>
      </c>
      <c r="N472">
        <v>11.88</v>
      </c>
    </row>
    <row r="473" spans="1:14">
      <c r="A473" s="28">
        <v>5</v>
      </c>
      <c r="B473" t="s">
        <v>1602</v>
      </c>
      <c r="C473" t="s">
        <v>348</v>
      </c>
      <c r="D473">
        <v>206.36</v>
      </c>
      <c r="E473">
        <v>226.64</v>
      </c>
      <c r="F473">
        <v>11015.87</v>
      </c>
      <c r="G473" t="s">
        <v>2788</v>
      </c>
      <c r="H473">
        <v>-6.38</v>
      </c>
      <c r="I473">
        <v>-16.54</v>
      </c>
      <c r="J473">
        <v>-294.23</v>
      </c>
      <c r="K473">
        <v>1633.22</v>
      </c>
      <c r="M473">
        <v>2.73</v>
      </c>
    </row>
    <row r="474" spans="1:14">
      <c r="A474" s="28">
        <v>886</v>
      </c>
      <c r="B474" t="s">
        <v>795</v>
      </c>
      <c r="C474" t="s">
        <v>348</v>
      </c>
      <c r="D474">
        <v>207.97</v>
      </c>
      <c r="E474">
        <v>1329.38</v>
      </c>
      <c r="F474">
        <v>11.49</v>
      </c>
      <c r="G474">
        <v>-17.489999999999998</v>
      </c>
      <c r="H474">
        <v>6.57</v>
      </c>
      <c r="I474">
        <v>18.77</v>
      </c>
      <c r="J474">
        <v>249.41</v>
      </c>
      <c r="K474">
        <v>1429.38</v>
      </c>
      <c r="L474">
        <v>16.14</v>
      </c>
      <c r="M474">
        <v>2.82</v>
      </c>
      <c r="N474">
        <v>10.67</v>
      </c>
    </row>
    <row r="475" spans="1:14">
      <c r="A475" s="28">
        <v>103</v>
      </c>
      <c r="B475" t="s">
        <v>509</v>
      </c>
      <c r="C475" t="s">
        <v>348</v>
      </c>
      <c r="D475">
        <v>21.15</v>
      </c>
      <c r="E475">
        <v>3240.93</v>
      </c>
      <c r="F475">
        <v>110.75</v>
      </c>
      <c r="G475" t="s">
        <v>349</v>
      </c>
      <c r="H475">
        <v>-12.11</v>
      </c>
      <c r="I475">
        <v>-15.71</v>
      </c>
      <c r="J475">
        <v>-2052.89</v>
      </c>
      <c r="K475">
        <v>16704.63</v>
      </c>
      <c r="M475">
        <v>1.07</v>
      </c>
      <c r="N475">
        <v>21.68</v>
      </c>
    </row>
    <row r="476" spans="1:14">
      <c r="A476" s="28">
        <v>110</v>
      </c>
      <c r="B476" t="s">
        <v>1219</v>
      </c>
      <c r="C476" t="s">
        <v>348</v>
      </c>
      <c r="D476">
        <v>21.27</v>
      </c>
      <c r="E476">
        <v>2005.24</v>
      </c>
      <c r="F476">
        <v>101.27</v>
      </c>
      <c r="G476">
        <v>133.52000000000001</v>
      </c>
      <c r="H476">
        <v>44.41</v>
      </c>
      <c r="I476">
        <v>52.85</v>
      </c>
      <c r="J476">
        <v>4450.57</v>
      </c>
      <c r="K476">
        <v>10526.18</v>
      </c>
      <c r="L476">
        <v>11.2</v>
      </c>
      <c r="M476">
        <v>4.74</v>
      </c>
      <c r="N476">
        <v>8.5</v>
      </c>
    </row>
    <row r="477" spans="1:14">
      <c r="A477" s="28">
        <v>359</v>
      </c>
      <c r="B477" t="s">
        <v>666</v>
      </c>
      <c r="C477" t="s">
        <v>348</v>
      </c>
      <c r="D477">
        <v>21.45</v>
      </c>
      <c r="E477">
        <v>2280.8000000000002</v>
      </c>
      <c r="F477">
        <v>34.659999999999997</v>
      </c>
      <c r="G477">
        <v>54.07</v>
      </c>
      <c r="H477">
        <v>8.59</v>
      </c>
      <c r="I477">
        <v>10.36</v>
      </c>
      <c r="J477">
        <v>1176.99</v>
      </c>
      <c r="K477">
        <v>11904.01</v>
      </c>
      <c r="L477">
        <v>7.46</v>
      </c>
      <c r="M477">
        <v>0.74</v>
      </c>
      <c r="N477">
        <v>5.01</v>
      </c>
    </row>
    <row r="478" spans="1:14">
      <c r="A478" s="28">
        <v>494</v>
      </c>
      <c r="B478" t="s">
        <v>221</v>
      </c>
      <c r="C478" t="s">
        <v>347</v>
      </c>
      <c r="D478">
        <v>21.45</v>
      </c>
      <c r="E478">
        <v>1313.58</v>
      </c>
      <c r="F478">
        <v>25.83</v>
      </c>
      <c r="G478">
        <v>6.11</v>
      </c>
      <c r="H478">
        <v>7.81</v>
      </c>
      <c r="I478">
        <v>9.41</v>
      </c>
      <c r="J478">
        <v>636.13</v>
      </c>
      <c r="K478">
        <v>7067.91</v>
      </c>
      <c r="L478">
        <v>4.97</v>
      </c>
      <c r="M478">
        <v>0.45</v>
      </c>
    </row>
    <row r="479" spans="1:14">
      <c r="A479" s="28">
        <v>988</v>
      </c>
      <c r="B479" t="s">
        <v>1671</v>
      </c>
      <c r="C479" t="s">
        <v>348</v>
      </c>
      <c r="D479">
        <v>21.47</v>
      </c>
      <c r="E479">
        <v>2506.3200000000002</v>
      </c>
      <c r="F479">
        <v>9.4</v>
      </c>
      <c r="G479">
        <v>293.62</v>
      </c>
      <c r="H479">
        <v>14.79</v>
      </c>
      <c r="I479">
        <v>18.09</v>
      </c>
      <c r="J479">
        <v>2147.6</v>
      </c>
      <c r="K479">
        <v>13715.19</v>
      </c>
      <c r="L479">
        <v>5.73</v>
      </c>
      <c r="M479">
        <v>0.9</v>
      </c>
      <c r="N479">
        <v>5.83</v>
      </c>
    </row>
    <row r="480" spans="1:14">
      <c r="A480" s="28">
        <v>351</v>
      </c>
      <c r="B480" t="s">
        <v>2466</v>
      </c>
      <c r="C480" t="s">
        <v>348</v>
      </c>
      <c r="D480">
        <v>21.66</v>
      </c>
      <c r="E480">
        <v>807.5</v>
      </c>
      <c r="F480">
        <v>35.47</v>
      </c>
      <c r="G480" t="s">
        <v>350</v>
      </c>
      <c r="H480">
        <v>5.64</v>
      </c>
      <c r="I480">
        <v>6.7</v>
      </c>
      <c r="J480">
        <v>72.81</v>
      </c>
      <c r="K480">
        <v>1134.3800000000001</v>
      </c>
      <c r="L480">
        <v>59.24</v>
      </c>
      <c r="M480">
        <v>3.8</v>
      </c>
      <c r="N480">
        <v>278.60000000000002</v>
      </c>
    </row>
    <row r="481" spans="1:14">
      <c r="A481" s="28">
        <v>104</v>
      </c>
      <c r="B481" t="s">
        <v>1727</v>
      </c>
      <c r="C481" t="s">
        <v>348</v>
      </c>
      <c r="D481">
        <v>21.84</v>
      </c>
      <c r="E481">
        <v>233.87</v>
      </c>
      <c r="F481">
        <v>109.61</v>
      </c>
      <c r="G481" t="s">
        <v>2788</v>
      </c>
      <c r="H481">
        <v>-17.62</v>
      </c>
      <c r="I481">
        <v>-21.4</v>
      </c>
      <c r="J481">
        <v>-361.03</v>
      </c>
      <c r="K481">
        <v>1669.34</v>
      </c>
      <c r="M481">
        <v>4.3899999999999997</v>
      </c>
    </row>
    <row r="482" spans="1:14">
      <c r="A482" s="28">
        <v>180</v>
      </c>
      <c r="B482" t="s">
        <v>372</v>
      </c>
      <c r="C482" t="s">
        <v>347</v>
      </c>
      <c r="D482">
        <v>21.86</v>
      </c>
      <c r="E482">
        <v>3252.19</v>
      </c>
      <c r="F482">
        <v>61.22</v>
      </c>
      <c r="G482" t="s">
        <v>350</v>
      </c>
      <c r="H482">
        <v>2.91</v>
      </c>
      <c r="I482">
        <v>3.48</v>
      </c>
      <c r="J482">
        <v>541.67999999999995</v>
      </c>
      <c r="K482">
        <v>16760.939999999999</v>
      </c>
      <c r="L482">
        <v>42.83</v>
      </c>
      <c r="M482">
        <v>1.38</v>
      </c>
      <c r="N482">
        <v>16.8</v>
      </c>
    </row>
    <row r="483" spans="1:14">
      <c r="A483" s="28">
        <v>957</v>
      </c>
      <c r="B483" t="s">
        <v>599</v>
      </c>
      <c r="C483" t="s">
        <v>348</v>
      </c>
      <c r="D483">
        <v>21.9</v>
      </c>
      <c r="E483">
        <v>2000.09</v>
      </c>
      <c r="F483">
        <v>9.94</v>
      </c>
      <c r="G483">
        <v>-64.84</v>
      </c>
      <c r="H483">
        <v>3.58</v>
      </c>
      <c r="I483">
        <v>4.3</v>
      </c>
      <c r="J483">
        <v>493.8</v>
      </c>
      <c r="K483">
        <v>11205.99</v>
      </c>
      <c r="L483">
        <v>42.43</v>
      </c>
      <c r="M483">
        <v>1.87</v>
      </c>
      <c r="N483">
        <v>23.47</v>
      </c>
    </row>
    <row r="484" spans="1:14">
      <c r="A484" s="28">
        <v>169</v>
      </c>
      <c r="B484" t="s">
        <v>1272</v>
      </c>
      <c r="C484" t="s">
        <v>348</v>
      </c>
      <c r="D484">
        <v>21.92</v>
      </c>
      <c r="E484">
        <v>2202.3200000000002</v>
      </c>
      <c r="F484">
        <v>64.5</v>
      </c>
      <c r="G484">
        <v>28.94</v>
      </c>
      <c r="H484">
        <v>6.77</v>
      </c>
      <c r="I484">
        <v>8.4</v>
      </c>
      <c r="J484">
        <v>931.61</v>
      </c>
      <c r="K484">
        <v>11511.61</v>
      </c>
      <c r="L484">
        <v>18.54</v>
      </c>
      <c r="M484">
        <v>1.5</v>
      </c>
      <c r="N484">
        <v>21.21</v>
      </c>
    </row>
    <row r="485" spans="1:14">
      <c r="A485" s="28">
        <v>430</v>
      </c>
      <c r="B485" t="s">
        <v>2818</v>
      </c>
      <c r="C485" t="s">
        <v>348</v>
      </c>
      <c r="D485">
        <v>210.61</v>
      </c>
      <c r="E485">
        <v>455.97</v>
      </c>
      <c r="F485">
        <v>29.58</v>
      </c>
      <c r="G485" t="s">
        <v>349</v>
      </c>
      <c r="H485">
        <v>-3.08</v>
      </c>
      <c r="I485">
        <v>-10.14</v>
      </c>
      <c r="J485">
        <v>-278.7</v>
      </c>
      <c r="K485">
        <v>2787.44</v>
      </c>
      <c r="M485">
        <v>1.49</v>
      </c>
      <c r="N485">
        <v>39.33</v>
      </c>
    </row>
    <row r="486" spans="1:14">
      <c r="A486" s="28">
        <v>266</v>
      </c>
      <c r="B486" t="s">
        <v>1194</v>
      </c>
      <c r="C486" t="s">
        <v>348</v>
      </c>
      <c r="D486">
        <v>210.69</v>
      </c>
      <c r="E486">
        <v>1250.05</v>
      </c>
      <c r="F486">
        <v>44.7</v>
      </c>
      <c r="G486">
        <v>17.899999999999999</v>
      </c>
      <c r="H486">
        <v>11.23</v>
      </c>
      <c r="I486">
        <v>28.34</v>
      </c>
      <c r="J486">
        <v>1458.98</v>
      </c>
      <c r="K486">
        <v>6750.23</v>
      </c>
      <c r="L486">
        <v>5.41</v>
      </c>
      <c r="M486">
        <v>1.17</v>
      </c>
      <c r="N486">
        <v>3.81</v>
      </c>
    </row>
    <row r="487" spans="1:14">
      <c r="A487" s="28">
        <v>986</v>
      </c>
      <c r="B487" t="s">
        <v>2183</v>
      </c>
      <c r="C487" t="s">
        <v>347</v>
      </c>
      <c r="D487">
        <v>212.15</v>
      </c>
      <c r="E487">
        <v>926.63</v>
      </c>
      <c r="F487">
        <v>9.44</v>
      </c>
      <c r="G487" t="s">
        <v>2788</v>
      </c>
      <c r="H487">
        <v>-7.55</v>
      </c>
      <c r="I487">
        <v>-24.91</v>
      </c>
      <c r="J487">
        <v>-1938.07</v>
      </c>
      <c r="K487">
        <v>5133.1400000000003</v>
      </c>
      <c r="M487">
        <v>1.1299999999999999</v>
      </c>
      <c r="N487">
        <v>10.1</v>
      </c>
    </row>
    <row r="488" spans="1:14">
      <c r="A488" s="28">
        <v>732</v>
      </c>
      <c r="B488" t="s">
        <v>2757</v>
      </c>
      <c r="C488" t="s">
        <v>347</v>
      </c>
      <c r="D488">
        <v>214.28</v>
      </c>
      <c r="E488">
        <v>1790.58</v>
      </c>
      <c r="F488">
        <v>15.93</v>
      </c>
      <c r="G488" t="s">
        <v>2788</v>
      </c>
      <c r="H488">
        <v>-6.43</v>
      </c>
      <c r="I488">
        <v>-18.36</v>
      </c>
      <c r="J488">
        <v>-1930.95</v>
      </c>
      <c r="K488">
        <v>9452.9</v>
      </c>
      <c r="M488">
        <v>1.3</v>
      </c>
      <c r="N488">
        <v>18.600000000000001</v>
      </c>
    </row>
    <row r="489" spans="1:14">
      <c r="A489" s="28">
        <v>506</v>
      </c>
      <c r="B489" t="s">
        <v>2819</v>
      </c>
      <c r="C489" t="s">
        <v>348</v>
      </c>
      <c r="D489">
        <v>215.2</v>
      </c>
      <c r="E489">
        <v>241.44</v>
      </c>
      <c r="F489">
        <v>25.41</v>
      </c>
      <c r="G489">
        <v>-18.64</v>
      </c>
      <c r="H489">
        <v>1.01</v>
      </c>
      <c r="I489">
        <v>3.19</v>
      </c>
      <c r="J489">
        <v>53.51</v>
      </c>
      <c r="K489">
        <v>1693.84</v>
      </c>
      <c r="L489">
        <v>50.46</v>
      </c>
      <c r="M489">
        <v>1.59</v>
      </c>
      <c r="N489">
        <v>9.4700000000000006</v>
      </c>
    </row>
    <row r="490" spans="1:14">
      <c r="A490" s="28">
        <v>205</v>
      </c>
      <c r="B490" t="s">
        <v>2417</v>
      </c>
      <c r="C490" t="s">
        <v>348</v>
      </c>
      <c r="D490">
        <v>2155.52</v>
      </c>
      <c r="E490">
        <v>14.23</v>
      </c>
      <c r="F490">
        <v>55.5</v>
      </c>
      <c r="G490">
        <v>48.24</v>
      </c>
      <c r="H490">
        <v>8.69</v>
      </c>
      <c r="I490">
        <v>1786.29</v>
      </c>
      <c r="J490">
        <v>200.71</v>
      </c>
      <c r="K490">
        <v>412.55</v>
      </c>
      <c r="N490">
        <v>0</v>
      </c>
    </row>
    <row r="491" spans="1:14">
      <c r="A491" s="28">
        <v>675</v>
      </c>
      <c r="B491" t="s">
        <v>1293</v>
      </c>
      <c r="C491" t="s">
        <v>348</v>
      </c>
      <c r="D491">
        <v>217.62</v>
      </c>
      <c r="E491">
        <v>376.1</v>
      </c>
      <c r="F491">
        <v>17.8</v>
      </c>
      <c r="G491" t="s">
        <v>350</v>
      </c>
      <c r="H491">
        <v>1.27</v>
      </c>
      <c r="I491">
        <v>4.08</v>
      </c>
      <c r="J491">
        <v>92.64</v>
      </c>
      <c r="K491">
        <v>2380.4899999999998</v>
      </c>
      <c r="L491">
        <v>13.17</v>
      </c>
      <c r="M491">
        <v>0.51</v>
      </c>
      <c r="N491">
        <v>4.8</v>
      </c>
    </row>
    <row r="492" spans="1:14">
      <c r="A492" s="28">
        <v>849</v>
      </c>
      <c r="B492" t="s">
        <v>1628</v>
      </c>
      <c r="C492" t="s">
        <v>347</v>
      </c>
      <c r="D492">
        <v>218.08</v>
      </c>
      <c r="E492">
        <v>196.87</v>
      </c>
      <c r="F492">
        <v>12.65</v>
      </c>
      <c r="G492">
        <v>-22.02</v>
      </c>
      <c r="H492">
        <v>3.39</v>
      </c>
      <c r="I492">
        <v>10.81</v>
      </c>
      <c r="J492">
        <v>1526.94</v>
      </c>
      <c r="K492">
        <v>14843.31</v>
      </c>
      <c r="L492">
        <v>17.420000000000002</v>
      </c>
      <c r="M492">
        <v>1.79</v>
      </c>
      <c r="N492">
        <v>11.92</v>
      </c>
    </row>
    <row r="493" spans="1:14">
      <c r="A493" s="28">
        <v>225</v>
      </c>
      <c r="B493" t="s">
        <v>2493</v>
      </c>
      <c r="C493" t="s">
        <v>348</v>
      </c>
      <c r="D493">
        <v>219.65</v>
      </c>
      <c r="E493">
        <v>389.67</v>
      </c>
      <c r="F493">
        <v>50.2</v>
      </c>
      <c r="G493" t="s">
        <v>2788</v>
      </c>
      <c r="H493">
        <v>-1.93</v>
      </c>
      <c r="I493">
        <v>-6.15</v>
      </c>
      <c r="J493">
        <v>-132.6</v>
      </c>
      <c r="K493">
        <v>2114.23</v>
      </c>
      <c r="M493">
        <v>1.41</v>
      </c>
      <c r="N493">
        <v>43.08</v>
      </c>
    </row>
    <row r="494" spans="1:14">
      <c r="A494" s="28">
        <v>381</v>
      </c>
      <c r="B494" t="s">
        <v>2820</v>
      </c>
      <c r="C494" t="s">
        <v>348</v>
      </c>
      <c r="D494">
        <v>219.89</v>
      </c>
      <c r="E494">
        <v>839.75</v>
      </c>
      <c r="F494">
        <v>32.6</v>
      </c>
      <c r="G494" t="s">
        <v>350</v>
      </c>
      <c r="H494">
        <v>1.47</v>
      </c>
      <c r="I494">
        <v>4.74</v>
      </c>
      <c r="J494">
        <v>212.6</v>
      </c>
      <c r="K494">
        <v>4698.7299999999996</v>
      </c>
      <c r="L494">
        <v>87.73</v>
      </c>
      <c r="M494">
        <v>3.97</v>
      </c>
      <c r="N494">
        <v>20.85</v>
      </c>
    </row>
    <row r="495" spans="1:14">
      <c r="A495" s="28">
        <v>51</v>
      </c>
      <c r="B495" t="s">
        <v>1367</v>
      </c>
      <c r="C495" t="s">
        <v>347</v>
      </c>
      <c r="D495">
        <v>22.14</v>
      </c>
      <c r="E495">
        <v>1414.24</v>
      </c>
      <c r="F495">
        <v>192.7</v>
      </c>
      <c r="G495">
        <v>-42.78</v>
      </c>
      <c r="H495">
        <v>6.78</v>
      </c>
      <c r="I495">
        <v>8.92</v>
      </c>
      <c r="J495">
        <v>3224.16</v>
      </c>
      <c r="K495">
        <v>37855.919999999998</v>
      </c>
      <c r="L495">
        <v>22.58</v>
      </c>
      <c r="M495">
        <v>1.92</v>
      </c>
      <c r="N495">
        <v>50.86</v>
      </c>
    </row>
    <row r="496" spans="1:14">
      <c r="A496" s="28">
        <v>958</v>
      </c>
      <c r="B496" t="s">
        <v>1062</v>
      </c>
      <c r="C496" t="s">
        <v>348</v>
      </c>
      <c r="D496">
        <v>22.15</v>
      </c>
      <c r="E496">
        <v>1773.25</v>
      </c>
      <c r="F496">
        <v>9.92</v>
      </c>
      <c r="G496" t="s">
        <v>350</v>
      </c>
      <c r="H496">
        <v>1.46</v>
      </c>
      <c r="I496">
        <v>1.78</v>
      </c>
      <c r="J496">
        <v>165.33</v>
      </c>
      <c r="K496">
        <v>9366.26</v>
      </c>
      <c r="L496">
        <v>28.61</v>
      </c>
      <c r="M496">
        <v>0.51</v>
      </c>
      <c r="N496">
        <v>12.58</v>
      </c>
    </row>
    <row r="497" spans="1:14">
      <c r="A497" s="28">
        <v>128</v>
      </c>
      <c r="B497" t="s">
        <v>300</v>
      </c>
      <c r="C497" t="s">
        <v>348</v>
      </c>
      <c r="D497">
        <v>22.18</v>
      </c>
      <c r="E497">
        <v>1488.45</v>
      </c>
      <c r="F497">
        <v>82.34</v>
      </c>
      <c r="G497">
        <v>80.8</v>
      </c>
      <c r="H497">
        <v>5.44</v>
      </c>
      <c r="I497">
        <v>6.79</v>
      </c>
      <c r="J497">
        <v>466.12</v>
      </c>
      <c r="K497">
        <v>7942.26</v>
      </c>
      <c r="L497">
        <v>8.1999999999999993</v>
      </c>
      <c r="M497">
        <v>0.48</v>
      </c>
      <c r="N497">
        <v>6.23</v>
      </c>
    </row>
    <row r="498" spans="1:14">
      <c r="A498" s="28">
        <v>618</v>
      </c>
      <c r="B498" t="s">
        <v>2238</v>
      </c>
      <c r="C498" t="s">
        <v>348</v>
      </c>
      <c r="D498">
        <v>22.32</v>
      </c>
      <c r="E498">
        <v>1080.04</v>
      </c>
      <c r="F498">
        <v>19.95</v>
      </c>
      <c r="G498" t="s">
        <v>2788</v>
      </c>
      <c r="H498">
        <v>-1.3</v>
      </c>
      <c r="I498">
        <v>-1.68</v>
      </c>
      <c r="J498">
        <v>-20.329999999999998</v>
      </c>
      <c r="K498">
        <v>1212.55</v>
      </c>
      <c r="M498">
        <v>0.47</v>
      </c>
      <c r="N498">
        <v>19.02</v>
      </c>
    </row>
    <row r="499" spans="1:14">
      <c r="A499" s="28">
        <v>147</v>
      </c>
      <c r="B499" t="s">
        <v>1605</v>
      </c>
      <c r="C499" t="s">
        <v>348</v>
      </c>
      <c r="D499">
        <v>22.54</v>
      </c>
      <c r="E499">
        <v>1095.07</v>
      </c>
      <c r="F499">
        <v>73.010000000000005</v>
      </c>
      <c r="G499">
        <v>260.73</v>
      </c>
      <c r="H499">
        <v>13.79</v>
      </c>
      <c r="I499">
        <v>17.2</v>
      </c>
      <c r="J499">
        <v>922.54</v>
      </c>
      <c r="K499">
        <v>5991.97</v>
      </c>
      <c r="L499">
        <v>36.200000000000003</v>
      </c>
      <c r="M499">
        <v>5.57</v>
      </c>
      <c r="N499">
        <v>33.18</v>
      </c>
    </row>
    <row r="500" spans="1:14">
      <c r="A500" s="28">
        <v>1005</v>
      </c>
      <c r="B500" t="s">
        <v>1015</v>
      </c>
      <c r="C500" t="s">
        <v>348</v>
      </c>
      <c r="D500">
        <v>22.54</v>
      </c>
      <c r="E500">
        <v>2099.23</v>
      </c>
      <c r="F500">
        <v>9.06</v>
      </c>
      <c r="G500">
        <v>318.77999999999997</v>
      </c>
      <c r="H500">
        <v>9.61</v>
      </c>
      <c r="I500">
        <v>11.7</v>
      </c>
      <c r="J500">
        <v>1221.6600000000001</v>
      </c>
      <c r="K500">
        <v>10996.13</v>
      </c>
      <c r="L500">
        <v>6.85</v>
      </c>
      <c r="M500">
        <v>0.76</v>
      </c>
      <c r="N500">
        <v>11.56</v>
      </c>
    </row>
    <row r="501" spans="1:14">
      <c r="A501" s="28">
        <v>365</v>
      </c>
      <c r="B501" t="s">
        <v>1269</v>
      </c>
      <c r="C501" t="s">
        <v>348</v>
      </c>
      <c r="D501">
        <v>22.6</v>
      </c>
      <c r="E501">
        <v>4267.68</v>
      </c>
      <c r="F501">
        <v>33.9</v>
      </c>
      <c r="G501">
        <v>20.11</v>
      </c>
      <c r="H501">
        <v>6.23</v>
      </c>
      <c r="I501">
        <v>7.38</v>
      </c>
      <c r="J501">
        <v>1563.63</v>
      </c>
      <c r="K501">
        <v>22213.47</v>
      </c>
      <c r="L501">
        <v>28.04</v>
      </c>
      <c r="M501">
        <v>1.97</v>
      </c>
      <c r="N501">
        <v>16.68</v>
      </c>
    </row>
    <row r="502" spans="1:14">
      <c r="A502" s="28">
        <v>917</v>
      </c>
      <c r="B502" t="s">
        <v>137</v>
      </c>
      <c r="C502" t="s">
        <v>347</v>
      </c>
      <c r="D502">
        <v>22.67</v>
      </c>
      <c r="E502">
        <v>801.84</v>
      </c>
      <c r="F502">
        <v>10.91</v>
      </c>
      <c r="G502">
        <v>32.159999999999997</v>
      </c>
      <c r="H502">
        <v>8.8000000000000007</v>
      </c>
      <c r="I502">
        <v>10.97</v>
      </c>
      <c r="J502">
        <v>574.29999999999995</v>
      </c>
      <c r="K502">
        <v>5479.64</v>
      </c>
      <c r="L502">
        <v>3.81</v>
      </c>
      <c r="M502">
        <v>0.4</v>
      </c>
      <c r="N502">
        <v>2.63</v>
      </c>
    </row>
    <row r="503" spans="1:14">
      <c r="A503" s="28">
        <v>486</v>
      </c>
      <c r="B503" t="s">
        <v>2309</v>
      </c>
      <c r="C503" t="s">
        <v>347</v>
      </c>
      <c r="D503">
        <v>223.16</v>
      </c>
      <c r="E503">
        <v>118.07</v>
      </c>
      <c r="F503">
        <v>26.25</v>
      </c>
      <c r="G503">
        <v>-10.83</v>
      </c>
      <c r="H503">
        <v>6.24</v>
      </c>
      <c r="I503">
        <v>19.850000000000001</v>
      </c>
      <c r="J503">
        <v>1966.89</v>
      </c>
      <c r="K503">
        <v>10903.57</v>
      </c>
      <c r="L503">
        <v>4.46</v>
      </c>
      <c r="M503">
        <v>0.81</v>
      </c>
      <c r="N503">
        <v>6.24</v>
      </c>
    </row>
    <row r="504" spans="1:14">
      <c r="A504" s="28">
        <v>457</v>
      </c>
      <c r="B504" t="s">
        <v>1501</v>
      </c>
      <c r="C504" t="s">
        <v>348</v>
      </c>
      <c r="D504">
        <v>224.11</v>
      </c>
      <c r="E504">
        <v>726.12</v>
      </c>
      <c r="F504">
        <v>27.73</v>
      </c>
      <c r="G504">
        <v>711.95</v>
      </c>
      <c r="H504">
        <v>7.47</v>
      </c>
      <c r="I504">
        <v>24.38</v>
      </c>
      <c r="J504">
        <v>895.84</v>
      </c>
      <c r="K504">
        <v>4130.59</v>
      </c>
      <c r="L504">
        <v>17.36</v>
      </c>
      <c r="M504">
        <v>3.76</v>
      </c>
      <c r="N504">
        <v>26.72</v>
      </c>
    </row>
    <row r="505" spans="1:14">
      <c r="A505" s="28">
        <v>729</v>
      </c>
      <c r="B505" t="s">
        <v>2540</v>
      </c>
      <c r="C505" t="s">
        <v>348</v>
      </c>
      <c r="D505">
        <v>226.49</v>
      </c>
      <c r="E505">
        <v>326.43</v>
      </c>
      <c r="F505">
        <v>16.010000000000002</v>
      </c>
      <c r="G505">
        <v>-33.11</v>
      </c>
      <c r="H505">
        <v>1</v>
      </c>
      <c r="I505">
        <v>3.38</v>
      </c>
      <c r="J505">
        <v>70.11</v>
      </c>
      <c r="K505">
        <v>2132.15</v>
      </c>
      <c r="L505">
        <v>39.01</v>
      </c>
      <c r="M505">
        <v>1.28</v>
      </c>
      <c r="N505">
        <v>12.16</v>
      </c>
    </row>
    <row r="506" spans="1:14">
      <c r="A506" s="28">
        <v>1040</v>
      </c>
      <c r="B506" t="s">
        <v>2358</v>
      </c>
      <c r="C506" t="s">
        <v>348</v>
      </c>
      <c r="D506">
        <v>227.97</v>
      </c>
      <c r="E506">
        <v>385.55</v>
      </c>
      <c r="F506">
        <v>8.23</v>
      </c>
      <c r="G506" t="s">
        <v>349</v>
      </c>
      <c r="H506">
        <v>-33.770000000000003</v>
      </c>
      <c r="I506">
        <v>-70.55</v>
      </c>
      <c r="J506">
        <v>-2432.1</v>
      </c>
      <c r="K506">
        <v>2427.7399999999998</v>
      </c>
      <c r="M506">
        <v>28.42</v>
      </c>
      <c r="N506">
        <v>106.8</v>
      </c>
    </row>
    <row r="507" spans="1:14">
      <c r="A507" s="28">
        <v>394</v>
      </c>
      <c r="B507" t="s">
        <v>2213</v>
      </c>
      <c r="C507" t="s">
        <v>347</v>
      </c>
      <c r="D507">
        <v>228.74</v>
      </c>
      <c r="E507">
        <v>1073.55</v>
      </c>
      <c r="F507">
        <v>31.91</v>
      </c>
      <c r="G507" t="s">
        <v>350</v>
      </c>
      <c r="H507">
        <v>0.13</v>
      </c>
      <c r="I507">
        <v>0.41</v>
      </c>
      <c r="J507">
        <v>240.27</v>
      </c>
      <c r="K507">
        <v>58677.51</v>
      </c>
      <c r="L507">
        <v>536.9</v>
      </c>
      <c r="M507">
        <v>2.2000000000000002</v>
      </c>
      <c r="N507">
        <v>29.26</v>
      </c>
    </row>
    <row r="508" spans="1:14">
      <c r="A508" s="28">
        <v>337</v>
      </c>
      <c r="B508" t="s">
        <v>1946</v>
      </c>
      <c r="C508" t="s">
        <v>348</v>
      </c>
      <c r="D508">
        <v>229.84</v>
      </c>
      <c r="E508">
        <v>465.55</v>
      </c>
      <c r="F508">
        <v>36.86</v>
      </c>
      <c r="G508" t="s">
        <v>350</v>
      </c>
      <c r="H508">
        <v>2.34</v>
      </c>
      <c r="I508">
        <v>7.61</v>
      </c>
      <c r="J508">
        <v>180.22</v>
      </c>
      <c r="K508">
        <v>2827.73</v>
      </c>
      <c r="L508">
        <v>45.11</v>
      </c>
      <c r="M508">
        <v>2.88</v>
      </c>
      <c r="N508">
        <v>13.46</v>
      </c>
    </row>
    <row r="509" spans="1:14">
      <c r="A509" s="28">
        <v>78</v>
      </c>
      <c r="B509" t="s">
        <v>1218</v>
      </c>
      <c r="C509" t="s">
        <v>348</v>
      </c>
      <c r="D509">
        <v>23.03</v>
      </c>
      <c r="E509">
        <v>967.2</v>
      </c>
      <c r="F509">
        <v>136.21</v>
      </c>
      <c r="G509">
        <v>-97.99</v>
      </c>
      <c r="H509">
        <v>7.0000000000000007E-2</v>
      </c>
      <c r="I509">
        <v>0.09</v>
      </c>
      <c r="J509">
        <v>4.2</v>
      </c>
      <c r="K509">
        <v>5336</v>
      </c>
      <c r="L509">
        <v>975.03</v>
      </c>
      <c r="M509">
        <v>0.77</v>
      </c>
    </row>
    <row r="510" spans="1:14">
      <c r="A510" s="28">
        <v>762</v>
      </c>
      <c r="B510" t="s">
        <v>236</v>
      </c>
      <c r="C510" t="s">
        <v>347</v>
      </c>
      <c r="D510">
        <v>23.22</v>
      </c>
      <c r="E510">
        <v>3057.83</v>
      </c>
      <c r="F510">
        <v>15.13</v>
      </c>
      <c r="G510">
        <v>29.03</v>
      </c>
      <c r="H510">
        <v>4.37</v>
      </c>
      <c r="I510">
        <v>5.35</v>
      </c>
      <c r="J510">
        <v>801.83</v>
      </c>
      <c r="K510">
        <v>15789.17</v>
      </c>
      <c r="L510">
        <v>5.53</v>
      </c>
      <c r="M510">
        <v>0.28000000000000003</v>
      </c>
      <c r="N510">
        <v>6.76</v>
      </c>
    </row>
    <row r="511" spans="1:14">
      <c r="A511" s="28">
        <v>979</v>
      </c>
      <c r="B511" t="s">
        <v>791</v>
      </c>
      <c r="C511" t="s">
        <v>347</v>
      </c>
      <c r="D511">
        <v>23.24</v>
      </c>
      <c r="E511">
        <v>1425.28</v>
      </c>
      <c r="F511">
        <v>9.56</v>
      </c>
      <c r="G511">
        <v>182.52</v>
      </c>
      <c r="H511">
        <v>9.77</v>
      </c>
      <c r="I511">
        <v>12.48</v>
      </c>
      <c r="J511">
        <v>1764.91</v>
      </c>
      <c r="K511">
        <v>15252.76</v>
      </c>
      <c r="L511">
        <v>10.55</v>
      </c>
      <c r="M511">
        <v>1.22</v>
      </c>
      <c r="N511">
        <v>6.39</v>
      </c>
    </row>
    <row r="512" spans="1:14">
      <c r="A512" s="28">
        <v>37</v>
      </c>
      <c r="B512" t="s">
        <v>1717</v>
      </c>
      <c r="C512" t="s">
        <v>348</v>
      </c>
      <c r="D512">
        <v>23.37</v>
      </c>
      <c r="E512">
        <v>46.66</v>
      </c>
      <c r="F512">
        <v>285.89</v>
      </c>
      <c r="G512" t="s">
        <v>2788</v>
      </c>
      <c r="H512">
        <v>-9.0299999999999994</v>
      </c>
      <c r="I512">
        <v>-11.81</v>
      </c>
      <c r="J512">
        <v>-84.03</v>
      </c>
      <c r="K512">
        <v>733.31</v>
      </c>
      <c r="M512">
        <v>0.82</v>
      </c>
      <c r="N512">
        <v>51.36</v>
      </c>
    </row>
    <row r="513" spans="1:14">
      <c r="A513" s="28">
        <v>1073</v>
      </c>
      <c r="B513" t="s">
        <v>200</v>
      </c>
      <c r="C513" t="s">
        <v>347</v>
      </c>
      <c r="D513">
        <v>23.38</v>
      </c>
      <c r="E513">
        <v>1578.04</v>
      </c>
      <c r="F513">
        <v>7.63</v>
      </c>
      <c r="G513">
        <v>26</v>
      </c>
      <c r="H513">
        <v>3.47</v>
      </c>
      <c r="I513">
        <v>4.47</v>
      </c>
      <c r="J513">
        <v>368.74</v>
      </c>
      <c r="K513">
        <v>8390.18</v>
      </c>
      <c r="L513">
        <v>7.15</v>
      </c>
      <c r="M513">
        <v>0.31</v>
      </c>
      <c r="N513">
        <v>4.87</v>
      </c>
    </row>
    <row r="514" spans="1:14">
      <c r="A514" s="28">
        <v>156</v>
      </c>
      <c r="B514" t="s">
        <v>2053</v>
      </c>
      <c r="C514" t="s">
        <v>348</v>
      </c>
      <c r="D514">
        <v>23.54</v>
      </c>
      <c r="E514">
        <v>400.36</v>
      </c>
      <c r="F514">
        <v>68.5</v>
      </c>
      <c r="G514">
        <v>-41.94</v>
      </c>
      <c r="H514">
        <v>7.16</v>
      </c>
      <c r="I514">
        <v>9.1199999999999992</v>
      </c>
      <c r="J514">
        <v>33.43</v>
      </c>
      <c r="K514">
        <v>500.36</v>
      </c>
      <c r="L514">
        <v>32.01</v>
      </c>
      <c r="M514">
        <v>2.14</v>
      </c>
      <c r="N514">
        <v>14.63</v>
      </c>
    </row>
    <row r="515" spans="1:14">
      <c r="A515" s="28">
        <v>672</v>
      </c>
      <c r="B515" t="s">
        <v>319</v>
      </c>
      <c r="C515" t="s">
        <v>348</v>
      </c>
      <c r="D515">
        <v>23.63</v>
      </c>
      <c r="E515">
        <v>1400.77</v>
      </c>
      <c r="F515">
        <v>17.89</v>
      </c>
      <c r="G515">
        <v>32.840000000000003</v>
      </c>
      <c r="H515">
        <v>6.17</v>
      </c>
      <c r="I515">
        <v>7.78</v>
      </c>
      <c r="J515">
        <v>560.39</v>
      </c>
      <c r="K515">
        <v>7503.87</v>
      </c>
      <c r="L515">
        <v>7.23</v>
      </c>
      <c r="M515">
        <v>0.54</v>
      </c>
      <c r="N515">
        <v>4.9400000000000004</v>
      </c>
    </row>
    <row r="516" spans="1:14">
      <c r="A516" s="28">
        <v>903</v>
      </c>
      <c r="B516" t="s">
        <v>2715</v>
      </c>
      <c r="C516" t="s">
        <v>348</v>
      </c>
      <c r="D516">
        <v>23.66</v>
      </c>
      <c r="E516">
        <v>2064.11</v>
      </c>
      <c r="F516">
        <v>11.14</v>
      </c>
      <c r="G516">
        <v>-7.74</v>
      </c>
      <c r="H516">
        <v>9.7100000000000009</v>
      </c>
      <c r="I516">
        <v>13.64</v>
      </c>
      <c r="J516">
        <v>1223.8399999999999</v>
      </c>
      <c r="K516">
        <v>10820.53</v>
      </c>
      <c r="L516">
        <v>19.809999999999999</v>
      </c>
      <c r="M516">
        <v>2.2400000000000002</v>
      </c>
      <c r="N516">
        <v>79.5</v>
      </c>
    </row>
    <row r="517" spans="1:14">
      <c r="A517" s="28">
        <v>1032</v>
      </c>
      <c r="B517" t="s">
        <v>1065</v>
      </c>
      <c r="C517" t="s">
        <v>348</v>
      </c>
      <c r="D517">
        <v>23.78</v>
      </c>
      <c r="E517">
        <v>3304.5</v>
      </c>
      <c r="F517">
        <v>8.39</v>
      </c>
      <c r="G517">
        <v>64.06</v>
      </c>
      <c r="H517">
        <v>11.04</v>
      </c>
      <c r="I517">
        <v>13.84</v>
      </c>
      <c r="J517">
        <v>1974.87</v>
      </c>
      <c r="K517">
        <v>17022.52</v>
      </c>
      <c r="L517">
        <v>13.42</v>
      </c>
      <c r="M517">
        <v>1.56</v>
      </c>
      <c r="N517">
        <v>10.53</v>
      </c>
    </row>
    <row r="518" spans="1:14">
      <c r="A518" s="28">
        <v>219</v>
      </c>
      <c r="B518" t="s">
        <v>1938</v>
      </c>
      <c r="C518" t="s">
        <v>348</v>
      </c>
      <c r="D518">
        <v>23.84</v>
      </c>
      <c r="E518">
        <v>630.09</v>
      </c>
      <c r="F518">
        <v>51.8</v>
      </c>
      <c r="G518" t="s">
        <v>350</v>
      </c>
      <c r="H518">
        <v>8.25</v>
      </c>
      <c r="I518">
        <v>10.57</v>
      </c>
      <c r="J518">
        <v>342.96</v>
      </c>
      <c r="K518">
        <v>3650.45</v>
      </c>
      <c r="L518">
        <v>100.45</v>
      </c>
      <c r="M518">
        <v>9.44</v>
      </c>
      <c r="N518">
        <v>281.87</v>
      </c>
    </row>
    <row r="519" spans="1:14">
      <c r="A519" s="28">
        <v>854</v>
      </c>
      <c r="B519" t="s">
        <v>133</v>
      </c>
      <c r="C519" t="s">
        <v>347</v>
      </c>
      <c r="D519">
        <v>23.99</v>
      </c>
      <c r="E519">
        <v>1376.41</v>
      </c>
      <c r="F519">
        <v>12.5</v>
      </c>
      <c r="G519">
        <v>103.21</v>
      </c>
      <c r="H519">
        <v>14</v>
      </c>
      <c r="I519">
        <v>16.86</v>
      </c>
      <c r="J519">
        <v>1107.5899999999999</v>
      </c>
      <c r="K519">
        <v>7382.07</v>
      </c>
      <c r="L519">
        <v>7.3</v>
      </c>
      <c r="M519">
        <v>1.1000000000000001</v>
      </c>
      <c r="N519">
        <v>6.26</v>
      </c>
    </row>
    <row r="520" spans="1:14">
      <c r="A520" s="28">
        <v>816</v>
      </c>
      <c r="B520" t="s">
        <v>1965</v>
      </c>
      <c r="C520" t="s">
        <v>348</v>
      </c>
      <c r="D520">
        <v>231.06</v>
      </c>
      <c r="E520">
        <v>88.93</v>
      </c>
      <c r="F520">
        <v>13.65</v>
      </c>
      <c r="G520" t="s">
        <v>2788</v>
      </c>
      <c r="H520">
        <v>-7.89</v>
      </c>
      <c r="I520">
        <v>-23.56</v>
      </c>
      <c r="J520">
        <v>-45.31</v>
      </c>
      <c r="K520">
        <v>188.93</v>
      </c>
      <c r="M520">
        <v>1.61</v>
      </c>
    </row>
    <row r="521" spans="1:14">
      <c r="A521" s="28">
        <v>882</v>
      </c>
      <c r="B521" t="s">
        <v>2649</v>
      </c>
      <c r="C521" t="s">
        <v>348</v>
      </c>
      <c r="D521">
        <v>231.41</v>
      </c>
      <c r="E521">
        <v>542.22</v>
      </c>
      <c r="F521">
        <v>11.56</v>
      </c>
      <c r="G521">
        <v>-86.76</v>
      </c>
      <c r="H521">
        <v>0.36</v>
      </c>
      <c r="I521">
        <v>1.19</v>
      </c>
      <c r="J521">
        <v>35.26</v>
      </c>
      <c r="K521">
        <v>3211.11</v>
      </c>
      <c r="L521">
        <v>76.86</v>
      </c>
      <c r="M521">
        <v>0.84</v>
      </c>
      <c r="N521">
        <v>9.91</v>
      </c>
    </row>
    <row r="522" spans="1:14">
      <c r="A522" s="28">
        <v>423</v>
      </c>
      <c r="B522" t="s">
        <v>1336</v>
      </c>
      <c r="C522" t="s">
        <v>347</v>
      </c>
      <c r="D522">
        <v>231.76</v>
      </c>
      <c r="E522">
        <v>351.07</v>
      </c>
      <c r="F522">
        <v>30.22</v>
      </c>
      <c r="G522">
        <v>-48.44</v>
      </c>
      <c r="H522">
        <v>0.77</v>
      </c>
      <c r="I522">
        <v>2.6</v>
      </c>
      <c r="J522">
        <v>57.84</v>
      </c>
      <c r="K522">
        <v>2255.33</v>
      </c>
      <c r="L522">
        <v>24.91</v>
      </c>
      <c r="M522">
        <v>0.64</v>
      </c>
      <c r="N522">
        <v>11.34</v>
      </c>
    </row>
    <row r="523" spans="1:14">
      <c r="A523" s="28">
        <v>212</v>
      </c>
      <c r="B523" t="s">
        <v>1641</v>
      </c>
      <c r="C523" t="s">
        <v>347</v>
      </c>
      <c r="D523">
        <v>233.83</v>
      </c>
      <c r="E523">
        <v>163.25</v>
      </c>
      <c r="F523">
        <v>54.14</v>
      </c>
      <c r="G523" t="s">
        <v>350</v>
      </c>
      <c r="H523">
        <v>0.86</v>
      </c>
      <c r="I523">
        <v>4.68</v>
      </c>
      <c r="J523">
        <v>546.05999999999995</v>
      </c>
      <c r="K523">
        <v>13205.64</v>
      </c>
      <c r="L523">
        <v>45.97</v>
      </c>
      <c r="M523">
        <v>1.9</v>
      </c>
    </row>
    <row r="524" spans="1:14">
      <c r="A524" s="28">
        <v>105</v>
      </c>
      <c r="B524" t="s">
        <v>1597</v>
      </c>
      <c r="C524" t="s">
        <v>348</v>
      </c>
      <c r="D524">
        <v>235.11</v>
      </c>
      <c r="E524">
        <v>28.94</v>
      </c>
      <c r="F524">
        <v>109.59</v>
      </c>
      <c r="G524" t="s">
        <v>2788</v>
      </c>
      <c r="H524">
        <v>-48.75</v>
      </c>
      <c r="I524">
        <v>-142.15</v>
      </c>
      <c r="J524">
        <v>-960.8</v>
      </c>
      <c r="K524">
        <v>644.71</v>
      </c>
      <c r="M524">
        <v>8.84</v>
      </c>
    </row>
    <row r="525" spans="1:14">
      <c r="A525" s="28">
        <v>308</v>
      </c>
      <c r="B525" t="s">
        <v>1307</v>
      </c>
      <c r="C525" t="s">
        <v>348</v>
      </c>
      <c r="D525">
        <v>237.38</v>
      </c>
      <c r="E525">
        <v>512.19000000000005</v>
      </c>
      <c r="F525">
        <v>39.83</v>
      </c>
      <c r="G525">
        <v>-3.25</v>
      </c>
      <c r="H525">
        <v>6.19</v>
      </c>
      <c r="I525">
        <v>18.84</v>
      </c>
      <c r="J525">
        <v>511.72</v>
      </c>
      <c r="K525">
        <v>3060.97</v>
      </c>
      <c r="L525">
        <v>15.12</v>
      </c>
      <c r="M525">
        <v>2.5299999999999998</v>
      </c>
      <c r="N525">
        <v>12.41</v>
      </c>
    </row>
    <row r="526" spans="1:14">
      <c r="A526" s="28">
        <v>25</v>
      </c>
      <c r="B526" t="s">
        <v>2054</v>
      </c>
      <c r="C526" t="s">
        <v>348</v>
      </c>
      <c r="D526">
        <v>237.53</v>
      </c>
      <c r="E526">
        <v>912.11</v>
      </c>
      <c r="F526">
        <v>416.65</v>
      </c>
      <c r="G526" t="s">
        <v>350</v>
      </c>
      <c r="H526">
        <v>12.18</v>
      </c>
      <c r="I526">
        <v>42.02</v>
      </c>
      <c r="J526">
        <v>1217.0999999999999</v>
      </c>
      <c r="K526">
        <v>5060.5600000000004</v>
      </c>
      <c r="L526">
        <v>12.52</v>
      </c>
      <c r="M526">
        <v>3.01</v>
      </c>
      <c r="N526">
        <v>26.37</v>
      </c>
    </row>
    <row r="527" spans="1:14">
      <c r="A527" s="28">
        <v>1057</v>
      </c>
      <c r="B527" t="s">
        <v>2211</v>
      </c>
      <c r="C527" t="s">
        <v>347</v>
      </c>
      <c r="D527">
        <v>238.5</v>
      </c>
      <c r="E527">
        <v>75.64</v>
      </c>
      <c r="F527">
        <v>7.96</v>
      </c>
      <c r="G527">
        <v>88.17</v>
      </c>
      <c r="H527">
        <v>2.38</v>
      </c>
      <c r="I527">
        <v>8.2200000000000006</v>
      </c>
      <c r="J527">
        <v>727.58</v>
      </c>
      <c r="K527">
        <v>9191.48</v>
      </c>
      <c r="L527">
        <v>2.82</v>
      </c>
      <c r="M527">
        <v>0.22</v>
      </c>
      <c r="N527">
        <v>8.6</v>
      </c>
    </row>
    <row r="528" spans="1:14">
      <c r="A528" s="28">
        <v>842</v>
      </c>
      <c r="B528" t="s">
        <v>2249</v>
      </c>
      <c r="C528" t="s">
        <v>347</v>
      </c>
      <c r="D528">
        <v>239.12</v>
      </c>
      <c r="E528">
        <v>13.16</v>
      </c>
      <c r="F528">
        <v>12.88</v>
      </c>
      <c r="G528" t="s">
        <v>350</v>
      </c>
      <c r="H528">
        <v>0.25</v>
      </c>
      <c r="I528">
        <v>0.86</v>
      </c>
      <c r="J528">
        <v>4.74</v>
      </c>
      <c r="K528">
        <v>565.79999999999995</v>
      </c>
      <c r="L528">
        <v>282.48</v>
      </c>
      <c r="M528">
        <v>2.37</v>
      </c>
      <c r="N528">
        <v>13.76</v>
      </c>
    </row>
    <row r="529" spans="1:14">
      <c r="A529" s="28">
        <v>773</v>
      </c>
      <c r="B529" t="s">
        <v>1393</v>
      </c>
      <c r="C529" t="s">
        <v>347</v>
      </c>
      <c r="D529">
        <v>239.42</v>
      </c>
      <c r="E529">
        <v>480.14</v>
      </c>
      <c r="F529">
        <v>14.88</v>
      </c>
      <c r="G529" t="s">
        <v>350</v>
      </c>
      <c r="H529">
        <v>0.3</v>
      </c>
      <c r="I529">
        <v>1.06</v>
      </c>
      <c r="J529">
        <v>28.23</v>
      </c>
      <c r="K529">
        <v>2900.69</v>
      </c>
      <c r="L529">
        <v>51.2</v>
      </c>
      <c r="M529">
        <v>0.5</v>
      </c>
      <c r="N529">
        <v>18.739999999999998</v>
      </c>
    </row>
    <row r="530" spans="1:14">
      <c r="A530" s="28">
        <v>1070</v>
      </c>
      <c r="B530" t="s">
        <v>2862</v>
      </c>
      <c r="C530" t="s">
        <v>348</v>
      </c>
      <c r="D530">
        <v>24.03</v>
      </c>
      <c r="E530">
        <v>1545.88</v>
      </c>
      <c r="F530">
        <v>7.69</v>
      </c>
      <c r="G530">
        <v>-43.22</v>
      </c>
      <c r="H530">
        <v>6.13</v>
      </c>
      <c r="I530">
        <v>7.77</v>
      </c>
      <c r="J530">
        <v>605.95000000000005</v>
      </c>
      <c r="K530">
        <v>8111.7</v>
      </c>
      <c r="L530">
        <v>17.23</v>
      </c>
      <c r="M530">
        <v>1.29</v>
      </c>
      <c r="N530">
        <v>11.1</v>
      </c>
    </row>
    <row r="531" spans="1:14">
      <c r="A531" s="28">
        <v>556</v>
      </c>
      <c r="B531" t="s">
        <v>1388</v>
      </c>
      <c r="C531" t="s">
        <v>348</v>
      </c>
      <c r="D531">
        <v>24.18</v>
      </c>
      <c r="E531">
        <v>2724.43</v>
      </c>
      <c r="F531">
        <v>23.13</v>
      </c>
      <c r="G531">
        <v>29.8</v>
      </c>
      <c r="H531">
        <v>20.47</v>
      </c>
      <c r="I531">
        <v>26.07</v>
      </c>
      <c r="J531">
        <v>3264.56</v>
      </c>
      <c r="K531">
        <v>14122.16</v>
      </c>
      <c r="L531">
        <v>7.84</v>
      </c>
      <c r="M531">
        <v>1.81</v>
      </c>
      <c r="N531">
        <v>5.48</v>
      </c>
    </row>
    <row r="532" spans="1:14">
      <c r="A532" s="28">
        <v>961</v>
      </c>
      <c r="B532" t="s">
        <v>637</v>
      </c>
      <c r="C532" t="s">
        <v>348</v>
      </c>
      <c r="D532">
        <v>24.21</v>
      </c>
      <c r="E532">
        <v>2248.96</v>
      </c>
      <c r="F532">
        <v>9.89</v>
      </c>
      <c r="G532">
        <v>-49.91</v>
      </c>
      <c r="H532">
        <v>8.0399999999999991</v>
      </c>
      <c r="I532">
        <v>10.43</v>
      </c>
      <c r="J532">
        <v>1153.83</v>
      </c>
      <c r="K532">
        <v>11744.82</v>
      </c>
      <c r="L532">
        <v>9.5500000000000007</v>
      </c>
      <c r="M532">
        <v>0.94</v>
      </c>
      <c r="N532">
        <v>6.4</v>
      </c>
    </row>
    <row r="533" spans="1:14">
      <c r="A533" s="28">
        <v>232</v>
      </c>
      <c r="B533" t="s">
        <v>399</v>
      </c>
      <c r="C533" t="s">
        <v>348</v>
      </c>
      <c r="D533">
        <v>24.41</v>
      </c>
      <c r="E533">
        <v>2999.78</v>
      </c>
      <c r="F533">
        <v>49.41</v>
      </c>
      <c r="H533">
        <v>17.97</v>
      </c>
      <c r="I533">
        <v>20.75</v>
      </c>
    </row>
    <row r="534" spans="1:14">
      <c r="A534" s="28">
        <v>1119</v>
      </c>
      <c r="B534" t="s">
        <v>933</v>
      </c>
      <c r="C534" t="s">
        <v>347</v>
      </c>
      <c r="D534">
        <v>24.69</v>
      </c>
      <c r="E534">
        <v>2003.6</v>
      </c>
      <c r="F534">
        <v>6.47</v>
      </c>
      <c r="G534">
        <v>-13.56</v>
      </c>
      <c r="H534">
        <v>7.06</v>
      </c>
      <c r="I534">
        <v>8.91</v>
      </c>
      <c r="J534">
        <v>1798.12</v>
      </c>
      <c r="K534">
        <v>21036</v>
      </c>
      <c r="L534">
        <v>21.19</v>
      </c>
      <c r="M534">
        <v>1.81</v>
      </c>
      <c r="N534">
        <v>10.56</v>
      </c>
    </row>
    <row r="535" spans="1:14">
      <c r="A535" s="28">
        <v>611</v>
      </c>
      <c r="B535" t="s">
        <v>234</v>
      </c>
      <c r="C535" t="s">
        <v>347</v>
      </c>
      <c r="D535">
        <v>24.71</v>
      </c>
      <c r="E535">
        <v>2277.69</v>
      </c>
      <c r="F535">
        <v>20.11</v>
      </c>
      <c r="G535">
        <v>222.2</v>
      </c>
      <c r="H535">
        <v>8.19</v>
      </c>
      <c r="I535">
        <v>11.05</v>
      </c>
      <c r="J535">
        <v>2736.2</v>
      </c>
      <c r="K535">
        <v>25725.3</v>
      </c>
      <c r="L535">
        <v>3.95</v>
      </c>
      <c r="M535">
        <v>0.42</v>
      </c>
      <c r="N535">
        <v>13.18</v>
      </c>
    </row>
    <row r="536" spans="1:14">
      <c r="A536" s="28">
        <v>815</v>
      </c>
      <c r="B536" t="s">
        <v>2821</v>
      </c>
      <c r="C536" t="s">
        <v>348</v>
      </c>
      <c r="D536">
        <v>24.79</v>
      </c>
      <c r="E536">
        <v>512.70000000000005</v>
      </c>
      <c r="F536">
        <v>13.66</v>
      </c>
      <c r="G536">
        <v>68.989999999999995</v>
      </c>
      <c r="H536">
        <v>22.73</v>
      </c>
      <c r="I536">
        <v>29.79</v>
      </c>
      <c r="J536">
        <v>957</v>
      </c>
      <c r="K536">
        <v>3637.88</v>
      </c>
      <c r="L536">
        <v>8.1300000000000008</v>
      </c>
      <c r="M536">
        <v>2.14</v>
      </c>
      <c r="N536">
        <v>5.67</v>
      </c>
    </row>
    <row r="537" spans="1:14">
      <c r="A537" s="28">
        <v>66</v>
      </c>
      <c r="B537" t="s">
        <v>2265</v>
      </c>
      <c r="C537" t="s">
        <v>348</v>
      </c>
      <c r="D537">
        <v>24.8</v>
      </c>
      <c r="E537">
        <v>2242.21</v>
      </c>
      <c r="F537">
        <v>152.94</v>
      </c>
      <c r="G537">
        <v>333.22</v>
      </c>
      <c r="H537">
        <v>26.04</v>
      </c>
      <c r="I537">
        <v>31.76</v>
      </c>
      <c r="J537">
        <v>2815.44</v>
      </c>
      <c r="K537">
        <v>11711.07</v>
      </c>
      <c r="L537">
        <v>22.59</v>
      </c>
      <c r="M537">
        <v>5.43</v>
      </c>
      <c r="N537">
        <v>17.38</v>
      </c>
    </row>
    <row r="538" spans="1:14">
      <c r="A538" s="28">
        <v>250</v>
      </c>
      <c r="B538" t="s">
        <v>1653</v>
      </c>
      <c r="C538" t="s">
        <v>348</v>
      </c>
      <c r="D538">
        <v>24.81</v>
      </c>
      <c r="E538">
        <v>61.35</v>
      </c>
      <c r="F538">
        <v>46.22</v>
      </c>
      <c r="G538">
        <v>-27.94</v>
      </c>
      <c r="H538">
        <v>16.7</v>
      </c>
      <c r="I538">
        <v>21</v>
      </c>
      <c r="J538">
        <v>153.87</v>
      </c>
      <c r="K538">
        <v>806.76</v>
      </c>
      <c r="L538">
        <v>7.79</v>
      </c>
      <c r="M538">
        <v>1.49</v>
      </c>
      <c r="N538">
        <v>9.8699999999999992</v>
      </c>
    </row>
    <row r="539" spans="1:14">
      <c r="A539" s="28">
        <v>863</v>
      </c>
      <c r="B539" t="s">
        <v>2451</v>
      </c>
      <c r="C539" t="s">
        <v>348</v>
      </c>
      <c r="D539">
        <v>24.9</v>
      </c>
      <c r="E539">
        <v>883.44</v>
      </c>
      <c r="F539">
        <v>12.13</v>
      </c>
      <c r="G539" t="s">
        <v>349</v>
      </c>
      <c r="H539">
        <v>-9.16</v>
      </c>
      <c r="I539">
        <v>-11.12</v>
      </c>
      <c r="J539">
        <v>-573.4</v>
      </c>
      <c r="K539">
        <v>4917.1899999999996</v>
      </c>
      <c r="M539">
        <v>0.86</v>
      </c>
    </row>
    <row r="540" spans="1:14">
      <c r="A540" s="28">
        <v>493</v>
      </c>
      <c r="B540" t="s">
        <v>1384</v>
      </c>
      <c r="C540" t="s">
        <v>348</v>
      </c>
      <c r="D540">
        <v>240.26</v>
      </c>
      <c r="E540">
        <v>3373.64</v>
      </c>
      <c r="F540">
        <v>25.85</v>
      </c>
      <c r="G540">
        <v>-0.9</v>
      </c>
      <c r="H540">
        <v>5.18</v>
      </c>
      <c r="I540">
        <v>19.45</v>
      </c>
      <c r="J540">
        <v>2636.03</v>
      </c>
      <c r="K540">
        <v>17368.22</v>
      </c>
      <c r="L540">
        <v>19.12</v>
      </c>
      <c r="M540">
        <v>2.9</v>
      </c>
      <c r="N540">
        <v>15.36</v>
      </c>
    </row>
    <row r="541" spans="1:14">
      <c r="A541" s="28">
        <v>574</v>
      </c>
      <c r="B541" t="s">
        <v>1918</v>
      </c>
      <c r="C541" t="s">
        <v>348</v>
      </c>
      <c r="D541">
        <v>243.78</v>
      </c>
      <c r="E541">
        <v>11</v>
      </c>
      <c r="F541">
        <v>22.02</v>
      </c>
      <c r="G541" t="s">
        <v>350</v>
      </c>
      <c r="H541">
        <v>2.02</v>
      </c>
      <c r="I541">
        <v>8.34</v>
      </c>
      <c r="J541">
        <v>37.68</v>
      </c>
      <c r="K541">
        <v>554.98</v>
      </c>
      <c r="L541">
        <v>188.97</v>
      </c>
      <c r="M541">
        <v>12.83</v>
      </c>
      <c r="N541">
        <v>43.23</v>
      </c>
    </row>
    <row r="542" spans="1:14">
      <c r="A542" s="28">
        <v>239</v>
      </c>
      <c r="B542" t="s">
        <v>519</v>
      </c>
      <c r="C542" t="s">
        <v>347</v>
      </c>
      <c r="D542">
        <v>244.85</v>
      </c>
      <c r="E542">
        <v>12154.71</v>
      </c>
      <c r="F542">
        <v>48.21</v>
      </c>
      <c r="G542">
        <v>134.77000000000001</v>
      </c>
      <c r="H542">
        <v>16.399999999999999</v>
      </c>
      <c r="I542">
        <v>71.89</v>
      </c>
      <c r="J542">
        <v>5582.94</v>
      </c>
      <c r="K542">
        <v>10416.5</v>
      </c>
      <c r="N542">
        <v>1.9</v>
      </c>
    </row>
    <row r="543" spans="1:14">
      <c r="A543" s="28">
        <v>1047</v>
      </c>
      <c r="B543" t="s">
        <v>124</v>
      </c>
      <c r="C543" t="s">
        <v>347</v>
      </c>
      <c r="D543">
        <v>246.78</v>
      </c>
      <c r="E543">
        <v>168.68</v>
      </c>
      <c r="F543">
        <v>8.08</v>
      </c>
      <c r="G543">
        <v>-72.66</v>
      </c>
      <c r="H543">
        <v>0.39</v>
      </c>
      <c r="I543">
        <v>1.25</v>
      </c>
      <c r="J543">
        <v>176.07</v>
      </c>
      <c r="K543">
        <v>13434.1</v>
      </c>
      <c r="L543">
        <v>29.48</v>
      </c>
      <c r="M543">
        <v>0.39</v>
      </c>
      <c r="N543">
        <v>9.1999999999999993</v>
      </c>
    </row>
    <row r="544" spans="1:14">
      <c r="A544" s="28">
        <v>182</v>
      </c>
      <c r="B544" t="s">
        <v>2485</v>
      </c>
      <c r="C544" t="s">
        <v>348</v>
      </c>
      <c r="D544">
        <v>247.98</v>
      </c>
      <c r="E544">
        <v>26.75</v>
      </c>
      <c r="F544">
        <v>61.05</v>
      </c>
      <c r="G544" t="s">
        <v>2788</v>
      </c>
      <c r="H544">
        <v>-5.07</v>
      </c>
      <c r="I544">
        <v>-16.78</v>
      </c>
      <c r="J544">
        <v>-113.92</v>
      </c>
      <c r="K544">
        <v>633.76</v>
      </c>
      <c r="M544">
        <v>2.56</v>
      </c>
      <c r="N544">
        <v>44.23</v>
      </c>
    </row>
    <row r="545" spans="1:14">
      <c r="A545" s="28">
        <v>530</v>
      </c>
      <c r="B545" t="s">
        <v>2244</v>
      </c>
      <c r="C545" t="s">
        <v>348</v>
      </c>
      <c r="D545">
        <v>248.08</v>
      </c>
      <c r="E545">
        <v>269.69</v>
      </c>
      <c r="F545">
        <v>24.37</v>
      </c>
      <c r="G545">
        <v>772.29</v>
      </c>
      <c r="H545">
        <v>1.36</v>
      </c>
      <c r="I545">
        <v>4.34</v>
      </c>
      <c r="J545">
        <v>101</v>
      </c>
      <c r="K545">
        <v>1848.47</v>
      </c>
      <c r="L545">
        <v>24.16</v>
      </c>
      <c r="M545">
        <v>1.32</v>
      </c>
      <c r="N545">
        <v>16.02</v>
      </c>
    </row>
    <row r="546" spans="1:14">
      <c r="A546" s="28">
        <v>612</v>
      </c>
      <c r="B546" t="s">
        <v>1631</v>
      </c>
      <c r="C546" t="s">
        <v>347</v>
      </c>
      <c r="D546">
        <v>248.39</v>
      </c>
      <c r="E546">
        <v>1537.67</v>
      </c>
      <c r="F546">
        <v>20.100000000000001</v>
      </c>
      <c r="G546" t="s">
        <v>2788</v>
      </c>
      <c r="H546">
        <v>-8.68</v>
      </c>
      <c r="I546">
        <v>-25.7</v>
      </c>
      <c r="J546">
        <v>-2203.96</v>
      </c>
      <c r="K546">
        <v>7671.1</v>
      </c>
      <c r="M546">
        <v>0.43</v>
      </c>
    </row>
    <row r="547" spans="1:14">
      <c r="A547" s="28">
        <v>257</v>
      </c>
      <c r="B547" t="s">
        <v>1537</v>
      </c>
      <c r="C547" t="s">
        <v>348</v>
      </c>
      <c r="D547">
        <v>25</v>
      </c>
      <c r="E547">
        <v>264.32</v>
      </c>
      <c r="F547">
        <v>45.5</v>
      </c>
      <c r="G547" t="s">
        <v>2788</v>
      </c>
      <c r="H547">
        <v>-4.74</v>
      </c>
      <c r="I547">
        <v>-6.06</v>
      </c>
      <c r="J547">
        <v>-110.68</v>
      </c>
      <c r="K547">
        <v>1821.6</v>
      </c>
      <c r="M547">
        <v>2.1800000000000002</v>
      </c>
    </row>
    <row r="548" spans="1:14">
      <c r="A548" s="28">
        <v>993</v>
      </c>
      <c r="B548" t="s">
        <v>1549</v>
      </c>
      <c r="C548" t="s">
        <v>348</v>
      </c>
      <c r="D548">
        <v>25.03</v>
      </c>
      <c r="E548">
        <v>598.47</v>
      </c>
      <c r="F548">
        <v>9.35</v>
      </c>
      <c r="G548" t="s">
        <v>349</v>
      </c>
      <c r="H548">
        <v>-4.4000000000000004</v>
      </c>
      <c r="I548">
        <v>-10.75</v>
      </c>
      <c r="J548">
        <v>-343.8</v>
      </c>
      <c r="K548">
        <v>3492.37</v>
      </c>
      <c r="M548">
        <v>1.82</v>
      </c>
    </row>
    <row r="549" spans="1:14">
      <c r="A549" s="28">
        <v>313</v>
      </c>
      <c r="B549" t="s">
        <v>420</v>
      </c>
      <c r="C549" t="s">
        <v>347</v>
      </c>
      <c r="D549">
        <v>25.05</v>
      </c>
      <c r="E549">
        <v>1484.05</v>
      </c>
      <c r="F549">
        <v>39.36</v>
      </c>
      <c r="G549" t="s">
        <v>350</v>
      </c>
      <c r="H549">
        <v>4.05</v>
      </c>
      <c r="I549">
        <v>5.08</v>
      </c>
      <c r="J549">
        <v>3680.93</v>
      </c>
      <c r="K549">
        <v>79202.350000000006</v>
      </c>
      <c r="L549">
        <v>8.9700000000000006</v>
      </c>
      <c r="M549">
        <v>0.42</v>
      </c>
      <c r="N549">
        <v>7.04</v>
      </c>
    </row>
    <row r="550" spans="1:14">
      <c r="A550" s="28">
        <v>1107</v>
      </c>
      <c r="B550" t="s">
        <v>536</v>
      </c>
      <c r="C550" t="s">
        <v>347</v>
      </c>
      <c r="D550">
        <v>25.15</v>
      </c>
      <c r="E550">
        <v>13975.36</v>
      </c>
      <c r="F550">
        <v>6.81</v>
      </c>
      <c r="G550">
        <v>65.349999999999994</v>
      </c>
      <c r="H550">
        <v>10.31</v>
      </c>
      <c r="I550">
        <v>13.07</v>
      </c>
      <c r="J550">
        <v>3596.65</v>
      </c>
      <c r="K550">
        <v>28150.720000000001</v>
      </c>
      <c r="L550">
        <v>9.4700000000000006</v>
      </c>
      <c r="M550">
        <v>1.21</v>
      </c>
      <c r="N550">
        <v>6.15</v>
      </c>
    </row>
    <row r="551" spans="1:14">
      <c r="A551" s="28">
        <v>654</v>
      </c>
      <c r="B551" t="s">
        <v>1646</v>
      </c>
      <c r="C551" t="s">
        <v>348</v>
      </c>
      <c r="D551">
        <v>25.22</v>
      </c>
      <c r="E551">
        <v>11921.64</v>
      </c>
      <c r="F551">
        <v>18.79</v>
      </c>
      <c r="G551">
        <v>-34.909999999999997</v>
      </c>
      <c r="H551">
        <v>3.34</v>
      </c>
      <c r="I551">
        <v>4.17</v>
      </c>
      <c r="J551">
        <v>2256.6</v>
      </c>
      <c r="K551">
        <v>61078.83</v>
      </c>
      <c r="L551">
        <v>59.78</v>
      </c>
      <c r="M551">
        <v>2.21</v>
      </c>
      <c r="N551">
        <v>20.49</v>
      </c>
    </row>
    <row r="552" spans="1:14">
      <c r="A552" s="28">
        <v>879</v>
      </c>
      <c r="B552" t="s">
        <v>1073</v>
      </c>
      <c r="C552" t="s">
        <v>348</v>
      </c>
      <c r="D552">
        <v>25.32</v>
      </c>
      <c r="E552">
        <v>1118.69</v>
      </c>
      <c r="F552">
        <v>11.59</v>
      </c>
      <c r="G552">
        <v>-12.8</v>
      </c>
      <c r="H552">
        <v>10.18</v>
      </c>
      <c r="I552">
        <v>12.69</v>
      </c>
      <c r="J552">
        <v>661.37</v>
      </c>
      <c r="K552">
        <v>6093.46</v>
      </c>
      <c r="L552">
        <v>19.07</v>
      </c>
      <c r="M552">
        <v>2.0699999999999998</v>
      </c>
      <c r="N552">
        <v>15.8</v>
      </c>
    </row>
    <row r="553" spans="1:14">
      <c r="A553" s="28">
        <v>1120</v>
      </c>
      <c r="B553" t="s">
        <v>217</v>
      </c>
      <c r="C553" t="s">
        <v>347</v>
      </c>
      <c r="D553">
        <v>25.33</v>
      </c>
      <c r="E553">
        <v>3151.04</v>
      </c>
      <c r="F553">
        <v>6.46</v>
      </c>
      <c r="G553">
        <v>-8.1199999999999992</v>
      </c>
      <c r="H553">
        <v>6.43</v>
      </c>
      <c r="I553">
        <v>8.17</v>
      </c>
      <c r="J553">
        <v>1256.56</v>
      </c>
      <c r="K553">
        <v>16255.19</v>
      </c>
      <c r="L553">
        <v>11.1</v>
      </c>
      <c r="M553">
        <v>0.86</v>
      </c>
      <c r="N553">
        <v>7.74</v>
      </c>
    </row>
    <row r="554" spans="1:14">
      <c r="A554" s="28">
        <v>285</v>
      </c>
      <c r="B554" t="s">
        <v>2483</v>
      </c>
      <c r="C554" t="s">
        <v>348</v>
      </c>
      <c r="D554">
        <v>25.38</v>
      </c>
      <c r="E554">
        <v>1221.49</v>
      </c>
      <c r="F554">
        <v>42.6</v>
      </c>
      <c r="G554" t="s">
        <v>350</v>
      </c>
      <c r="H554">
        <v>6.73</v>
      </c>
      <c r="I554">
        <v>8.43</v>
      </c>
      <c r="J554">
        <v>519.45000000000005</v>
      </c>
      <c r="K554">
        <v>6607.46</v>
      </c>
      <c r="L554">
        <v>25.78</v>
      </c>
      <c r="M554">
        <v>2.0299999999999998</v>
      </c>
      <c r="N554">
        <v>26.02</v>
      </c>
    </row>
    <row r="555" spans="1:14">
      <c r="A555" s="28">
        <v>143</v>
      </c>
      <c r="B555" t="s">
        <v>792</v>
      </c>
      <c r="C555" t="s">
        <v>348</v>
      </c>
      <c r="D555">
        <v>25.59</v>
      </c>
      <c r="E555">
        <v>1957.86</v>
      </c>
      <c r="F555">
        <v>73.849999999999994</v>
      </c>
      <c r="G555">
        <v>323.77</v>
      </c>
      <c r="H555">
        <v>15.55</v>
      </c>
      <c r="I555">
        <v>19.84</v>
      </c>
      <c r="J555">
        <v>1854.66</v>
      </c>
      <c r="K555">
        <v>10289.290000000001</v>
      </c>
      <c r="L555">
        <v>4.16</v>
      </c>
      <c r="M555">
        <v>0.75</v>
      </c>
      <c r="N555">
        <v>2.87</v>
      </c>
    </row>
    <row r="556" spans="1:14">
      <c r="A556" s="28">
        <v>363</v>
      </c>
      <c r="B556" t="s">
        <v>286</v>
      </c>
      <c r="C556" t="s">
        <v>348</v>
      </c>
      <c r="D556">
        <v>25.62</v>
      </c>
      <c r="E556">
        <v>670.2</v>
      </c>
      <c r="F556">
        <v>34.46</v>
      </c>
      <c r="G556">
        <v>-28.81</v>
      </c>
      <c r="H556">
        <v>9.6199999999999992</v>
      </c>
      <c r="I556">
        <v>11.66</v>
      </c>
      <c r="J556">
        <v>418.35</v>
      </c>
      <c r="K556">
        <v>3851.01</v>
      </c>
      <c r="L556">
        <v>8.57</v>
      </c>
      <c r="M556">
        <v>0.93</v>
      </c>
    </row>
    <row r="557" spans="1:14">
      <c r="A557" s="28">
        <v>107</v>
      </c>
      <c r="B557" t="s">
        <v>89</v>
      </c>
      <c r="C557" t="s">
        <v>347</v>
      </c>
      <c r="D557">
        <v>25.68</v>
      </c>
      <c r="E557">
        <v>1099.1099999999999</v>
      </c>
      <c r="F557">
        <v>106.58</v>
      </c>
      <c r="G557">
        <v>18.350000000000001</v>
      </c>
      <c r="H557">
        <v>5.68</v>
      </c>
      <c r="I557">
        <v>7.21</v>
      </c>
      <c r="J557">
        <v>4095.37</v>
      </c>
      <c r="K557">
        <v>61306.39</v>
      </c>
      <c r="L557">
        <v>11.84</v>
      </c>
      <c r="M557">
        <v>0.79</v>
      </c>
    </row>
    <row r="558" spans="1:14">
      <c r="A558" s="28">
        <v>297</v>
      </c>
      <c r="B558" t="s">
        <v>1634</v>
      </c>
      <c r="C558" t="s">
        <v>348</v>
      </c>
      <c r="D558">
        <v>25.8</v>
      </c>
      <c r="F558">
        <v>41.4</v>
      </c>
      <c r="G558" t="s">
        <v>2788</v>
      </c>
      <c r="H558">
        <v>-11.63</v>
      </c>
      <c r="I558">
        <v>-16.309999999999999</v>
      </c>
      <c r="J558">
        <v>-402.02</v>
      </c>
      <c r="K558">
        <v>2293.4699999999998</v>
      </c>
      <c r="M558">
        <v>1.08</v>
      </c>
    </row>
    <row r="559" spans="1:14">
      <c r="A559" s="28">
        <v>1051</v>
      </c>
      <c r="B559" t="s">
        <v>910</v>
      </c>
      <c r="C559" t="s">
        <v>348</v>
      </c>
      <c r="D559">
        <v>25.8</v>
      </c>
      <c r="E559">
        <v>3002.54</v>
      </c>
      <c r="F559">
        <v>8.01</v>
      </c>
      <c r="G559">
        <v>13.54</v>
      </c>
      <c r="H559">
        <v>4</v>
      </c>
      <c r="I559">
        <v>5.0999999999999996</v>
      </c>
      <c r="J559">
        <v>770.54</v>
      </c>
      <c r="K559">
        <v>15512.71</v>
      </c>
      <c r="L559">
        <v>13.3</v>
      </c>
      <c r="M559">
        <v>0.66</v>
      </c>
      <c r="N559">
        <v>7.69</v>
      </c>
    </row>
    <row r="560" spans="1:14">
      <c r="A560" s="28">
        <v>542</v>
      </c>
      <c r="B560" t="s">
        <v>2458</v>
      </c>
      <c r="C560" t="s">
        <v>348</v>
      </c>
      <c r="D560">
        <v>250.44</v>
      </c>
      <c r="E560">
        <v>671.42</v>
      </c>
      <c r="F560">
        <v>23.96</v>
      </c>
      <c r="G560">
        <v>-85.94</v>
      </c>
      <c r="H560">
        <v>0.38</v>
      </c>
      <c r="I560">
        <v>1.31</v>
      </c>
      <c r="J560">
        <v>40.409999999999997</v>
      </c>
      <c r="K560">
        <v>3857.1</v>
      </c>
      <c r="L560">
        <v>152.21</v>
      </c>
      <c r="M560">
        <v>1.59</v>
      </c>
      <c r="N560">
        <v>23.66</v>
      </c>
    </row>
    <row r="561" spans="1:14">
      <c r="A561" s="28">
        <v>650</v>
      </c>
      <c r="B561" t="s">
        <v>1122</v>
      </c>
      <c r="C561" t="s">
        <v>348</v>
      </c>
      <c r="D561">
        <v>254.72</v>
      </c>
      <c r="E561">
        <v>519</v>
      </c>
      <c r="F561">
        <v>19</v>
      </c>
      <c r="G561" t="s">
        <v>350</v>
      </c>
      <c r="H561">
        <v>2.4300000000000002</v>
      </c>
      <c r="I561">
        <v>8.7899999999999991</v>
      </c>
      <c r="J561">
        <v>260.44</v>
      </c>
      <c r="K561">
        <v>3095</v>
      </c>
      <c r="L561">
        <v>16.149999999999999</v>
      </c>
      <c r="M561">
        <v>1.36</v>
      </c>
      <c r="N561">
        <v>14.14</v>
      </c>
    </row>
    <row r="562" spans="1:14">
      <c r="A562" s="28">
        <v>731</v>
      </c>
      <c r="B562" t="s">
        <v>2135</v>
      </c>
      <c r="C562" t="s">
        <v>347</v>
      </c>
      <c r="D562">
        <v>256.17</v>
      </c>
      <c r="E562">
        <v>257.49</v>
      </c>
      <c r="F562">
        <v>15.97</v>
      </c>
      <c r="G562" t="s">
        <v>350</v>
      </c>
      <c r="H562">
        <v>0.44</v>
      </c>
      <c r="I562">
        <v>1.52</v>
      </c>
      <c r="J562">
        <v>136.72</v>
      </c>
      <c r="K562">
        <v>8937.2000000000007</v>
      </c>
      <c r="L562">
        <v>86.67</v>
      </c>
      <c r="M562">
        <v>1.33</v>
      </c>
      <c r="N562">
        <v>17.02</v>
      </c>
    </row>
    <row r="563" spans="1:14">
      <c r="A563" s="28">
        <v>1001</v>
      </c>
      <c r="B563" t="s">
        <v>1446</v>
      </c>
      <c r="C563" t="s">
        <v>348</v>
      </c>
      <c r="D563">
        <v>257.88</v>
      </c>
      <c r="E563">
        <v>375.79</v>
      </c>
      <c r="F563">
        <v>9.16</v>
      </c>
      <c r="G563" t="s">
        <v>349</v>
      </c>
      <c r="H563">
        <v>-0.31</v>
      </c>
      <c r="I563">
        <v>-1.99</v>
      </c>
      <c r="J563">
        <v>-24.45</v>
      </c>
      <c r="K563">
        <v>2378.94</v>
      </c>
      <c r="N563">
        <v>9.27</v>
      </c>
    </row>
    <row r="564" spans="1:14">
      <c r="A564" s="28">
        <v>688</v>
      </c>
      <c r="B564" t="s">
        <v>2495</v>
      </c>
      <c r="C564" t="s">
        <v>348</v>
      </c>
      <c r="D564">
        <v>259.83</v>
      </c>
      <c r="E564">
        <v>2462.4499999999998</v>
      </c>
      <c r="F564">
        <v>17.059999999999999</v>
      </c>
      <c r="G564" t="s">
        <v>2788</v>
      </c>
      <c r="H564">
        <v>-2.6</v>
      </c>
      <c r="I564">
        <v>-9.56</v>
      </c>
      <c r="J564">
        <v>-239.51</v>
      </c>
      <c r="K564">
        <v>2562.4499999999998</v>
      </c>
      <c r="M564">
        <v>1.94</v>
      </c>
      <c r="N564">
        <v>14.26</v>
      </c>
    </row>
    <row r="565" spans="1:14">
      <c r="A565" s="28">
        <v>310</v>
      </c>
      <c r="B565" t="s">
        <v>1317</v>
      </c>
      <c r="C565" t="s">
        <v>348</v>
      </c>
      <c r="D565">
        <v>26.3</v>
      </c>
      <c r="E565">
        <v>2968.82</v>
      </c>
      <c r="F565">
        <v>39.590000000000003</v>
      </c>
      <c r="G565">
        <v>129.71</v>
      </c>
      <c r="H565">
        <v>17.03</v>
      </c>
      <c r="I565">
        <v>22.32</v>
      </c>
      <c r="J565">
        <v>2910.26</v>
      </c>
      <c r="K565">
        <v>15344.09</v>
      </c>
      <c r="L565">
        <v>6.92</v>
      </c>
      <c r="M565">
        <v>1.31</v>
      </c>
      <c r="N565">
        <v>5.35</v>
      </c>
    </row>
    <row r="566" spans="1:14">
      <c r="A566" s="28">
        <v>273</v>
      </c>
      <c r="B566" t="s">
        <v>1782</v>
      </c>
      <c r="C566" t="s">
        <v>348</v>
      </c>
      <c r="D566">
        <v>26.52</v>
      </c>
      <c r="E566">
        <v>504.73</v>
      </c>
      <c r="F566">
        <v>43.95</v>
      </c>
      <c r="G566">
        <v>-29.98</v>
      </c>
      <c r="H566">
        <v>8.4700000000000006</v>
      </c>
      <c r="I566">
        <v>11.09</v>
      </c>
      <c r="J566">
        <v>265.79000000000002</v>
      </c>
      <c r="K566">
        <v>3023.67</v>
      </c>
      <c r="L566">
        <v>41.39</v>
      </c>
      <c r="M566">
        <v>3.64</v>
      </c>
      <c r="N566">
        <v>47.29</v>
      </c>
    </row>
    <row r="567" spans="1:14">
      <c r="A567" s="28">
        <v>471</v>
      </c>
      <c r="B567" t="s">
        <v>1887</v>
      </c>
      <c r="C567" t="s">
        <v>348</v>
      </c>
      <c r="D567">
        <v>26.59</v>
      </c>
      <c r="E567">
        <v>942.95</v>
      </c>
      <c r="F567">
        <v>26.88</v>
      </c>
      <c r="G567">
        <v>-28.07</v>
      </c>
      <c r="H567">
        <v>8.18</v>
      </c>
      <c r="I567">
        <v>10.85</v>
      </c>
      <c r="J567">
        <v>463.61</v>
      </c>
      <c r="K567">
        <v>5214.74</v>
      </c>
      <c r="L567">
        <v>39.21</v>
      </c>
      <c r="M567">
        <v>3.49</v>
      </c>
      <c r="N567">
        <v>34.83</v>
      </c>
    </row>
    <row r="568" spans="1:14">
      <c r="A568" s="28">
        <v>368</v>
      </c>
      <c r="B568" t="s">
        <v>2038</v>
      </c>
      <c r="C568" t="s">
        <v>348</v>
      </c>
      <c r="D568">
        <v>26.84</v>
      </c>
      <c r="E568">
        <v>85.2</v>
      </c>
      <c r="F568">
        <v>33.58</v>
      </c>
      <c r="G568" t="s">
        <v>2788</v>
      </c>
      <c r="H568">
        <v>-17.41</v>
      </c>
      <c r="I568">
        <v>-22.41</v>
      </c>
      <c r="J568">
        <v>-223.37</v>
      </c>
      <c r="K568">
        <v>926.01</v>
      </c>
      <c r="M568">
        <v>1.19</v>
      </c>
    </row>
    <row r="569" spans="1:14">
      <c r="A569" s="28">
        <v>309</v>
      </c>
      <c r="B569" t="s">
        <v>2406</v>
      </c>
      <c r="C569" t="s">
        <v>348</v>
      </c>
      <c r="D569">
        <v>260.77999999999997</v>
      </c>
      <c r="E569">
        <v>617.51</v>
      </c>
      <c r="F569">
        <v>39.68</v>
      </c>
      <c r="G569" t="s">
        <v>2788</v>
      </c>
      <c r="H569">
        <v>-0.6</v>
      </c>
      <c r="I569">
        <v>-2.0699999999999998</v>
      </c>
      <c r="J569">
        <v>-64.28</v>
      </c>
      <c r="K569">
        <v>3587.54</v>
      </c>
      <c r="M569">
        <v>1.31</v>
      </c>
      <c r="N569">
        <v>14.74</v>
      </c>
    </row>
    <row r="570" spans="1:14">
      <c r="A570" s="28">
        <v>615</v>
      </c>
      <c r="B570" t="s">
        <v>1464</v>
      </c>
      <c r="C570" t="s">
        <v>347</v>
      </c>
      <c r="D570">
        <v>263.39999999999998</v>
      </c>
      <c r="E570">
        <v>30.6</v>
      </c>
      <c r="F570">
        <v>20.02</v>
      </c>
      <c r="G570" t="s">
        <v>2788</v>
      </c>
      <c r="H570">
        <v>-3.39</v>
      </c>
      <c r="I570">
        <v>-16.75</v>
      </c>
      <c r="J570">
        <v>-84.02</v>
      </c>
      <c r="K570">
        <v>652.98</v>
      </c>
      <c r="M570">
        <v>1.85</v>
      </c>
      <c r="N570">
        <v>23.17</v>
      </c>
    </row>
    <row r="571" spans="1:14">
      <c r="A571" s="28">
        <v>432</v>
      </c>
      <c r="B571" t="s">
        <v>271</v>
      </c>
      <c r="C571" t="s">
        <v>348</v>
      </c>
      <c r="D571">
        <v>264.52</v>
      </c>
      <c r="E571">
        <v>4719.7</v>
      </c>
      <c r="F571">
        <v>29.28</v>
      </c>
      <c r="G571">
        <v>-21.76</v>
      </c>
      <c r="H571">
        <v>2.4</v>
      </c>
      <c r="I571">
        <v>8.25</v>
      </c>
      <c r="J571">
        <v>1895.59</v>
      </c>
      <c r="K571">
        <v>24098.48</v>
      </c>
      <c r="L571">
        <v>8.23</v>
      </c>
      <c r="M571">
        <v>0.65</v>
      </c>
      <c r="N571">
        <v>2.75</v>
      </c>
    </row>
    <row r="572" spans="1:14">
      <c r="A572" s="28">
        <v>301</v>
      </c>
      <c r="B572" t="s">
        <v>2822</v>
      </c>
      <c r="C572" t="s">
        <v>348</v>
      </c>
      <c r="D572">
        <v>266.85000000000002</v>
      </c>
      <c r="E572">
        <v>250.15</v>
      </c>
      <c r="F572">
        <v>41</v>
      </c>
      <c r="G572" t="s">
        <v>2788</v>
      </c>
      <c r="H572">
        <v>-5.99</v>
      </c>
      <c r="I572">
        <v>-25.58</v>
      </c>
      <c r="J572">
        <v>-253.62</v>
      </c>
      <c r="K572">
        <v>1750.75</v>
      </c>
      <c r="M572">
        <v>1.6</v>
      </c>
    </row>
    <row r="573" spans="1:14">
      <c r="A573" s="28">
        <v>1013</v>
      </c>
      <c r="B573" t="s">
        <v>2298</v>
      </c>
      <c r="C573" t="s">
        <v>348</v>
      </c>
      <c r="D573">
        <v>268.19</v>
      </c>
      <c r="E573">
        <v>538.66999999999996</v>
      </c>
      <c r="F573">
        <v>8.89</v>
      </c>
      <c r="G573">
        <v>-58.87</v>
      </c>
      <c r="H573">
        <v>2.4500000000000002</v>
      </c>
      <c r="I573">
        <v>9.39</v>
      </c>
      <c r="J573">
        <v>284.77</v>
      </c>
      <c r="K573">
        <v>3193.33</v>
      </c>
      <c r="L573">
        <v>8.41</v>
      </c>
      <c r="M573">
        <v>0.75</v>
      </c>
      <c r="N573">
        <v>4.59</v>
      </c>
    </row>
    <row r="574" spans="1:14">
      <c r="A574" s="28">
        <v>761</v>
      </c>
      <c r="B574" t="s">
        <v>1202</v>
      </c>
      <c r="C574" t="s">
        <v>347</v>
      </c>
      <c r="D574">
        <v>268.66000000000003</v>
      </c>
      <c r="E574">
        <v>1095.08</v>
      </c>
      <c r="F574">
        <v>15.16</v>
      </c>
      <c r="G574">
        <v>-33.44</v>
      </c>
      <c r="H574">
        <v>1.21</v>
      </c>
      <c r="I574">
        <v>4.13</v>
      </c>
      <c r="J574">
        <v>451.54</v>
      </c>
      <c r="K574">
        <v>11236.68</v>
      </c>
      <c r="L574">
        <v>28.68</v>
      </c>
      <c r="M574">
        <v>1.1499999999999999</v>
      </c>
      <c r="N574">
        <v>7.73</v>
      </c>
    </row>
    <row r="575" spans="1:14">
      <c r="A575" s="28">
        <v>72</v>
      </c>
      <c r="B575" t="s">
        <v>2823</v>
      </c>
      <c r="C575" t="s">
        <v>348</v>
      </c>
      <c r="D575">
        <v>269.8</v>
      </c>
      <c r="F575">
        <v>143.65</v>
      </c>
      <c r="G575" t="s">
        <v>2788</v>
      </c>
      <c r="H575">
        <v>-4.99</v>
      </c>
      <c r="I575">
        <v>-24.97</v>
      </c>
      <c r="J575">
        <v>-341.73</v>
      </c>
      <c r="K575">
        <v>1400.43</v>
      </c>
      <c r="M575">
        <v>3.23</v>
      </c>
    </row>
    <row r="576" spans="1:14">
      <c r="A576" s="28">
        <v>344</v>
      </c>
      <c r="B576" t="s">
        <v>1761</v>
      </c>
      <c r="C576" t="s">
        <v>348</v>
      </c>
      <c r="D576">
        <v>27.06</v>
      </c>
      <c r="E576">
        <v>498.79</v>
      </c>
      <c r="F576">
        <v>36.18</v>
      </c>
      <c r="G576">
        <v>15.52</v>
      </c>
      <c r="H576">
        <v>17.170000000000002</v>
      </c>
      <c r="I576">
        <v>21.5</v>
      </c>
      <c r="J576">
        <v>587.82000000000005</v>
      </c>
      <c r="K576">
        <v>3047.23</v>
      </c>
      <c r="L576">
        <v>9.58</v>
      </c>
      <c r="M576">
        <v>1.85</v>
      </c>
      <c r="N576">
        <v>8.8699999999999992</v>
      </c>
    </row>
    <row r="577" spans="1:14">
      <c r="A577" s="28">
        <v>97</v>
      </c>
      <c r="B577" t="s">
        <v>1320</v>
      </c>
      <c r="C577" t="s">
        <v>348</v>
      </c>
      <c r="D577">
        <v>27.14</v>
      </c>
      <c r="E577">
        <v>1453.99</v>
      </c>
      <c r="F577">
        <v>113.73</v>
      </c>
      <c r="G577">
        <v>351.8</v>
      </c>
      <c r="H577">
        <v>45.74</v>
      </c>
      <c r="I577">
        <v>57.64</v>
      </c>
      <c r="J577">
        <v>3510.3</v>
      </c>
      <c r="K577">
        <v>7769.97</v>
      </c>
      <c r="L577">
        <v>5.71</v>
      </c>
      <c r="M577">
        <v>2.58</v>
      </c>
      <c r="N577">
        <v>4.5</v>
      </c>
    </row>
    <row r="578" spans="1:14">
      <c r="A578" s="28">
        <v>738</v>
      </c>
      <c r="B578" t="s">
        <v>458</v>
      </c>
      <c r="C578" t="s">
        <v>348</v>
      </c>
      <c r="D578">
        <v>27.16</v>
      </c>
      <c r="E578">
        <v>512.33000000000004</v>
      </c>
      <c r="F578">
        <v>15.83</v>
      </c>
      <c r="G578">
        <v>-92.58</v>
      </c>
      <c r="H578">
        <v>2.11</v>
      </c>
      <c r="I578">
        <v>2.74</v>
      </c>
      <c r="J578">
        <v>79.239999999999995</v>
      </c>
      <c r="K578">
        <v>3222.26</v>
      </c>
      <c r="L578">
        <v>31.11</v>
      </c>
      <c r="M578">
        <v>0.76</v>
      </c>
      <c r="N578">
        <v>9.23</v>
      </c>
    </row>
    <row r="579" spans="1:14">
      <c r="A579" s="28">
        <v>896</v>
      </c>
      <c r="B579" t="s">
        <v>859</v>
      </c>
      <c r="C579" t="s">
        <v>348</v>
      </c>
      <c r="D579">
        <v>27.54</v>
      </c>
      <c r="E579">
        <v>4976.33</v>
      </c>
      <c r="F579">
        <v>11.23</v>
      </c>
      <c r="G579">
        <v>94.66</v>
      </c>
      <c r="H579">
        <v>9.14</v>
      </c>
      <c r="I579">
        <v>12.09</v>
      </c>
      <c r="J579">
        <v>2884.44</v>
      </c>
      <c r="K579">
        <v>25381.63</v>
      </c>
      <c r="L579">
        <v>3.45</v>
      </c>
      <c r="M579">
        <v>0.39</v>
      </c>
      <c r="N579">
        <v>6.81</v>
      </c>
    </row>
    <row r="580" spans="1:14">
      <c r="A580" s="28">
        <v>992</v>
      </c>
      <c r="B580" t="s">
        <v>1734</v>
      </c>
      <c r="C580" t="s">
        <v>348</v>
      </c>
      <c r="D580">
        <v>27.62</v>
      </c>
      <c r="E580">
        <v>420.16</v>
      </c>
      <c r="F580">
        <v>9.3800000000000008</v>
      </c>
      <c r="G580">
        <v>18.649999999999999</v>
      </c>
      <c r="H580">
        <v>1.65</v>
      </c>
      <c r="I580">
        <v>2.08</v>
      </c>
      <c r="J580">
        <v>43.97</v>
      </c>
      <c r="K580">
        <v>2600.79</v>
      </c>
      <c r="L580">
        <v>65.27</v>
      </c>
      <c r="M580">
        <v>1.1000000000000001</v>
      </c>
      <c r="N580">
        <v>38.72</v>
      </c>
    </row>
    <row r="581" spans="1:14">
      <c r="A581" s="28">
        <v>523</v>
      </c>
      <c r="B581" t="s">
        <v>1082</v>
      </c>
      <c r="C581" t="s">
        <v>348</v>
      </c>
      <c r="D581">
        <v>27.67</v>
      </c>
      <c r="E581">
        <v>1659.01</v>
      </c>
      <c r="F581">
        <v>24.53</v>
      </c>
      <c r="G581">
        <v>38.14</v>
      </c>
      <c r="H581">
        <v>10.31</v>
      </c>
      <c r="I581">
        <v>12.96</v>
      </c>
      <c r="J581">
        <v>1053.8900000000001</v>
      </c>
      <c r="K581">
        <v>8795.0300000000007</v>
      </c>
      <c r="L581">
        <v>12.1</v>
      </c>
      <c r="M581">
        <v>1.45</v>
      </c>
      <c r="N581">
        <v>7.07</v>
      </c>
    </row>
    <row r="582" spans="1:14">
      <c r="A582" s="28">
        <v>70</v>
      </c>
      <c r="B582" t="s">
        <v>1852</v>
      </c>
      <c r="C582" t="s">
        <v>348</v>
      </c>
      <c r="D582">
        <v>274.33999999999997</v>
      </c>
      <c r="E582">
        <v>332.75</v>
      </c>
      <c r="F582">
        <v>144.75</v>
      </c>
      <c r="G582" t="s">
        <v>349</v>
      </c>
      <c r="H582">
        <v>-3.28</v>
      </c>
      <c r="I582">
        <v>-11.07</v>
      </c>
      <c r="J582">
        <v>-162.91999999999999</v>
      </c>
      <c r="K582">
        <v>1415.59</v>
      </c>
    </row>
    <row r="583" spans="1:14">
      <c r="A583" s="28">
        <v>64</v>
      </c>
      <c r="B583" t="s">
        <v>2296</v>
      </c>
      <c r="C583" t="s">
        <v>348</v>
      </c>
      <c r="D583">
        <v>28.02</v>
      </c>
      <c r="E583">
        <v>798.56</v>
      </c>
      <c r="F583">
        <v>158.4</v>
      </c>
      <c r="G583" t="s">
        <v>2788</v>
      </c>
      <c r="H583">
        <v>-14.12</v>
      </c>
      <c r="I583">
        <v>-17.12</v>
      </c>
      <c r="J583">
        <v>-796.4</v>
      </c>
      <c r="K583">
        <v>4492.8100000000004</v>
      </c>
      <c r="M583">
        <v>2.46</v>
      </c>
    </row>
    <row r="584" spans="1:14">
      <c r="A584" s="28">
        <v>916</v>
      </c>
      <c r="B584" t="s">
        <v>112</v>
      </c>
      <c r="C584" t="s">
        <v>347</v>
      </c>
      <c r="D584">
        <v>28.02</v>
      </c>
      <c r="E584">
        <v>1267.56</v>
      </c>
      <c r="F584">
        <v>10.94</v>
      </c>
      <c r="G584">
        <v>-0.94</v>
      </c>
      <c r="H584">
        <v>7.44</v>
      </c>
      <c r="I584">
        <v>9.92</v>
      </c>
      <c r="J584">
        <v>6166.63</v>
      </c>
      <c r="K584">
        <v>68378.22</v>
      </c>
      <c r="L584">
        <v>7.01</v>
      </c>
      <c r="M584">
        <v>0.63</v>
      </c>
      <c r="N584">
        <v>4.29</v>
      </c>
    </row>
    <row r="585" spans="1:14">
      <c r="A585" s="28">
        <v>241</v>
      </c>
      <c r="B585" t="s">
        <v>665</v>
      </c>
      <c r="C585" t="s">
        <v>347</v>
      </c>
      <c r="D585">
        <v>28.09</v>
      </c>
      <c r="E585">
        <v>973.36</v>
      </c>
      <c r="F585">
        <v>47.83</v>
      </c>
      <c r="G585">
        <v>-17.3</v>
      </c>
      <c r="H585">
        <v>3.92</v>
      </c>
      <c r="I585">
        <v>5.05</v>
      </c>
      <c r="J585">
        <v>535.01</v>
      </c>
      <c r="K585">
        <v>10733.57</v>
      </c>
      <c r="L585">
        <v>24.92</v>
      </c>
      <c r="M585">
        <v>1.24</v>
      </c>
      <c r="N585">
        <v>27.11</v>
      </c>
    </row>
    <row r="586" spans="1:14">
      <c r="A586" s="28">
        <v>676</v>
      </c>
      <c r="B586" t="s">
        <v>1210</v>
      </c>
      <c r="C586" t="s">
        <v>348</v>
      </c>
      <c r="D586">
        <v>28.18</v>
      </c>
      <c r="E586">
        <v>2101.61</v>
      </c>
      <c r="F586">
        <v>17.760000000000002</v>
      </c>
      <c r="G586">
        <v>47.62</v>
      </c>
      <c r="H586">
        <v>4.8099999999999996</v>
      </c>
      <c r="I586">
        <v>6.44</v>
      </c>
      <c r="J586">
        <v>624.9</v>
      </c>
      <c r="K586">
        <v>11008.05</v>
      </c>
      <c r="L586">
        <v>25.92</v>
      </c>
      <c r="M586">
        <v>1.47</v>
      </c>
      <c r="N586">
        <v>13.43</v>
      </c>
    </row>
    <row r="587" spans="1:14">
      <c r="A587" s="28">
        <v>981</v>
      </c>
      <c r="B587" t="s">
        <v>613</v>
      </c>
      <c r="C587" t="s">
        <v>347</v>
      </c>
      <c r="D587">
        <v>28.35</v>
      </c>
      <c r="E587">
        <v>1232.06</v>
      </c>
      <c r="F587">
        <v>9.52</v>
      </c>
      <c r="G587">
        <v>136.35</v>
      </c>
      <c r="H587">
        <v>9.1999999999999993</v>
      </c>
      <c r="I587">
        <v>11.74</v>
      </c>
      <c r="J587">
        <v>7312.42</v>
      </c>
      <c r="K587">
        <v>67278.89</v>
      </c>
      <c r="L587">
        <v>7.48</v>
      </c>
      <c r="M587">
        <v>0.81</v>
      </c>
      <c r="N587">
        <v>3.98</v>
      </c>
    </row>
    <row r="588" spans="1:14">
      <c r="A588" s="28">
        <v>1002</v>
      </c>
      <c r="B588" t="s">
        <v>1067</v>
      </c>
      <c r="C588" t="s">
        <v>348</v>
      </c>
      <c r="D588">
        <v>28.47</v>
      </c>
      <c r="E588">
        <v>2291.84</v>
      </c>
      <c r="F588">
        <v>9.1300000000000008</v>
      </c>
      <c r="G588">
        <v>-11.49</v>
      </c>
      <c r="H588">
        <v>7.05</v>
      </c>
      <c r="I588">
        <v>9.0399999999999991</v>
      </c>
      <c r="J588">
        <v>1037.29</v>
      </c>
      <c r="K588">
        <v>11959.18</v>
      </c>
      <c r="L588">
        <v>15.58</v>
      </c>
      <c r="M588">
        <v>1.35</v>
      </c>
      <c r="N588">
        <v>9.4700000000000006</v>
      </c>
    </row>
    <row r="589" spans="1:14">
      <c r="A589" s="28">
        <v>562</v>
      </c>
      <c r="B589" t="s">
        <v>1702</v>
      </c>
      <c r="C589" t="s">
        <v>347</v>
      </c>
      <c r="D589">
        <v>28.5</v>
      </c>
      <c r="E589">
        <v>665.64</v>
      </c>
      <c r="F589">
        <v>22.65</v>
      </c>
      <c r="G589">
        <v>606.11</v>
      </c>
      <c r="H589">
        <v>1.7</v>
      </c>
      <c r="I589">
        <v>2.17</v>
      </c>
      <c r="J589">
        <v>73.86</v>
      </c>
      <c r="K589">
        <v>3828.21</v>
      </c>
      <c r="L589">
        <v>599.74</v>
      </c>
      <c r="M589">
        <v>11.57</v>
      </c>
      <c r="N589">
        <v>414.57</v>
      </c>
    </row>
    <row r="590" spans="1:14">
      <c r="A590" s="28">
        <v>651</v>
      </c>
      <c r="B590" t="s">
        <v>209</v>
      </c>
      <c r="C590" t="s">
        <v>347</v>
      </c>
      <c r="D590">
        <v>28.56</v>
      </c>
      <c r="E590">
        <v>1116.3699999999999</v>
      </c>
      <c r="F590">
        <v>18.88</v>
      </c>
      <c r="G590">
        <v>-52.68</v>
      </c>
      <c r="H590">
        <v>2.66</v>
      </c>
      <c r="I590">
        <v>3.27</v>
      </c>
      <c r="J590">
        <v>193.46</v>
      </c>
      <c r="K590">
        <v>6081.83</v>
      </c>
      <c r="L590">
        <v>33.49</v>
      </c>
      <c r="M590">
        <v>1.07</v>
      </c>
      <c r="N590">
        <v>14.33</v>
      </c>
    </row>
    <row r="591" spans="1:14">
      <c r="A591" s="28">
        <v>769</v>
      </c>
      <c r="B591" t="s">
        <v>308</v>
      </c>
      <c r="C591" t="s">
        <v>348</v>
      </c>
      <c r="D591">
        <v>28.92</v>
      </c>
      <c r="E591">
        <v>802.86</v>
      </c>
      <c r="F591">
        <v>14.97</v>
      </c>
      <c r="G591">
        <v>9.7799999999999994</v>
      </c>
      <c r="H591">
        <v>4.47</v>
      </c>
      <c r="I591">
        <v>5.88</v>
      </c>
      <c r="J591">
        <v>248.08</v>
      </c>
      <c r="K591">
        <v>4514.32</v>
      </c>
      <c r="L591">
        <v>10.7</v>
      </c>
      <c r="M591">
        <v>0.59</v>
      </c>
      <c r="N591">
        <v>5.72</v>
      </c>
    </row>
    <row r="592" spans="1:14">
      <c r="A592" s="28">
        <v>6</v>
      </c>
      <c r="B592" t="s">
        <v>2825</v>
      </c>
      <c r="C592" t="s">
        <v>348</v>
      </c>
      <c r="D592">
        <v>280.67</v>
      </c>
      <c r="F592">
        <v>4610.63</v>
      </c>
      <c r="G592" t="s">
        <v>2788</v>
      </c>
      <c r="H592">
        <v>-21.03</v>
      </c>
      <c r="I592">
        <v>-104.3</v>
      </c>
      <c r="J592">
        <v>-18.62</v>
      </c>
      <c r="K592">
        <v>20.5</v>
      </c>
      <c r="M592">
        <v>19.37</v>
      </c>
    </row>
    <row r="593" spans="1:14">
      <c r="A593" s="28">
        <v>920</v>
      </c>
      <c r="B593" t="s">
        <v>2826</v>
      </c>
      <c r="C593" t="s">
        <v>348</v>
      </c>
      <c r="D593">
        <v>281.79000000000002</v>
      </c>
      <c r="E593">
        <v>950.7</v>
      </c>
      <c r="F593">
        <v>10.88</v>
      </c>
      <c r="G593">
        <v>-64.42</v>
      </c>
      <c r="H593">
        <v>0.33</v>
      </c>
      <c r="I593">
        <v>1.21</v>
      </c>
      <c r="J593">
        <v>60.49</v>
      </c>
      <c r="K593">
        <v>5253.5</v>
      </c>
      <c r="L593">
        <v>52.74</v>
      </c>
      <c r="M593">
        <v>0.61</v>
      </c>
      <c r="N593">
        <v>24.72</v>
      </c>
    </row>
    <row r="594" spans="1:14">
      <c r="A594" s="28">
        <v>306</v>
      </c>
      <c r="B594" t="s">
        <v>1743</v>
      </c>
      <c r="C594" t="s">
        <v>348</v>
      </c>
      <c r="D594">
        <v>281.89999999999998</v>
      </c>
      <c r="E594">
        <v>392</v>
      </c>
      <c r="F594">
        <v>40.22</v>
      </c>
      <c r="G594" t="s">
        <v>350</v>
      </c>
      <c r="H594">
        <v>0.7</v>
      </c>
      <c r="I594">
        <v>2.81</v>
      </c>
      <c r="J594">
        <v>60.27</v>
      </c>
      <c r="K594">
        <v>2460.02</v>
      </c>
      <c r="L594">
        <v>200.76</v>
      </c>
      <c r="M594">
        <v>4.92</v>
      </c>
      <c r="N594">
        <v>24.84</v>
      </c>
    </row>
    <row r="595" spans="1:14">
      <c r="A595" s="28">
        <v>638</v>
      </c>
      <c r="B595" t="s">
        <v>1906</v>
      </c>
      <c r="C595" t="s">
        <v>348</v>
      </c>
      <c r="D595">
        <v>282.64</v>
      </c>
      <c r="E595">
        <v>195.25</v>
      </c>
      <c r="F595">
        <v>19.23</v>
      </c>
      <c r="G595" t="s">
        <v>349</v>
      </c>
      <c r="H595">
        <v>-7.75</v>
      </c>
      <c r="I595">
        <v>-23.3</v>
      </c>
      <c r="J595">
        <v>-329.95</v>
      </c>
      <c r="K595">
        <v>1326.13</v>
      </c>
      <c r="M595">
        <v>6.5</v>
      </c>
    </row>
    <row r="596" spans="1:14">
      <c r="A596" s="28">
        <v>645</v>
      </c>
      <c r="B596" t="s">
        <v>2827</v>
      </c>
      <c r="C596" t="s">
        <v>348</v>
      </c>
      <c r="D596">
        <v>287.8</v>
      </c>
      <c r="E596">
        <v>1.63</v>
      </c>
      <c r="F596">
        <v>19.09</v>
      </c>
      <c r="G596">
        <v>9.61</v>
      </c>
      <c r="H596">
        <v>4.7</v>
      </c>
      <c r="I596">
        <v>19.02</v>
      </c>
      <c r="J596">
        <v>87.12</v>
      </c>
      <c r="K596">
        <v>508.14</v>
      </c>
      <c r="L596">
        <v>24.05</v>
      </c>
      <c r="M596">
        <v>4.12</v>
      </c>
      <c r="N596">
        <v>14.24</v>
      </c>
    </row>
    <row r="597" spans="1:14">
      <c r="A597" s="28">
        <v>334</v>
      </c>
      <c r="B597" t="s">
        <v>2828</v>
      </c>
      <c r="C597" t="s">
        <v>348</v>
      </c>
      <c r="D597">
        <v>288.18</v>
      </c>
      <c r="E597">
        <v>28.06</v>
      </c>
      <c r="F597">
        <v>37.06</v>
      </c>
      <c r="G597" t="s">
        <v>2788</v>
      </c>
      <c r="H597">
        <v>-18.86</v>
      </c>
      <c r="I597">
        <v>-56.48</v>
      </c>
      <c r="J597">
        <v>-508.11</v>
      </c>
      <c r="K597">
        <v>642.13</v>
      </c>
      <c r="M597">
        <v>3.26</v>
      </c>
    </row>
    <row r="598" spans="1:14">
      <c r="A598" s="28">
        <v>988</v>
      </c>
      <c r="B598" t="s">
        <v>787</v>
      </c>
      <c r="C598" t="s">
        <v>348</v>
      </c>
      <c r="D598">
        <v>29.05</v>
      </c>
      <c r="E598">
        <v>2147.86</v>
      </c>
      <c r="F598">
        <v>9.4</v>
      </c>
      <c r="G598">
        <v>-77.94</v>
      </c>
      <c r="H598">
        <v>1.72</v>
      </c>
      <c r="I598">
        <v>2.17</v>
      </c>
      <c r="J598">
        <v>231.16</v>
      </c>
      <c r="K598">
        <v>11239.3</v>
      </c>
      <c r="L598">
        <v>29.07</v>
      </c>
      <c r="M598">
        <v>0.6</v>
      </c>
      <c r="N598">
        <v>22.49</v>
      </c>
    </row>
    <row r="599" spans="1:14">
      <c r="A599" s="28">
        <v>361</v>
      </c>
      <c r="B599" t="s">
        <v>2277</v>
      </c>
      <c r="C599" t="s">
        <v>348</v>
      </c>
      <c r="D599">
        <v>29.28</v>
      </c>
      <c r="E599">
        <v>224.43</v>
      </c>
      <c r="F599">
        <v>34.6</v>
      </c>
      <c r="G599" t="s">
        <v>2788</v>
      </c>
      <c r="H599">
        <v>-11.18</v>
      </c>
      <c r="I599">
        <v>-14.39</v>
      </c>
      <c r="J599">
        <v>-230.26</v>
      </c>
      <c r="K599">
        <v>1622.13</v>
      </c>
      <c r="M599">
        <v>1.89</v>
      </c>
    </row>
    <row r="600" spans="1:14">
      <c r="A600" s="28">
        <v>1109</v>
      </c>
      <c r="B600" t="s">
        <v>2755</v>
      </c>
      <c r="C600" t="s">
        <v>348</v>
      </c>
      <c r="D600">
        <v>29.37</v>
      </c>
      <c r="E600">
        <v>968.81</v>
      </c>
      <c r="F600">
        <v>6.73</v>
      </c>
      <c r="G600">
        <v>16.649999999999999</v>
      </c>
      <c r="H600">
        <v>6.84</v>
      </c>
      <c r="I600">
        <v>8.7899999999999991</v>
      </c>
      <c r="J600">
        <v>442.09</v>
      </c>
      <c r="K600">
        <v>5344.06</v>
      </c>
      <c r="L600">
        <v>8.86</v>
      </c>
      <c r="M600">
        <v>0.73</v>
      </c>
      <c r="N600">
        <v>5.31</v>
      </c>
    </row>
    <row r="601" spans="1:14">
      <c r="A601" s="28">
        <v>328</v>
      </c>
      <c r="B601" t="s">
        <v>592</v>
      </c>
      <c r="C601" t="s">
        <v>347</v>
      </c>
      <c r="D601">
        <v>29.48</v>
      </c>
      <c r="E601">
        <v>644.74</v>
      </c>
      <c r="F601">
        <v>37.92</v>
      </c>
      <c r="G601">
        <v>76.239999999999995</v>
      </c>
      <c r="H601">
        <v>30.45</v>
      </c>
      <c r="I601">
        <v>40.72</v>
      </c>
      <c r="J601">
        <v>12548.47</v>
      </c>
      <c r="K601">
        <v>37236.82</v>
      </c>
      <c r="L601">
        <v>2.96</v>
      </c>
      <c r="M601">
        <v>1</v>
      </c>
      <c r="N601">
        <v>1.87</v>
      </c>
    </row>
    <row r="602" spans="1:14">
      <c r="A602" s="28">
        <v>831</v>
      </c>
      <c r="B602" t="s">
        <v>1319</v>
      </c>
      <c r="C602" t="s">
        <v>347</v>
      </c>
      <c r="D602">
        <v>29.8</v>
      </c>
      <c r="E602">
        <v>3964.95</v>
      </c>
      <c r="F602">
        <v>13.27</v>
      </c>
      <c r="G602" t="s">
        <v>2788</v>
      </c>
      <c r="H602">
        <v>-4.41</v>
      </c>
      <c r="I602">
        <v>-5.68</v>
      </c>
      <c r="J602">
        <v>-1177.21</v>
      </c>
      <c r="K602">
        <v>20324.77</v>
      </c>
      <c r="M602">
        <v>0.57999999999999996</v>
      </c>
      <c r="N602">
        <v>38.72</v>
      </c>
    </row>
    <row r="603" spans="1:14">
      <c r="A603" s="28">
        <v>841</v>
      </c>
      <c r="B603" t="s">
        <v>839</v>
      </c>
      <c r="C603" t="s">
        <v>347</v>
      </c>
      <c r="D603">
        <v>29.86</v>
      </c>
      <c r="E603">
        <v>7048.56</v>
      </c>
      <c r="F603">
        <v>12.92</v>
      </c>
      <c r="G603">
        <v>32.29</v>
      </c>
      <c r="H603">
        <v>10.51</v>
      </c>
      <c r="I603">
        <v>13.63</v>
      </c>
      <c r="J603">
        <v>4600.4799999999996</v>
      </c>
      <c r="K603">
        <v>35742.81</v>
      </c>
      <c r="L603">
        <v>7.76</v>
      </c>
      <c r="M603">
        <v>1</v>
      </c>
      <c r="N603">
        <v>6.3</v>
      </c>
    </row>
    <row r="604" spans="1:14">
      <c r="A604" s="28">
        <v>270</v>
      </c>
      <c r="B604" t="s">
        <v>2582</v>
      </c>
      <c r="C604" t="s">
        <v>348</v>
      </c>
      <c r="D604">
        <v>29.91</v>
      </c>
      <c r="E604">
        <v>106.07</v>
      </c>
      <c r="F604">
        <v>44.38</v>
      </c>
      <c r="G604" t="s">
        <v>2788</v>
      </c>
      <c r="H604">
        <v>-62.73</v>
      </c>
      <c r="I604">
        <v>-90.78</v>
      </c>
      <c r="J604">
        <v>-838.14</v>
      </c>
      <c r="K604">
        <v>1030.3399999999999</v>
      </c>
    </row>
    <row r="605" spans="1:14">
      <c r="A605" s="28">
        <v>465</v>
      </c>
      <c r="B605" t="s">
        <v>999</v>
      </c>
      <c r="C605" t="s">
        <v>348</v>
      </c>
      <c r="D605">
        <v>290.27</v>
      </c>
      <c r="E605">
        <v>1364.31</v>
      </c>
      <c r="F605">
        <v>27.53</v>
      </c>
      <c r="G605">
        <v>9.52</v>
      </c>
      <c r="H605">
        <v>8.39</v>
      </c>
      <c r="I605">
        <v>36.14</v>
      </c>
      <c r="J605">
        <v>2104.67</v>
      </c>
      <c r="K605">
        <v>7321.56</v>
      </c>
      <c r="L605">
        <v>3.2</v>
      </c>
      <c r="M605">
        <v>0.92</v>
      </c>
      <c r="N605">
        <v>1.98</v>
      </c>
    </row>
    <row r="606" spans="1:14">
      <c r="A606" s="28">
        <v>998</v>
      </c>
      <c r="B606" t="s">
        <v>1959</v>
      </c>
      <c r="C606" t="s">
        <v>348</v>
      </c>
      <c r="D606">
        <v>291.77999999999997</v>
      </c>
      <c r="E606">
        <v>22.3</v>
      </c>
      <c r="F606">
        <v>9.26</v>
      </c>
      <c r="G606" t="s">
        <v>349</v>
      </c>
      <c r="H606">
        <v>-2.5099999999999998</v>
      </c>
      <c r="I606">
        <v>-9.4600000000000009</v>
      </c>
      <c r="J606">
        <v>-591.88</v>
      </c>
      <c r="K606">
        <v>6115.02</v>
      </c>
      <c r="M606">
        <v>0.87</v>
      </c>
      <c r="N606">
        <v>30.14</v>
      </c>
    </row>
    <row r="607" spans="1:14">
      <c r="A607" s="28">
        <v>567</v>
      </c>
      <c r="B607" t="s">
        <v>258</v>
      </c>
      <c r="C607" t="s">
        <v>348</v>
      </c>
      <c r="D607">
        <v>292.23</v>
      </c>
      <c r="E607">
        <v>1207.83</v>
      </c>
      <c r="F607">
        <v>22.29</v>
      </c>
      <c r="G607" t="s">
        <v>349</v>
      </c>
      <c r="H607">
        <v>-3.67</v>
      </c>
      <c r="I607">
        <v>-14.44</v>
      </c>
      <c r="J607">
        <v>-10073.94</v>
      </c>
      <c r="K607">
        <v>67468.710000000006</v>
      </c>
      <c r="M607">
        <v>0.28999999999999998</v>
      </c>
    </row>
    <row r="608" spans="1:14">
      <c r="A608" s="28">
        <v>999</v>
      </c>
      <c r="B608" t="s">
        <v>401</v>
      </c>
      <c r="C608" t="s">
        <v>348</v>
      </c>
      <c r="D608">
        <v>294.62</v>
      </c>
      <c r="E608">
        <v>1991.1</v>
      </c>
      <c r="F608">
        <v>9.24</v>
      </c>
      <c r="G608">
        <v>-16.78</v>
      </c>
      <c r="H608">
        <v>6.65</v>
      </c>
      <c r="I608">
        <v>25.92</v>
      </c>
      <c r="J608">
        <v>1116.47</v>
      </c>
      <c r="K608">
        <v>10640.7</v>
      </c>
      <c r="L608">
        <v>14.9</v>
      </c>
      <c r="M608">
        <v>1.56</v>
      </c>
      <c r="N608">
        <v>5.32</v>
      </c>
    </row>
    <row r="609" spans="1:14">
      <c r="A609" s="28">
        <v>288</v>
      </c>
      <c r="B609" t="s">
        <v>1071</v>
      </c>
      <c r="C609" t="s">
        <v>347</v>
      </c>
      <c r="D609">
        <v>299.88</v>
      </c>
      <c r="E609">
        <v>194.46</v>
      </c>
      <c r="F609">
        <v>42.03</v>
      </c>
      <c r="G609">
        <v>-6.95</v>
      </c>
      <c r="H609">
        <v>4.82</v>
      </c>
      <c r="I609">
        <v>22.62</v>
      </c>
      <c r="J609">
        <v>277.02999999999997</v>
      </c>
      <c r="K609">
        <v>1472.31</v>
      </c>
      <c r="L609">
        <v>3.4</v>
      </c>
      <c r="M609">
        <v>0.64</v>
      </c>
      <c r="N609">
        <v>3.6</v>
      </c>
    </row>
    <row r="610" spans="1:14">
      <c r="A610" s="28">
        <v>606</v>
      </c>
      <c r="B610" t="s">
        <v>811</v>
      </c>
      <c r="C610" t="s">
        <v>348</v>
      </c>
      <c r="D610">
        <v>3.18</v>
      </c>
      <c r="E610">
        <v>1754.72</v>
      </c>
      <c r="F610">
        <v>20.329999999999998</v>
      </c>
      <c r="G610">
        <v>-72.38</v>
      </c>
      <c r="H610">
        <v>1.06</v>
      </c>
      <c r="I610">
        <v>1.0900000000000001</v>
      </c>
      <c r="J610">
        <v>104.99</v>
      </c>
      <c r="K610">
        <v>10265.61</v>
      </c>
      <c r="L610">
        <v>156.68</v>
      </c>
      <c r="M610">
        <v>1.6</v>
      </c>
      <c r="N610">
        <v>66.33</v>
      </c>
    </row>
    <row r="611" spans="1:14">
      <c r="A611" s="28">
        <v>575</v>
      </c>
      <c r="B611" t="s">
        <v>609</v>
      </c>
      <c r="C611" t="s">
        <v>347</v>
      </c>
      <c r="D611">
        <v>3.33</v>
      </c>
      <c r="E611">
        <v>1496.2</v>
      </c>
      <c r="F611">
        <v>21.95</v>
      </c>
      <c r="G611" t="s">
        <v>350</v>
      </c>
      <c r="H611">
        <v>4.74</v>
      </c>
      <c r="I611">
        <v>4.9000000000000004</v>
      </c>
      <c r="J611">
        <v>766.29</v>
      </c>
      <c r="K611">
        <v>15962.04</v>
      </c>
      <c r="L611">
        <v>4.97</v>
      </c>
      <c r="M611">
        <v>0.24</v>
      </c>
      <c r="N611">
        <v>8.23</v>
      </c>
    </row>
    <row r="612" spans="1:14">
      <c r="A612" s="28">
        <v>1034</v>
      </c>
      <c r="B612" t="s">
        <v>188</v>
      </c>
      <c r="C612" t="s">
        <v>347</v>
      </c>
      <c r="D612">
        <v>3.51</v>
      </c>
      <c r="E612">
        <v>329.3</v>
      </c>
      <c r="F612">
        <v>8.3699999999999992</v>
      </c>
      <c r="G612" t="s">
        <v>350</v>
      </c>
      <c r="H612">
        <v>10.210000000000001</v>
      </c>
      <c r="I612">
        <v>10.6</v>
      </c>
      <c r="J612">
        <v>1008.07</v>
      </c>
      <c r="K612">
        <v>10732.53</v>
      </c>
      <c r="L612">
        <v>6.35</v>
      </c>
      <c r="M612">
        <v>0.6</v>
      </c>
    </row>
    <row r="613" spans="1:14">
      <c r="A613" s="28">
        <v>7</v>
      </c>
      <c r="B613" t="s">
        <v>360</v>
      </c>
      <c r="C613" t="s">
        <v>347</v>
      </c>
      <c r="D613">
        <v>3.59</v>
      </c>
      <c r="E613">
        <v>1956.44</v>
      </c>
      <c r="F613">
        <v>3360.23</v>
      </c>
      <c r="G613">
        <v>343.56</v>
      </c>
      <c r="H613">
        <v>16.010000000000002</v>
      </c>
      <c r="I613">
        <v>20.34</v>
      </c>
      <c r="J613">
        <v>24385.87</v>
      </c>
      <c r="K613">
        <v>111125.48</v>
      </c>
      <c r="L613">
        <v>4.3499999999999996</v>
      </c>
      <c r="M613">
        <v>0.96</v>
      </c>
      <c r="N613">
        <v>9.77</v>
      </c>
    </row>
    <row r="614" spans="1:14">
      <c r="A614" s="28">
        <v>1088</v>
      </c>
      <c r="B614" t="s">
        <v>310</v>
      </c>
      <c r="C614" t="s">
        <v>348</v>
      </c>
      <c r="D614">
        <v>3.67</v>
      </c>
      <c r="E614">
        <v>2805.57</v>
      </c>
      <c r="F614">
        <v>7.33</v>
      </c>
      <c r="G614">
        <v>-63.1</v>
      </c>
      <c r="H614">
        <v>3.39</v>
      </c>
      <c r="I614">
        <v>3.54</v>
      </c>
      <c r="J614">
        <v>421.41</v>
      </c>
      <c r="K614">
        <v>14527.87</v>
      </c>
      <c r="L614">
        <v>26.62</v>
      </c>
      <c r="M614">
        <v>0.77</v>
      </c>
      <c r="N614">
        <v>10.76</v>
      </c>
    </row>
    <row r="615" spans="1:14">
      <c r="A615" s="28">
        <v>23</v>
      </c>
      <c r="B615" t="s">
        <v>1706</v>
      </c>
      <c r="C615" t="s">
        <v>348</v>
      </c>
      <c r="D615">
        <v>3.67</v>
      </c>
      <c r="E615">
        <v>207.84</v>
      </c>
      <c r="F615">
        <v>426.32</v>
      </c>
      <c r="G615" t="s">
        <v>2788</v>
      </c>
      <c r="H615">
        <v>-82.75</v>
      </c>
      <c r="I615" t="s">
        <v>2792</v>
      </c>
      <c r="J615">
        <v>-1763.27</v>
      </c>
      <c r="K615">
        <v>1539.19</v>
      </c>
    </row>
    <row r="616" spans="1:14">
      <c r="A616" s="28">
        <v>244</v>
      </c>
      <c r="B616" t="s">
        <v>2341</v>
      </c>
      <c r="C616" t="s">
        <v>348</v>
      </c>
      <c r="D616">
        <v>3.91</v>
      </c>
      <c r="E616">
        <v>252.21</v>
      </c>
      <c r="F616">
        <v>47.69</v>
      </c>
      <c r="G616" t="s">
        <v>350</v>
      </c>
      <c r="H616">
        <v>3.96</v>
      </c>
      <c r="I616">
        <v>4.29</v>
      </c>
      <c r="J616">
        <v>149.86000000000001</v>
      </c>
      <c r="K616">
        <v>3693.63</v>
      </c>
      <c r="L616">
        <v>7.18</v>
      </c>
      <c r="M616">
        <v>0.28999999999999998</v>
      </c>
      <c r="N616">
        <v>41.61</v>
      </c>
    </row>
    <row r="617" spans="1:14">
      <c r="A617" s="28">
        <v>909</v>
      </c>
      <c r="B617" t="s">
        <v>97</v>
      </c>
      <c r="C617" t="s">
        <v>347</v>
      </c>
      <c r="D617">
        <v>30.04</v>
      </c>
      <c r="E617">
        <v>943.79</v>
      </c>
      <c r="F617">
        <v>11.04</v>
      </c>
      <c r="G617">
        <v>8.98</v>
      </c>
      <c r="H617">
        <v>8.17</v>
      </c>
      <c r="I617">
        <v>10.73</v>
      </c>
      <c r="J617">
        <v>5327.73</v>
      </c>
      <c r="K617">
        <v>52189.7</v>
      </c>
      <c r="L617">
        <v>2.98</v>
      </c>
      <c r="M617">
        <v>0.3</v>
      </c>
      <c r="N617">
        <v>3.72</v>
      </c>
    </row>
    <row r="618" spans="1:14">
      <c r="A618" s="28">
        <v>721</v>
      </c>
      <c r="B618" t="s">
        <v>320</v>
      </c>
      <c r="C618" t="s">
        <v>348</v>
      </c>
      <c r="D618">
        <v>30.05</v>
      </c>
      <c r="E618">
        <v>4213.38</v>
      </c>
      <c r="F618">
        <v>16.16</v>
      </c>
      <c r="G618">
        <v>-0.61</v>
      </c>
      <c r="H618">
        <v>6.3</v>
      </c>
      <c r="I618">
        <v>7.96</v>
      </c>
      <c r="J618">
        <v>1605.98</v>
      </c>
      <c r="K618">
        <v>21566.91</v>
      </c>
      <c r="L618">
        <v>8.2200000000000006</v>
      </c>
      <c r="M618">
        <v>0.61</v>
      </c>
      <c r="N618">
        <v>8.59</v>
      </c>
    </row>
    <row r="619" spans="1:14">
      <c r="A619" s="28">
        <v>250</v>
      </c>
      <c r="B619" t="s">
        <v>1378</v>
      </c>
      <c r="C619" t="s">
        <v>348</v>
      </c>
      <c r="D619">
        <v>30.12</v>
      </c>
      <c r="E619">
        <v>4311.08</v>
      </c>
      <c r="F619">
        <v>46.22</v>
      </c>
      <c r="G619">
        <v>4105.17</v>
      </c>
      <c r="H619">
        <v>20.05</v>
      </c>
      <c r="I619">
        <v>30.37</v>
      </c>
      <c r="J619">
        <v>5155.43</v>
      </c>
      <c r="K619">
        <v>22055.41</v>
      </c>
      <c r="L619">
        <v>6</v>
      </c>
      <c r="M619">
        <v>1.4</v>
      </c>
      <c r="N619">
        <v>22.5</v>
      </c>
    </row>
    <row r="620" spans="1:14">
      <c r="A620" s="28">
        <v>926</v>
      </c>
      <c r="B620" t="s">
        <v>1383</v>
      </c>
      <c r="C620" t="s">
        <v>348</v>
      </c>
      <c r="D620">
        <v>30.31</v>
      </c>
      <c r="E620">
        <v>743.71</v>
      </c>
      <c r="F620">
        <v>10.62</v>
      </c>
      <c r="G620">
        <v>-88.05</v>
      </c>
      <c r="H620">
        <v>0.44</v>
      </c>
      <c r="I620">
        <v>0.59</v>
      </c>
      <c r="J620">
        <v>23.01</v>
      </c>
      <c r="K620">
        <v>4218.55</v>
      </c>
      <c r="L620">
        <v>267.24</v>
      </c>
      <c r="M620">
        <v>1.46</v>
      </c>
      <c r="N620">
        <v>23.59</v>
      </c>
    </row>
    <row r="621" spans="1:14">
      <c r="A621" s="28">
        <v>962</v>
      </c>
      <c r="B621" t="s">
        <v>629</v>
      </c>
      <c r="C621" t="s">
        <v>348</v>
      </c>
      <c r="D621">
        <v>30.42</v>
      </c>
      <c r="E621">
        <v>4200.57</v>
      </c>
      <c r="F621">
        <v>9.8800000000000008</v>
      </c>
      <c r="G621">
        <v>1.04</v>
      </c>
      <c r="H621">
        <v>12.06</v>
      </c>
      <c r="I621">
        <v>16.23</v>
      </c>
      <c r="J621">
        <v>668.66</v>
      </c>
      <c r="K621">
        <v>4378.29</v>
      </c>
      <c r="L621">
        <v>21.61</v>
      </c>
      <c r="M621">
        <v>3.3</v>
      </c>
      <c r="N621">
        <v>17.86</v>
      </c>
    </row>
    <row r="622" spans="1:14">
      <c r="A622" s="28">
        <v>1019</v>
      </c>
      <c r="B622" t="s">
        <v>986</v>
      </c>
      <c r="C622" t="s">
        <v>347</v>
      </c>
      <c r="D622">
        <v>30.57</v>
      </c>
      <c r="E622">
        <v>7313.27</v>
      </c>
      <c r="F622">
        <v>8.74</v>
      </c>
      <c r="G622">
        <v>49.06</v>
      </c>
      <c r="H622">
        <v>4.16</v>
      </c>
      <c r="I622">
        <v>5.37</v>
      </c>
      <c r="J622">
        <v>18909.79</v>
      </c>
      <c r="K622">
        <v>370663.39</v>
      </c>
      <c r="L622">
        <v>21.52</v>
      </c>
      <c r="M622">
        <v>1.1000000000000001</v>
      </c>
      <c r="N622">
        <v>12.72</v>
      </c>
    </row>
    <row r="623" spans="1:14">
      <c r="A623" s="28">
        <v>114</v>
      </c>
      <c r="B623" t="s">
        <v>1813</v>
      </c>
      <c r="C623" t="s">
        <v>348</v>
      </c>
      <c r="D623">
        <v>30.63</v>
      </c>
      <c r="E623">
        <v>3799.75</v>
      </c>
      <c r="F623">
        <v>93.9</v>
      </c>
      <c r="G623">
        <v>33.950000000000003</v>
      </c>
      <c r="H623">
        <v>10.83</v>
      </c>
      <c r="I623">
        <v>13.95</v>
      </c>
      <c r="J623">
        <v>2200.8200000000002</v>
      </c>
      <c r="K623">
        <v>19498.75</v>
      </c>
      <c r="L623">
        <v>27.44</v>
      </c>
      <c r="M623">
        <v>3.1</v>
      </c>
      <c r="N623">
        <v>29.66</v>
      </c>
    </row>
    <row r="624" spans="1:14">
      <c r="A624" s="28">
        <v>791</v>
      </c>
      <c r="B624" t="s">
        <v>946</v>
      </c>
      <c r="C624" t="s">
        <v>347</v>
      </c>
      <c r="D624">
        <v>30.74</v>
      </c>
      <c r="E624">
        <v>5579.93</v>
      </c>
      <c r="F624">
        <v>14.44</v>
      </c>
      <c r="G624">
        <v>15.5</v>
      </c>
      <c r="H624">
        <v>5.16</v>
      </c>
      <c r="I624">
        <v>6.81</v>
      </c>
      <c r="J624">
        <v>19269.759999999998</v>
      </c>
      <c r="K624">
        <v>297823.71999999997</v>
      </c>
      <c r="L624">
        <v>12.3</v>
      </c>
      <c r="M624">
        <v>0.8</v>
      </c>
      <c r="N624">
        <v>13.53</v>
      </c>
    </row>
    <row r="625" spans="1:14">
      <c r="A625" s="28">
        <v>377</v>
      </c>
      <c r="B625" t="s">
        <v>1806</v>
      </c>
      <c r="C625" t="s">
        <v>348</v>
      </c>
      <c r="D625">
        <v>30.79</v>
      </c>
      <c r="E625">
        <v>791.35</v>
      </c>
      <c r="F625">
        <v>32.799999999999997</v>
      </c>
      <c r="G625" t="s">
        <v>350</v>
      </c>
      <c r="H625">
        <v>4.57</v>
      </c>
      <c r="I625">
        <v>6</v>
      </c>
      <c r="J625">
        <v>336.05</v>
      </c>
      <c r="K625">
        <v>4456.76</v>
      </c>
      <c r="L625">
        <v>13.15</v>
      </c>
      <c r="M625">
        <v>0.99</v>
      </c>
      <c r="N625">
        <v>14.27</v>
      </c>
    </row>
    <row r="626" spans="1:14">
      <c r="A626" s="28">
        <v>492</v>
      </c>
      <c r="B626" t="s">
        <v>1869</v>
      </c>
      <c r="C626" t="s">
        <v>348</v>
      </c>
      <c r="D626">
        <v>309.27999999999997</v>
      </c>
      <c r="E626">
        <v>26.89</v>
      </c>
      <c r="F626">
        <v>25.86</v>
      </c>
      <c r="G626" t="s">
        <v>2788</v>
      </c>
      <c r="H626">
        <v>-71.13</v>
      </c>
      <c r="I626" t="s">
        <v>2792</v>
      </c>
      <c r="J626">
        <v>-3509.5</v>
      </c>
      <c r="K626">
        <v>1112.22</v>
      </c>
    </row>
    <row r="627" spans="1:14">
      <c r="A627" s="28">
        <v>636</v>
      </c>
      <c r="B627" t="s">
        <v>2403</v>
      </c>
      <c r="C627" t="s">
        <v>347</v>
      </c>
      <c r="D627">
        <v>31.05</v>
      </c>
      <c r="E627">
        <v>84.94</v>
      </c>
      <c r="F627">
        <v>19.260000000000002</v>
      </c>
      <c r="G627" t="s">
        <v>349</v>
      </c>
      <c r="H627">
        <v>-30.79</v>
      </c>
      <c r="I627">
        <v>-42.71</v>
      </c>
      <c r="J627">
        <v>-473.16</v>
      </c>
      <c r="K627">
        <v>924.72</v>
      </c>
      <c r="M627">
        <v>0.56000000000000005</v>
      </c>
      <c r="N627">
        <v>33.53</v>
      </c>
    </row>
    <row r="628" spans="1:14">
      <c r="A628" s="28">
        <v>428</v>
      </c>
      <c r="B628" t="s">
        <v>1478</v>
      </c>
      <c r="C628" t="s">
        <v>348</v>
      </c>
      <c r="D628">
        <v>31.12</v>
      </c>
      <c r="E628">
        <v>60.91</v>
      </c>
      <c r="F628">
        <v>29.77</v>
      </c>
      <c r="G628">
        <v>284.67</v>
      </c>
      <c r="H628">
        <v>3.55</v>
      </c>
      <c r="I628">
        <v>4.47</v>
      </c>
      <c r="J628">
        <v>63.77</v>
      </c>
      <c r="K628">
        <v>1609.08</v>
      </c>
      <c r="L628">
        <v>18.02</v>
      </c>
      <c r="M628">
        <v>0.71</v>
      </c>
      <c r="N628">
        <v>12.98</v>
      </c>
    </row>
    <row r="629" spans="1:14">
      <c r="A629" s="28">
        <v>426</v>
      </c>
      <c r="B629" t="s">
        <v>1042</v>
      </c>
      <c r="C629" t="s">
        <v>348</v>
      </c>
      <c r="D629">
        <v>31.13</v>
      </c>
      <c r="E629">
        <v>1757.63</v>
      </c>
      <c r="F629">
        <v>30.02</v>
      </c>
      <c r="G629" t="s">
        <v>2788</v>
      </c>
      <c r="H629">
        <v>-3.98</v>
      </c>
      <c r="I629">
        <v>-5.37</v>
      </c>
      <c r="J629">
        <v>-448.68</v>
      </c>
      <c r="K629">
        <v>9288.16</v>
      </c>
      <c r="M629">
        <v>0.95</v>
      </c>
    </row>
    <row r="630" spans="1:14">
      <c r="A630" s="28">
        <v>704</v>
      </c>
      <c r="B630" t="s">
        <v>1668</v>
      </c>
      <c r="C630" t="s">
        <v>348</v>
      </c>
      <c r="D630">
        <v>31.36</v>
      </c>
      <c r="E630">
        <v>545.99</v>
      </c>
      <c r="F630">
        <v>16.55</v>
      </c>
      <c r="G630">
        <v>-20.8</v>
      </c>
      <c r="H630">
        <v>7.08</v>
      </c>
      <c r="I630">
        <v>12.04</v>
      </c>
      <c r="J630">
        <v>344.92</v>
      </c>
      <c r="K630">
        <v>3229.94</v>
      </c>
      <c r="L630">
        <v>26.9</v>
      </c>
      <c r="M630">
        <v>2.87</v>
      </c>
      <c r="N630">
        <v>19.170000000000002</v>
      </c>
    </row>
    <row r="631" spans="1:14">
      <c r="A631" s="28">
        <v>392</v>
      </c>
      <c r="B631" t="s">
        <v>1861</v>
      </c>
      <c r="C631" t="s">
        <v>348</v>
      </c>
      <c r="D631">
        <v>31.38</v>
      </c>
      <c r="E631">
        <v>334.76</v>
      </c>
      <c r="F631">
        <v>31.99</v>
      </c>
      <c r="G631">
        <v>244.75</v>
      </c>
      <c r="H631">
        <v>13.51</v>
      </c>
      <c r="I631">
        <v>17.53</v>
      </c>
      <c r="J631">
        <v>348.06</v>
      </c>
      <c r="K631">
        <v>2173.7800000000002</v>
      </c>
      <c r="N631">
        <v>0</v>
      </c>
    </row>
    <row r="632" spans="1:14">
      <c r="A632" s="28">
        <v>292</v>
      </c>
      <c r="B632" t="s">
        <v>2765</v>
      </c>
      <c r="C632" t="s">
        <v>348</v>
      </c>
      <c r="D632">
        <v>31.53</v>
      </c>
      <c r="E632">
        <v>13400.3</v>
      </c>
      <c r="F632">
        <v>41.72</v>
      </c>
      <c r="G632" t="s">
        <v>350</v>
      </c>
      <c r="H632">
        <v>7.79</v>
      </c>
      <c r="I632">
        <v>10.29</v>
      </c>
      <c r="J632">
        <v>1316.61</v>
      </c>
      <c r="K632">
        <v>13500.3</v>
      </c>
      <c r="L632">
        <v>23.09</v>
      </c>
      <c r="M632">
        <v>2.25</v>
      </c>
      <c r="N632">
        <v>17.62</v>
      </c>
    </row>
    <row r="633" spans="1:14">
      <c r="A633" s="28">
        <v>976</v>
      </c>
      <c r="B633" t="s">
        <v>2863</v>
      </c>
      <c r="C633" t="s">
        <v>348</v>
      </c>
      <c r="D633">
        <v>311.82</v>
      </c>
      <c r="E633">
        <v>192.73</v>
      </c>
      <c r="F633">
        <v>9.64</v>
      </c>
      <c r="G633" t="s">
        <v>2788</v>
      </c>
      <c r="H633">
        <v>-4.43</v>
      </c>
      <c r="I633">
        <v>-16.899999999999999</v>
      </c>
      <c r="J633">
        <v>-53.97</v>
      </c>
      <c r="K633">
        <v>292.73</v>
      </c>
      <c r="M633">
        <v>1.22</v>
      </c>
      <c r="N633">
        <v>25</v>
      </c>
    </row>
    <row r="634" spans="1:14">
      <c r="A634" s="28">
        <v>468</v>
      </c>
      <c r="B634" t="s">
        <v>2140</v>
      </c>
      <c r="C634" t="s">
        <v>348</v>
      </c>
      <c r="D634">
        <v>313.91000000000003</v>
      </c>
      <c r="E634">
        <v>75.61</v>
      </c>
      <c r="F634">
        <v>27.13</v>
      </c>
      <c r="G634" t="s">
        <v>2788</v>
      </c>
      <c r="H634">
        <v>-15.11</v>
      </c>
      <c r="I634">
        <v>-66.45</v>
      </c>
      <c r="J634">
        <v>-103.55</v>
      </c>
      <c r="K634">
        <v>175.61</v>
      </c>
      <c r="M634">
        <v>3.7</v>
      </c>
    </row>
    <row r="635" spans="1:14">
      <c r="A635" s="28">
        <v>62</v>
      </c>
      <c r="B635" t="s">
        <v>2829</v>
      </c>
      <c r="C635" t="s">
        <v>348</v>
      </c>
      <c r="D635">
        <v>319.01</v>
      </c>
      <c r="E635">
        <v>116.01</v>
      </c>
      <c r="F635">
        <v>160.96</v>
      </c>
      <c r="G635" t="s">
        <v>2788</v>
      </c>
      <c r="H635">
        <v>-35.39</v>
      </c>
      <c r="I635">
        <v>-535.5</v>
      </c>
      <c r="J635">
        <v>-269.35000000000002</v>
      </c>
      <c r="K635">
        <v>216.01</v>
      </c>
      <c r="M635">
        <v>19.07</v>
      </c>
    </row>
    <row r="636" spans="1:14">
      <c r="A636" s="28">
        <v>565</v>
      </c>
      <c r="B636" t="s">
        <v>2299</v>
      </c>
      <c r="C636" t="s">
        <v>347</v>
      </c>
      <c r="D636">
        <v>32.11</v>
      </c>
      <c r="E636">
        <v>194.03</v>
      </c>
      <c r="F636">
        <v>22.55</v>
      </c>
      <c r="G636" t="s">
        <v>2788</v>
      </c>
      <c r="H636">
        <v>-10.23</v>
      </c>
      <c r="I636">
        <v>-13.06</v>
      </c>
      <c r="J636">
        <v>-197.99</v>
      </c>
      <c r="K636">
        <v>1507.6</v>
      </c>
      <c r="M636">
        <v>0.42</v>
      </c>
    </row>
    <row r="637" spans="1:14">
      <c r="A637" s="28">
        <v>289</v>
      </c>
      <c r="B637" t="s">
        <v>1375</v>
      </c>
      <c r="C637" t="s">
        <v>348</v>
      </c>
      <c r="D637">
        <v>32.17</v>
      </c>
      <c r="E637">
        <v>3336.79</v>
      </c>
      <c r="F637">
        <v>41.89</v>
      </c>
      <c r="G637">
        <v>121.4</v>
      </c>
      <c r="H637">
        <v>15.7</v>
      </c>
      <c r="I637">
        <v>21.4</v>
      </c>
      <c r="J637">
        <v>3233.76</v>
      </c>
      <c r="K637">
        <v>17183.97</v>
      </c>
      <c r="L637">
        <v>35.22</v>
      </c>
      <c r="M637">
        <v>6.63</v>
      </c>
      <c r="N637">
        <v>23.27</v>
      </c>
    </row>
    <row r="638" spans="1:14">
      <c r="A638" s="28">
        <v>190</v>
      </c>
      <c r="B638" t="s">
        <v>2455</v>
      </c>
      <c r="C638" t="s">
        <v>348</v>
      </c>
      <c r="D638">
        <v>32.36</v>
      </c>
      <c r="E638">
        <v>810.4</v>
      </c>
      <c r="F638">
        <v>58.49</v>
      </c>
      <c r="G638">
        <v>162.28</v>
      </c>
      <c r="H638">
        <v>18.420000000000002</v>
      </c>
      <c r="I638">
        <v>24.83</v>
      </c>
      <c r="J638">
        <v>1001.89</v>
      </c>
      <c r="K638">
        <v>4551.9799999999996</v>
      </c>
      <c r="L638">
        <v>12.53</v>
      </c>
      <c r="M638">
        <v>2.76</v>
      </c>
      <c r="N638">
        <v>10.95</v>
      </c>
    </row>
    <row r="639" spans="1:14">
      <c r="A639" s="28">
        <v>343</v>
      </c>
      <c r="B639" t="s">
        <v>1379</v>
      </c>
      <c r="C639" t="s">
        <v>348</v>
      </c>
      <c r="D639">
        <v>32.58</v>
      </c>
      <c r="E639">
        <v>6708.98</v>
      </c>
      <c r="F639">
        <v>36.19</v>
      </c>
      <c r="G639">
        <v>96.38</v>
      </c>
      <c r="H639">
        <v>4.7699999999999996</v>
      </c>
      <c r="I639">
        <v>6.23</v>
      </c>
      <c r="J639">
        <v>411.61</v>
      </c>
      <c r="K639">
        <v>6808.98</v>
      </c>
      <c r="L639">
        <v>21.38</v>
      </c>
      <c r="M639">
        <v>1.29</v>
      </c>
      <c r="N639">
        <v>15.43</v>
      </c>
    </row>
    <row r="640" spans="1:14">
      <c r="A640" s="28">
        <v>298</v>
      </c>
      <c r="B640" t="s">
        <v>598</v>
      </c>
      <c r="C640" t="s">
        <v>348</v>
      </c>
      <c r="D640">
        <v>32.950000000000003</v>
      </c>
      <c r="E640">
        <v>5155.79</v>
      </c>
      <c r="F640">
        <v>41.28</v>
      </c>
      <c r="G640">
        <v>-69.83</v>
      </c>
      <c r="H640">
        <v>0.88</v>
      </c>
      <c r="I640">
        <v>1.1599999999999999</v>
      </c>
      <c r="J640">
        <v>300.31</v>
      </c>
      <c r="K640">
        <v>26278.94</v>
      </c>
      <c r="L640">
        <v>32.97</v>
      </c>
      <c r="M640">
        <v>0.38</v>
      </c>
      <c r="N640">
        <v>22.35</v>
      </c>
    </row>
    <row r="641" spans="1:14">
      <c r="A641" s="28">
        <v>568</v>
      </c>
      <c r="B641" t="s">
        <v>2830</v>
      </c>
      <c r="C641" t="s">
        <v>348</v>
      </c>
      <c r="D641">
        <v>32.99</v>
      </c>
      <c r="E641">
        <v>2126.34</v>
      </c>
      <c r="F641">
        <v>22.27</v>
      </c>
      <c r="G641">
        <v>74.52</v>
      </c>
      <c r="H641">
        <v>3.46</v>
      </c>
      <c r="I641">
        <v>4.54</v>
      </c>
      <c r="J641">
        <v>453.57</v>
      </c>
      <c r="K641">
        <v>11131.68</v>
      </c>
      <c r="N641">
        <v>0</v>
      </c>
    </row>
    <row r="642" spans="1:14">
      <c r="A642" s="28">
        <v>1045</v>
      </c>
      <c r="B642" t="s">
        <v>1595</v>
      </c>
      <c r="C642" t="s">
        <v>347</v>
      </c>
      <c r="D642">
        <v>325.23</v>
      </c>
      <c r="E642">
        <v>156.18</v>
      </c>
      <c r="F642">
        <v>8.09</v>
      </c>
      <c r="G642">
        <v>153.76</v>
      </c>
      <c r="H642">
        <v>1.94</v>
      </c>
      <c r="I642">
        <v>7.77</v>
      </c>
      <c r="J642">
        <v>94.73</v>
      </c>
      <c r="K642">
        <v>1280.92</v>
      </c>
      <c r="L642">
        <v>34.26</v>
      </c>
      <c r="M642">
        <v>2.5299999999999998</v>
      </c>
      <c r="N642">
        <v>38.270000000000003</v>
      </c>
    </row>
    <row r="643" spans="1:14">
      <c r="A643" s="28">
        <v>453</v>
      </c>
      <c r="B643" t="s">
        <v>915</v>
      </c>
      <c r="C643" t="s">
        <v>348</v>
      </c>
      <c r="D643">
        <v>327.94</v>
      </c>
      <c r="E643">
        <v>227.4</v>
      </c>
      <c r="F643">
        <v>27.99</v>
      </c>
      <c r="G643">
        <v>-24.93</v>
      </c>
      <c r="H643">
        <v>1.4</v>
      </c>
      <c r="I643">
        <v>5.43</v>
      </c>
      <c r="J643">
        <v>89.95</v>
      </c>
      <c r="K643">
        <v>1689.88</v>
      </c>
      <c r="L643">
        <v>18.23</v>
      </c>
      <c r="M643">
        <v>0.97</v>
      </c>
      <c r="N643">
        <v>9.17</v>
      </c>
    </row>
    <row r="644" spans="1:14">
      <c r="A644" s="28">
        <v>743</v>
      </c>
      <c r="B644" t="s">
        <v>1914</v>
      </c>
      <c r="C644" t="s">
        <v>348</v>
      </c>
      <c r="D644">
        <v>33.11</v>
      </c>
      <c r="E644">
        <v>1244.58</v>
      </c>
      <c r="F644">
        <v>15.69</v>
      </c>
      <c r="G644" t="s">
        <v>350</v>
      </c>
      <c r="H644">
        <v>59.5</v>
      </c>
      <c r="I644">
        <v>82.34</v>
      </c>
      <c r="J644">
        <v>4655.2700000000004</v>
      </c>
      <c r="K644">
        <v>6722.9</v>
      </c>
      <c r="L644">
        <v>3.17</v>
      </c>
      <c r="M644">
        <v>2.19</v>
      </c>
    </row>
    <row r="645" spans="1:14">
      <c r="A645" s="28">
        <v>861</v>
      </c>
      <c r="B645" t="s">
        <v>908</v>
      </c>
      <c r="C645" t="s">
        <v>347</v>
      </c>
      <c r="D645">
        <v>33.11</v>
      </c>
      <c r="E645">
        <v>69.459999999999994</v>
      </c>
      <c r="F645">
        <v>12.14</v>
      </c>
      <c r="G645">
        <v>153.99</v>
      </c>
      <c r="H645">
        <v>1.02</v>
      </c>
      <c r="I645">
        <v>1.34</v>
      </c>
      <c r="J645">
        <v>11.08</v>
      </c>
      <c r="K645">
        <v>849.91</v>
      </c>
      <c r="L645">
        <v>74.09</v>
      </c>
      <c r="M645">
        <v>0.97</v>
      </c>
      <c r="N645">
        <v>28.34</v>
      </c>
    </row>
    <row r="646" spans="1:14">
      <c r="A646" s="28">
        <v>968</v>
      </c>
      <c r="B646" t="s">
        <v>2042</v>
      </c>
      <c r="C646" t="s">
        <v>348</v>
      </c>
      <c r="D646">
        <v>33.119999999999997</v>
      </c>
      <c r="E646">
        <v>510.58</v>
      </c>
      <c r="F646">
        <v>9.76</v>
      </c>
      <c r="G646">
        <v>181.68</v>
      </c>
      <c r="H646">
        <v>15.71</v>
      </c>
      <c r="I646">
        <v>19.11</v>
      </c>
      <c r="J646">
        <v>530.38</v>
      </c>
      <c r="K646">
        <v>3052.9</v>
      </c>
      <c r="L646">
        <v>12.86</v>
      </c>
      <c r="M646">
        <v>2.23</v>
      </c>
      <c r="N646">
        <v>21.85</v>
      </c>
    </row>
    <row r="647" spans="1:14">
      <c r="A647" s="28">
        <v>742</v>
      </c>
      <c r="B647" t="s">
        <v>307</v>
      </c>
      <c r="C647" t="s">
        <v>348</v>
      </c>
      <c r="D647">
        <v>33.19</v>
      </c>
      <c r="E647">
        <v>1346.42</v>
      </c>
      <c r="F647">
        <v>15.71</v>
      </c>
      <c r="G647">
        <v>53.2</v>
      </c>
      <c r="H647">
        <v>6.33</v>
      </c>
      <c r="I647">
        <v>8.65</v>
      </c>
      <c r="J647">
        <v>531.04</v>
      </c>
      <c r="K647">
        <v>7232.1</v>
      </c>
      <c r="L647">
        <v>12.51</v>
      </c>
      <c r="M647">
        <v>0.92</v>
      </c>
      <c r="N647">
        <v>7.33</v>
      </c>
    </row>
    <row r="648" spans="1:14">
      <c r="A648" s="28">
        <v>153</v>
      </c>
      <c r="B648" t="s">
        <v>945</v>
      </c>
      <c r="C648" t="s">
        <v>347</v>
      </c>
      <c r="D648">
        <v>33.31</v>
      </c>
      <c r="E648">
        <v>2427.2399999999998</v>
      </c>
      <c r="F648">
        <v>70.31</v>
      </c>
      <c r="G648">
        <v>60.99</v>
      </c>
      <c r="H648">
        <v>9.58</v>
      </c>
      <c r="I648">
        <v>11.89</v>
      </c>
      <c r="J648">
        <v>13875.43</v>
      </c>
      <c r="K648">
        <v>126362.24000000001</v>
      </c>
      <c r="L648">
        <v>5.0199999999999996</v>
      </c>
      <c r="M648">
        <v>0.55000000000000004</v>
      </c>
      <c r="N648">
        <v>6.03</v>
      </c>
    </row>
    <row r="649" spans="1:14">
      <c r="A649" s="28">
        <v>925</v>
      </c>
      <c r="B649" t="s">
        <v>2549</v>
      </c>
      <c r="C649" t="s">
        <v>348</v>
      </c>
      <c r="D649">
        <v>33.5</v>
      </c>
      <c r="E649">
        <v>2345.61</v>
      </c>
      <c r="F649">
        <v>10.65</v>
      </c>
      <c r="G649" t="s">
        <v>349</v>
      </c>
      <c r="H649">
        <v>-0.39</v>
      </c>
      <c r="I649">
        <v>-0.53</v>
      </c>
      <c r="J649">
        <v>-64.75</v>
      </c>
      <c r="K649">
        <v>12302.99</v>
      </c>
      <c r="M649">
        <v>0.64</v>
      </c>
    </row>
    <row r="650" spans="1:14">
      <c r="A650" s="28">
        <v>144</v>
      </c>
      <c r="B650" t="s">
        <v>1368</v>
      </c>
      <c r="C650" t="s">
        <v>348</v>
      </c>
      <c r="D650">
        <v>33.549999999999997</v>
      </c>
      <c r="E650">
        <v>1825.82</v>
      </c>
      <c r="F650">
        <v>73.66</v>
      </c>
      <c r="G650">
        <v>69.75</v>
      </c>
      <c r="H650">
        <v>37.44</v>
      </c>
      <c r="I650">
        <v>53.2</v>
      </c>
      <c r="J650">
        <v>903.85</v>
      </c>
      <c r="K650">
        <v>2407.27</v>
      </c>
      <c r="L650">
        <v>14.8</v>
      </c>
      <c r="M650">
        <v>5.56</v>
      </c>
      <c r="N650">
        <v>12.58</v>
      </c>
    </row>
    <row r="651" spans="1:14">
      <c r="A651" s="28">
        <v>942</v>
      </c>
      <c r="B651" t="s">
        <v>1180</v>
      </c>
      <c r="C651" t="s">
        <v>348</v>
      </c>
      <c r="D651">
        <v>33.57</v>
      </c>
      <c r="E651">
        <v>1334.58</v>
      </c>
      <c r="F651">
        <v>10.3</v>
      </c>
      <c r="G651" t="s">
        <v>349</v>
      </c>
      <c r="H651">
        <v>-4.5</v>
      </c>
      <c r="I651">
        <v>-6.19</v>
      </c>
      <c r="J651">
        <v>-459.23</v>
      </c>
      <c r="K651">
        <v>7172.88</v>
      </c>
      <c r="M651">
        <v>0.56000000000000005</v>
      </c>
    </row>
    <row r="652" spans="1:14">
      <c r="A652" s="28">
        <v>969</v>
      </c>
      <c r="B652" t="s">
        <v>1118</v>
      </c>
      <c r="C652" t="s">
        <v>348</v>
      </c>
      <c r="D652">
        <v>33.75</v>
      </c>
      <c r="E652">
        <v>819.2</v>
      </c>
      <c r="F652">
        <v>9.75</v>
      </c>
      <c r="G652">
        <v>30.85</v>
      </c>
      <c r="H652">
        <v>8.57</v>
      </c>
      <c r="I652">
        <v>11.65</v>
      </c>
      <c r="J652">
        <v>508.7</v>
      </c>
      <c r="K652">
        <v>4596.01</v>
      </c>
      <c r="L652">
        <v>13.45</v>
      </c>
      <c r="M652">
        <v>1.49</v>
      </c>
      <c r="N652">
        <v>9.34</v>
      </c>
    </row>
    <row r="653" spans="1:14">
      <c r="A653" s="28">
        <v>551</v>
      </c>
      <c r="B653" t="s">
        <v>672</v>
      </c>
      <c r="C653" t="s">
        <v>348</v>
      </c>
      <c r="D653">
        <v>33.85</v>
      </c>
      <c r="E653">
        <v>1484.88</v>
      </c>
      <c r="F653">
        <v>23.4</v>
      </c>
      <c r="G653">
        <v>2.71</v>
      </c>
      <c r="H653">
        <v>10.8</v>
      </c>
      <c r="I653">
        <v>15.15</v>
      </c>
      <c r="J653">
        <v>1053.45</v>
      </c>
      <c r="K653">
        <v>7924.42</v>
      </c>
      <c r="L653">
        <v>5.88</v>
      </c>
      <c r="M653">
        <v>0.78</v>
      </c>
      <c r="N653">
        <v>6.34</v>
      </c>
    </row>
    <row r="654" spans="1:14">
      <c r="A654" s="28">
        <v>1</v>
      </c>
      <c r="B654" t="s">
        <v>1070</v>
      </c>
      <c r="C654" t="s">
        <v>348</v>
      </c>
      <c r="D654">
        <v>33.99</v>
      </c>
      <c r="E654">
        <v>22.45</v>
      </c>
      <c r="F654" t="s">
        <v>2788</v>
      </c>
      <c r="G654" t="s">
        <v>2788</v>
      </c>
      <c r="H654">
        <v>-19.190000000000001</v>
      </c>
      <c r="I654">
        <v>-26.31</v>
      </c>
      <c r="J654">
        <v>-777.2</v>
      </c>
      <c r="K654">
        <v>3061.31</v>
      </c>
      <c r="M654">
        <v>0.91</v>
      </c>
    </row>
    <row r="655" spans="1:14">
      <c r="A655" s="28">
        <v>531</v>
      </c>
      <c r="B655" t="s">
        <v>2422</v>
      </c>
      <c r="C655" t="s">
        <v>348</v>
      </c>
      <c r="D655">
        <v>332.15</v>
      </c>
      <c r="E655">
        <v>195.84</v>
      </c>
      <c r="F655">
        <v>24.34</v>
      </c>
      <c r="G655" t="s">
        <v>2788</v>
      </c>
      <c r="H655">
        <v>-12.52</v>
      </c>
      <c r="I655">
        <v>-51.12</v>
      </c>
      <c r="J655">
        <v>-616.14</v>
      </c>
      <c r="K655">
        <v>1157.42</v>
      </c>
      <c r="M655">
        <v>5.12</v>
      </c>
      <c r="N655">
        <v>54.18</v>
      </c>
    </row>
    <row r="656" spans="1:14">
      <c r="A656" s="28">
        <v>162</v>
      </c>
      <c r="B656" t="s">
        <v>2548</v>
      </c>
      <c r="C656" t="s">
        <v>348</v>
      </c>
      <c r="D656">
        <v>332.27</v>
      </c>
      <c r="E656">
        <v>107.98</v>
      </c>
      <c r="F656">
        <v>66.489999999999995</v>
      </c>
      <c r="G656" t="s">
        <v>350</v>
      </c>
      <c r="H656">
        <v>2.5</v>
      </c>
      <c r="I656">
        <v>19.66</v>
      </c>
      <c r="J656">
        <v>91.6</v>
      </c>
      <c r="K656">
        <v>766.37</v>
      </c>
      <c r="L656">
        <v>64.95</v>
      </c>
      <c r="M656">
        <v>7.76</v>
      </c>
      <c r="N656">
        <v>23.08</v>
      </c>
    </row>
    <row r="657" spans="1:14">
      <c r="A657" s="28">
        <v>206</v>
      </c>
      <c r="B657" t="s">
        <v>2004</v>
      </c>
      <c r="C657" t="s">
        <v>348</v>
      </c>
      <c r="D657">
        <v>3326.21</v>
      </c>
      <c r="E657">
        <v>52.2</v>
      </c>
      <c r="F657">
        <v>55.44</v>
      </c>
      <c r="G657" t="s">
        <v>2788</v>
      </c>
      <c r="H657">
        <v>-42.09</v>
      </c>
      <c r="I657" t="s">
        <v>2792</v>
      </c>
      <c r="J657">
        <v>-1559.55</v>
      </c>
      <c r="K657">
        <v>127.94</v>
      </c>
      <c r="N657">
        <v>7.62</v>
      </c>
    </row>
    <row r="658" spans="1:14">
      <c r="A658" s="28">
        <v>52</v>
      </c>
      <c r="B658" t="s">
        <v>2519</v>
      </c>
      <c r="C658" t="s">
        <v>348</v>
      </c>
      <c r="D658">
        <v>333.53</v>
      </c>
      <c r="E658">
        <v>1156.19</v>
      </c>
      <c r="F658">
        <v>191.56</v>
      </c>
      <c r="G658" t="s">
        <v>350</v>
      </c>
      <c r="H658">
        <v>6.18</v>
      </c>
      <c r="I658">
        <v>30.45</v>
      </c>
      <c r="J658">
        <v>1611.45</v>
      </c>
      <c r="K658">
        <v>6280.96</v>
      </c>
      <c r="L658">
        <v>7.16</v>
      </c>
      <c r="M658">
        <v>1.84</v>
      </c>
      <c r="N658">
        <v>5.07</v>
      </c>
    </row>
    <row r="659" spans="1:14">
      <c r="A659" s="28">
        <v>335</v>
      </c>
      <c r="B659" t="s">
        <v>1310</v>
      </c>
      <c r="C659" t="s">
        <v>347</v>
      </c>
      <c r="D659">
        <v>333.69</v>
      </c>
      <c r="E659">
        <v>234.53</v>
      </c>
      <c r="F659">
        <v>37.03</v>
      </c>
      <c r="G659">
        <v>84.58</v>
      </c>
      <c r="H659">
        <v>3.13</v>
      </c>
      <c r="I659">
        <v>15.02</v>
      </c>
      <c r="J659">
        <v>2374.58</v>
      </c>
      <c r="K659">
        <v>16726.29</v>
      </c>
      <c r="L659">
        <v>21.06</v>
      </c>
      <c r="M659">
        <v>2.99</v>
      </c>
      <c r="N659">
        <v>13.2</v>
      </c>
    </row>
    <row r="660" spans="1:14">
      <c r="A660" s="28">
        <v>461</v>
      </c>
      <c r="B660" t="s">
        <v>1967</v>
      </c>
      <c r="C660" t="s">
        <v>347</v>
      </c>
      <c r="D660">
        <v>336.31</v>
      </c>
      <c r="E660">
        <v>127.32</v>
      </c>
      <c r="F660">
        <v>27.66</v>
      </c>
      <c r="G660" t="s">
        <v>350</v>
      </c>
      <c r="H660">
        <v>1.59</v>
      </c>
      <c r="I660">
        <v>6.98</v>
      </c>
      <c r="J660">
        <v>167.88</v>
      </c>
      <c r="K660">
        <v>2492.48</v>
      </c>
      <c r="L660">
        <v>15.76</v>
      </c>
      <c r="M660">
        <v>1.06</v>
      </c>
      <c r="N660">
        <v>6.12</v>
      </c>
    </row>
    <row r="661" spans="1:14">
      <c r="A661" s="28">
        <v>845</v>
      </c>
      <c r="B661" t="s">
        <v>542</v>
      </c>
      <c r="C661" t="s">
        <v>347</v>
      </c>
      <c r="D661">
        <v>34.659999999999997</v>
      </c>
      <c r="E661">
        <v>34879.550000000003</v>
      </c>
      <c r="F661">
        <v>12.79</v>
      </c>
      <c r="G661">
        <v>30.05</v>
      </c>
      <c r="H661">
        <v>10.38</v>
      </c>
      <c r="I661">
        <v>14.38</v>
      </c>
      <c r="J661">
        <v>20874.32</v>
      </c>
      <c r="K661">
        <v>174897.75</v>
      </c>
      <c r="L661">
        <v>21.46</v>
      </c>
      <c r="M661">
        <v>2.56</v>
      </c>
      <c r="N661">
        <v>14.85</v>
      </c>
    </row>
    <row r="662" spans="1:14">
      <c r="A662" s="28">
        <v>382</v>
      </c>
      <c r="B662" t="s">
        <v>1555</v>
      </c>
      <c r="C662" t="s">
        <v>347</v>
      </c>
      <c r="D662">
        <v>34.700000000000003</v>
      </c>
      <c r="E662">
        <v>2089.42</v>
      </c>
      <c r="F662">
        <v>32.46</v>
      </c>
      <c r="G662">
        <v>521.19000000000005</v>
      </c>
      <c r="H662">
        <v>6.64</v>
      </c>
      <c r="I662">
        <v>8.58</v>
      </c>
      <c r="J662">
        <v>9256.94</v>
      </c>
      <c r="K662">
        <v>109470.8</v>
      </c>
      <c r="L662">
        <v>5.35</v>
      </c>
      <c r="M662">
        <v>0.45</v>
      </c>
      <c r="N662">
        <v>2.86</v>
      </c>
    </row>
    <row r="663" spans="1:14">
      <c r="A663" s="28">
        <v>467</v>
      </c>
      <c r="B663" t="s">
        <v>199</v>
      </c>
      <c r="C663" t="s">
        <v>347</v>
      </c>
      <c r="D663">
        <v>34.799999999999997</v>
      </c>
      <c r="E663">
        <v>4922.9399999999996</v>
      </c>
      <c r="F663">
        <v>27.14</v>
      </c>
      <c r="G663">
        <v>1205.3499999999999</v>
      </c>
      <c r="H663">
        <v>4.6100000000000003</v>
      </c>
      <c r="I663">
        <v>6.67</v>
      </c>
      <c r="J663">
        <v>1573.84</v>
      </c>
      <c r="K663">
        <v>25114.720000000001</v>
      </c>
      <c r="L663">
        <v>10.36</v>
      </c>
      <c r="M663">
        <v>0.65</v>
      </c>
      <c r="N663">
        <v>7.63</v>
      </c>
    </row>
    <row r="664" spans="1:14">
      <c r="A664" s="28">
        <v>169</v>
      </c>
      <c r="B664" t="s">
        <v>1757</v>
      </c>
      <c r="C664" t="s">
        <v>347</v>
      </c>
      <c r="D664">
        <v>349.35</v>
      </c>
      <c r="E664">
        <v>2771.13</v>
      </c>
      <c r="F664">
        <v>64.5</v>
      </c>
      <c r="G664" t="s">
        <v>349</v>
      </c>
      <c r="H664">
        <v>-2.63</v>
      </c>
      <c r="I664">
        <v>-10.55</v>
      </c>
      <c r="J664">
        <v>-15880.44</v>
      </c>
      <c r="K664">
        <v>143556.72</v>
      </c>
      <c r="M664">
        <v>0.2</v>
      </c>
    </row>
    <row r="665" spans="1:14">
      <c r="A665" s="28">
        <v>830</v>
      </c>
      <c r="B665" t="s">
        <v>1713</v>
      </c>
      <c r="C665" t="s">
        <v>348</v>
      </c>
      <c r="D665">
        <v>35.04</v>
      </c>
      <c r="E665">
        <v>380.5</v>
      </c>
      <c r="F665">
        <v>13.3</v>
      </c>
      <c r="G665" t="s">
        <v>349</v>
      </c>
      <c r="H665">
        <v>-13.49</v>
      </c>
      <c r="I665">
        <v>-19.440000000000001</v>
      </c>
      <c r="J665">
        <v>-470.5</v>
      </c>
      <c r="K665">
        <v>2402.4899999999998</v>
      </c>
      <c r="M665">
        <v>1.97</v>
      </c>
      <c r="N665">
        <v>208.45</v>
      </c>
    </row>
    <row r="666" spans="1:14">
      <c r="A666" s="28">
        <v>160</v>
      </c>
      <c r="B666" t="s">
        <v>1078</v>
      </c>
      <c r="C666" t="s">
        <v>348</v>
      </c>
      <c r="D666">
        <v>35.049999999999997</v>
      </c>
      <c r="E666">
        <v>946.5</v>
      </c>
      <c r="F666">
        <v>67.709999999999994</v>
      </c>
      <c r="G666" t="s">
        <v>350</v>
      </c>
      <c r="H666">
        <v>6.67</v>
      </c>
      <c r="I666">
        <v>8.6</v>
      </c>
      <c r="J666">
        <v>408.04</v>
      </c>
      <c r="K666">
        <v>5232.5</v>
      </c>
      <c r="L666">
        <v>29.41</v>
      </c>
      <c r="M666">
        <v>2.29</v>
      </c>
      <c r="N666">
        <v>29.82</v>
      </c>
    </row>
    <row r="667" spans="1:14">
      <c r="A667" s="28">
        <v>1100</v>
      </c>
      <c r="B667" t="s">
        <v>930</v>
      </c>
      <c r="C667" t="s">
        <v>347</v>
      </c>
      <c r="D667">
        <v>35.17</v>
      </c>
      <c r="E667">
        <v>1034.28</v>
      </c>
      <c r="F667">
        <v>7.02</v>
      </c>
      <c r="G667" t="s">
        <v>349</v>
      </c>
      <c r="H667">
        <v>-5.15</v>
      </c>
      <c r="I667">
        <v>-6.89</v>
      </c>
      <c r="J667">
        <v>-357.58</v>
      </c>
      <c r="K667">
        <v>5671.39</v>
      </c>
      <c r="M667">
        <v>0.53</v>
      </c>
      <c r="N667">
        <v>9.9</v>
      </c>
    </row>
    <row r="668" spans="1:14">
      <c r="A668" s="28">
        <v>1076</v>
      </c>
      <c r="B668" t="s">
        <v>1606</v>
      </c>
      <c r="C668" t="s">
        <v>348</v>
      </c>
      <c r="D668">
        <v>35.32</v>
      </c>
      <c r="E668">
        <v>657.29</v>
      </c>
      <c r="F668">
        <v>7.56</v>
      </c>
      <c r="G668">
        <v>99.92</v>
      </c>
      <c r="H668">
        <v>7.53</v>
      </c>
      <c r="I668">
        <v>12.09</v>
      </c>
      <c r="J668">
        <v>317.5</v>
      </c>
      <c r="K668">
        <v>3786.45</v>
      </c>
      <c r="L668">
        <v>30.46</v>
      </c>
      <c r="M668">
        <v>2.5499999999999998</v>
      </c>
      <c r="N668">
        <v>38.32</v>
      </c>
    </row>
    <row r="669" spans="1:14">
      <c r="A669" s="28">
        <v>1028</v>
      </c>
      <c r="B669" t="s">
        <v>1223</v>
      </c>
      <c r="C669" t="s">
        <v>348</v>
      </c>
      <c r="D669">
        <v>35.4</v>
      </c>
      <c r="E669">
        <v>14472.23</v>
      </c>
      <c r="F669">
        <v>8.52</v>
      </c>
      <c r="G669">
        <v>-66.52</v>
      </c>
      <c r="H669">
        <v>6.65</v>
      </c>
      <c r="I669">
        <v>9.18</v>
      </c>
      <c r="J669">
        <v>4829</v>
      </c>
      <c r="K669">
        <v>68213.16</v>
      </c>
      <c r="L669">
        <v>26.51</v>
      </c>
      <c r="M669">
        <v>1.88</v>
      </c>
      <c r="N669">
        <v>14.01</v>
      </c>
    </row>
    <row r="670" spans="1:14">
      <c r="A670" s="28">
        <v>346</v>
      </c>
      <c r="B670" t="s">
        <v>245</v>
      </c>
      <c r="C670" t="s">
        <v>347</v>
      </c>
      <c r="D670">
        <v>35.42</v>
      </c>
      <c r="E670">
        <v>1194.42</v>
      </c>
      <c r="F670">
        <v>35.92</v>
      </c>
      <c r="G670">
        <v>162.46</v>
      </c>
      <c r="H670">
        <v>7.05</v>
      </c>
      <c r="I670">
        <v>9.7799999999999994</v>
      </c>
      <c r="J670">
        <v>1532.24</v>
      </c>
      <c r="K670">
        <v>12944.16</v>
      </c>
      <c r="L670">
        <v>3.31</v>
      </c>
      <c r="M670">
        <v>0.39</v>
      </c>
      <c r="N670">
        <v>2.2799999999999998</v>
      </c>
    </row>
    <row r="671" spans="1:14">
      <c r="A671" s="28">
        <v>540</v>
      </c>
      <c r="B671" t="s">
        <v>674</v>
      </c>
      <c r="C671" t="s">
        <v>348</v>
      </c>
      <c r="D671">
        <v>35.54</v>
      </c>
      <c r="E671">
        <v>4684.57</v>
      </c>
      <c r="F671">
        <v>23.98</v>
      </c>
      <c r="G671">
        <v>-19.18</v>
      </c>
      <c r="H671">
        <v>10.32</v>
      </c>
      <c r="I671">
        <v>13.51</v>
      </c>
      <c r="J671">
        <v>2735.22</v>
      </c>
      <c r="K671">
        <v>23922.87</v>
      </c>
      <c r="L671">
        <v>11.02</v>
      </c>
      <c r="M671">
        <v>1.26</v>
      </c>
      <c r="N671">
        <v>6.26</v>
      </c>
    </row>
    <row r="672" spans="1:14">
      <c r="A672" s="28">
        <v>389</v>
      </c>
      <c r="B672" t="s">
        <v>705</v>
      </c>
      <c r="C672" t="s">
        <v>348</v>
      </c>
      <c r="D672">
        <v>35.58</v>
      </c>
      <c r="E672">
        <v>416.11</v>
      </c>
      <c r="F672">
        <v>32.17</v>
      </c>
      <c r="G672">
        <v>-29.54</v>
      </c>
      <c r="H672">
        <v>8.0500000000000007</v>
      </c>
      <c r="I672">
        <v>10.52</v>
      </c>
      <c r="J672">
        <v>260.74</v>
      </c>
      <c r="K672">
        <v>2607.5</v>
      </c>
      <c r="L672">
        <v>18.29</v>
      </c>
      <c r="M672">
        <v>1.83</v>
      </c>
      <c r="N672">
        <v>5.96</v>
      </c>
    </row>
    <row r="673" spans="1:14">
      <c r="A673" s="28">
        <v>1016</v>
      </c>
      <c r="B673" t="s">
        <v>1416</v>
      </c>
      <c r="C673" t="s">
        <v>347</v>
      </c>
      <c r="D673">
        <v>35.82</v>
      </c>
      <c r="E673">
        <v>51.61</v>
      </c>
      <c r="F673">
        <v>8.81</v>
      </c>
      <c r="G673" t="s">
        <v>349</v>
      </c>
      <c r="H673">
        <v>-57.5</v>
      </c>
      <c r="I673">
        <v>-84.75</v>
      </c>
      <c r="J673">
        <v>-4958.78</v>
      </c>
      <c r="K673">
        <v>7058.22</v>
      </c>
      <c r="M673">
        <v>2.2000000000000002</v>
      </c>
    </row>
    <row r="674" spans="1:14">
      <c r="A674" s="28">
        <v>8</v>
      </c>
      <c r="B674" t="s">
        <v>2661</v>
      </c>
      <c r="C674" t="s">
        <v>348</v>
      </c>
      <c r="D674">
        <v>35.82</v>
      </c>
      <c r="E674">
        <v>46.11</v>
      </c>
      <c r="F674">
        <v>1870.95</v>
      </c>
      <c r="G674" t="s">
        <v>2788</v>
      </c>
      <c r="H674">
        <v>-21.79</v>
      </c>
      <c r="I674">
        <v>-28.42</v>
      </c>
      <c r="J674">
        <v>-249.51</v>
      </c>
      <c r="K674">
        <v>730.54</v>
      </c>
      <c r="M674">
        <v>9.5399999999999991</v>
      </c>
    </row>
    <row r="675" spans="1:14">
      <c r="A675" s="28">
        <v>819</v>
      </c>
      <c r="B675" t="s">
        <v>2131</v>
      </c>
      <c r="C675" t="s">
        <v>348</v>
      </c>
      <c r="D675">
        <v>35.979999999999997</v>
      </c>
      <c r="E675">
        <v>853.79</v>
      </c>
      <c r="F675">
        <v>13.62</v>
      </c>
      <c r="G675" t="s">
        <v>2788</v>
      </c>
      <c r="H675">
        <v>-42.18</v>
      </c>
      <c r="I675">
        <v>-61.43</v>
      </c>
      <c r="J675">
        <v>-577.38</v>
      </c>
      <c r="K675">
        <v>906.13</v>
      </c>
      <c r="M675">
        <v>0.5</v>
      </c>
      <c r="N675">
        <v>14.54</v>
      </c>
    </row>
    <row r="676" spans="1:14">
      <c r="A676" s="28">
        <v>65</v>
      </c>
      <c r="B676" t="s">
        <v>1278</v>
      </c>
      <c r="C676" t="s">
        <v>347</v>
      </c>
      <c r="D676">
        <v>350.37</v>
      </c>
      <c r="E676">
        <v>1084.45</v>
      </c>
      <c r="F676">
        <v>154.44999999999999</v>
      </c>
      <c r="G676">
        <v>111.59</v>
      </c>
      <c r="H676">
        <v>5.68</v>
      </c>
      <c r="I676">
        <v>22.38</v>
      </c>
      <c r="J676">
        <v>12817.69</v>
      </c>
      <c r="K676">
        <v>62146.61</v>
      </c>
      <c r="L676">
        <v>9.7100000000000009</v>
      </c>
      <c r="M676">
        <v>2</v>
      </c>
      <c r="N676">
        <v>13.22</v>
      </c>
    </row>
    <row r="677" spans="1:14">
      <c r="A677" s="28">
        <v>370</v>
      </c>
      <c r="B677" t="s">
        <v>264</v>
      </c>
      <c r="C677" t="s">
        <v>348</v>
      </c>
      <c r="D677">
        <v>354.45</v>
      </c>
      <c r="E677">
        <v>2070.14</v>
      </c>
      <c r="F677">
        <v>33.380000000000003</v>
      </c>
      <c r="G677">
        <v>-21.55</v>
      </c>
      <c r="H677">
        <v>1.1100000000000001</v>
      </c>
      <c r="I677">
        <v>5.05</v>
      </c>
      <c r="J677">
        <v>1044.54</v>
      </c>
      <c r="K677">
        <v>21701.42</v>
      </c>
      <c r="L677">
        <v>8.2200000000000006</v>
      </c>
      <c r="M677">
        <v>0.4</v>
      </c>
    </row>
    <row r="678" spans="1:14">
      <c r="A678" s="28">
        <v>347</v>
      </c>
      <c r="B678" t="s">
        <v>2831</v>
      </c>
      <c r="C678" t="s">
        <v>348</v>
      </c>
      <c r="D678">
        <v>359.08</v>
      </c>
      <c r="E678">
        <v>2890.26</v>
      </c>
      <c r="F678">
        <v>35.9</v>
      </c>
      <c r="G678">
        <v>214.2</v>
      </c>
      <c r="H678">
        <v>6.2</v>
      </c>
      <c r="I678">
        <v>29.29</v>
      </c>
      <c r="J678">
        <v>384.87</v>
      </c>
      <c r="K678">
        <v>1441.09</v>
      </c>
      <c r="N678">
        <v>5.31</v>
      </c>
    </row>
    <row r="679" spans="1:14">
      <c r="A679" s="28">
        <v>661</v>
      </c>
      <c r="B679" t="s">
        <v>1956</v>
      </c>
      <c r="C679" t="s">
        <v>348</v>
      </c>
      <c r="D679">
        <v>36.020000000000003</v>
      </c>
      <c r="E679">
        <v>5781.84</v>
      </c>
      <c r="F679">
        <v>18.46</v>
      </c>
      <c r="G679">
        <v>-10.29</v>
      </c>
      <c r="H679">
        <v>4.8499999999999996</v>
      </c>
      <c r="I679">
        <v>6.1</v>
      </c>
      <c r="J679">
        <v>1746.48</v>
      </c>
      <c r="K679">
        <v>29409.18</v>
      </c>
      <c r="L679">
        <v>25.48</v>
      </c>
      <c r="M679">
        <v>1.51</v>
      </c>
      <c r="N679">
        <v>17.420000000000002</v>
      </c>
    </row>
    <row r="680" spans="1:14">
      <c r="A680" s="28">
        <v>660</v>
      </c>
      <c r="B680" t="s">
        <v>1802</v>
      </c>
      <c r="C680" t="s">
        <v>348</v>
      </c>
      <c r="D680">
        <v>36.07</v>
      </c>
      <c r="E680">
        <v>493.28</v>
      </c>
      <c r="F680">
        <v>18.52</v>
      </c>
      <c r="G680">
        <v>243.69</v>
      </c>
      <c r="H680">
        <v>31.71</v>
      </c>
      <c r="I680">
        <v>59</v>
      </c>
      <c r="J680">
        <v>385.25</v>
      </c>
      <c r="K680">
        <v>1003.36</v>
      </c>
      <c r="L680">
        <v>9.49</v>
      </c>
      <c r="M680">
        <v>3.64</v>
      </c>
      <c r="N680">
        <v>6.58</v>
      </c>
    </row>
    <row r="681" spans="1:14">
      <c r="A681" s="28">
        <v>783</v>
      </c>
      <c r="B681" t="s">
        <v>1805</v>
      </c>
      <c r="C681" t="s">
        <v>348</v>
      </c>
      <c r="D681">
        <v>36.130000000000003</v>
      </c>
      <c r="E681">
        <v>869.68</v>
      </c>
      <c r="F681">
        <v>14.61</v>
      </c>
      <c r="G681" t="s">
        <v>350</v>
      </c>
      <c r="H681">
        <v>5.52</v>
      </c>
      <c r="I681">
        <v>8.26</v>
      </c>
      <c r="J681">
        <v>330.09</v>
      </c>
      <c r="K681">
        <v>4848.38</v>
      </c>
      <c r="L681">
        <v>11.47</v>
      </c>
      <c r="M681">
        <v>0.78</v>
      </c>
    </row>
    <row r="682" spans="1:14">
      <c r="A682" s="28">
        <v>910</v>
      </c>
      <c r="B682" t="s">
        <v>2308</v>
      </c>
      <c r="C682" t="s">
        <v>347</v>
      </c>
      <c r="D682">
        <v>36.36</v>
      </c>
      <c r="E682">
        <v>230.25</v>
      </c>
      <c r="F682">
        <v>11.03</v>
      </c>
      <c r="G682" t="s">
        <v>350</v>
      </c>
      <c r="H682">
        <v>0.96</v>
      </c>
      <c r="I682">
        <v>1.42</v>
      </c>
      <c r="J682">
        <v>23.18</v>
      </c>
      <c r="K682">
        <v>1651.25</v>
      </c>
      <c r="L682">
        <v>91.88</v>
      </c>
      <c r="M682">
        <v>1.29</v>
      </c>
      <c r="N682">
        <v>150.85</v>
      </c>
    </row>
    <row r="683" spans="1:14">
      <c r="A683" s="28">
        <v>139</v>
      </c>
      <c r="B683" t="s">
        <v>88</v>
      </c>
      <c r="C683" t="s">
        <v>347</v>
      </c>
      <c r="D683">
        <v>36.39</v>
      </c>
      <c r="E683">
        <v>131.61000000000001</v>
      </c>
      <c r="F683">
        <v>76.739999999999995</v>
      </c>
      <c r="G683">
        <v>163.72999999999999</v>
      </c>
      <c r="H683">
        <v>11.55</v>
      </c>
      <c r="I683">
        <v>15.64</v>
      </c>
      <c r="J683">
        <v>1727.15</v>
      </c>
      <c r="K683">
        <v>11580.57</v>
      </c>
      <c r="L683">
        <v>4.57</v>
      </c>
      <c r="M683">
        <v>0.68</v>
      </c>
    </row>
    <row r="684" spans="1:14">
      <c r="A684" s="28">
        <v>550</v>
      </c>
      <c r="B684" t="s">
        <v>2099</v>
      </c>
      <c r="C684" t="s">
        <v>348</v>
      </c>
      <c r="D684">
        <v>36.4</v>
      </c>
      <c r="E684">
        <v>1276.25</v>
      </c>
      <c r="F684">
        <v>23.44</v>
      </c>
      <c r="G684">
        <v>1.34</v>
      </c>
      <c r="H684">
        <v>27.35</v>
      </c>
      <c r="I684">
        <v>44.55</v>
      </c>
      <c r="J684">
        <v>2060.0100000000002</v>
      </c>
      <c r="K684">
        <v>6881.27</v>
      </c>
      <c r="L684">
        <v>8.3699999999999992</v>
      </c>
      <c r="M684">
        <v>2.5099999999999998</v>
      </c>
      <c r="N684">
        <v>12.94</v>
      </c>
    </row>
    <row r="685" spans="1:14">
      <c r="A685" s="28">
        <v>159</v>
      </c>
      <c r="B685" t="s">
        <v>2644</v>
      </c>
      <c r="C685" t="s">
        <v>348</v>
      </c>
      <c r="D685">
        <v>36.5</v>
      </c>
      <c r="E685">
        <v>4735.6499999999996</v>
      </c>
      <c r="F685">
        <v>67.75</v>
      </c>
      <c r="G685" t="s">
        <v>350</v>
      </c>
      <c r="H685">
        <v>12.49</v>
      </c>
      <c r="I685">
        <v>18.260000000000002</v>
      </c>
      <c r="J685">
        <v>3481.8</v>
      </c>
      <c r="K685">
        <v>24178.27</v>
      </c>
      <c r="L685">
        <v>29.21</v>
      </c>
      <c r="M685">
        <v>4.21</v>
      </c>
      <c r="N685">
        <v>23.75</v>
      </c>
    </row>
    <row r="686" spans="1:14">
      <c r="A686" s="28">
        <v>789</v>
      </c>
      <c r="B686" t="s">
        <v>834</v>
      </c>
      <c r="C686" t="s">
        <v>348</v>
      </c>
      <c r="D686">
        <v>36.6</v>
      </c>
      <c r="E686">
        <v>223.79</v>
      </c>
      <c r="F686">
        <v>14.48</v>
      </c>
      <c r="G686">
        <v>234.03</v>
      </c>
      <c r="H686">
        <v>8.4499999999999993</v>
      </c>
      <c r="I686">
        <v>14.69</v>
      </c>
      <c r="J686">
        <v>230.77</v>
      </c>
      <c r="K686">
        <v>1618.95</v>
      </c>
      <c r="L686">
        <v>29.99</v>
      </c>
      <c r="M686">
        <v>4.2699999999999996</v>
      </c>
      <c r="N686">
        <v>23.98</v>
      </c>
    </row>
    <row r="687" spans="1:14">
      <c r="A687" s="28">
        <v>43</v>
      </c>
      <c r="B687" t="s">
        <v>1466</v>
      </c>
      <c r="C687" t="s">
        <v>348</v>
      </c>
      <c r="D687">
        <v>36.840000000000003</v>
      </c>
      <c r="E687">
        <v>7430.11</v>
      </c>
      <c r="F687">
        <v>233.17</v>
      </c>
      <c r="G687">
        <v>76.69</v>
      </c>
      <c r="H687">
        <v>17.61</v>
      </c>
      <c r="I687">
        <v>24.77</v>
      </c>
      <c r="J687">
        <v>391.34</v>
      </c>
      <c r="K687">
        <v>1882.53</v>
      </c>
      <c r="L687">
        <v>6.42</v>
      </c>
      <c r="M687">
        <v>1.34</v>
      </c>
      <c r="N687">
        <v>6.73</v>
      </c>
    </row>
    <row r="688" spans="1:14">
      <c r="A688" s="28">
        <v>355</v>
      </c>
      <c r="B688" t="s">
        <v>2628</v>
      </c>
      <c r="C688" t="s">
        <v>347</v>
      </c>
      <c r="D688">
        <v>361.51</v>
      </c>
      <c r="E688">
        <v>401.49</v>
      </c>
      <c r="F688">
        <v>35.020000000000003</v>
      </c>
      <c r="G688" t="s">
        <v>2788</v>
      </c>
      <c r="H688">
        <v>-0.57999999999999996</v>
      </c>
      <c r="I688">
        <v>-2.5499999999999998</v>
      </c>
      <c r="J688">
        <v>-101.17</v>
      </c>
      <c r="K688">
        <v>5014.9399999999996</v>
      </c>
      <c r="M688">
        <v>1.55</v>
      </c>
      <c r="N688">
        <v>19.91</v>
      </c>
    </row>
    <row r="689" spans="1:14">
      <c r="A689" s="28">
        <v>175</v>
      </c>
      <c r="B689" t="s">
        <v>1286</v>
      </c>
      <c r="C689" t="s">
        <v>348</v>
      </c>
      <c r="D689">
        <v>37</v>
      </c>
      <c r="E689">
        <v>1912.23</v>
      </c>
      <c r="F689">
        <v>63.67</v>
      </c>
      <c r="G689">
        <v>118.62</v>
      </c>
      <c r="H689">
        <v>30.04</v>
      </c>
      <c r="I689">
        <v>40.770000000000003</v>
      </c>
      <c r="J689">
        <v>3384</v>
      </c>
      <c r="K689">
        <v>10171.450000000001</v>
      </c>
      <c r="L689">
        <v>29.94</v>
      </c>
      <c r="M689">
        <v>9.9600000000000009</v>
      </c>
      <c r="N689">
        <v>22.47</v>
      </c>
    </row>
    <row r="690" spans="1:14">
      <c r="A690" s="28">
        <v>829</v>
      </c>
      <c r="B690" t="s">
        <v>548</v>
      </c>
      <c r="C690" t="s">
        <v>348</v>
      </c>
      <c r="D690">
        <v>37.020000000000003</v>
      </c>
      <c r="E690">
        <v>533.39</v>
      </c>
      <c r="F690">
        <v>13.35</v>
      </c>
      <c r="G690">
        <v>25.59</v>
      </c>
      <c r="H690">
        <v>5.01</v>
      </c>
      <c r="I690">
        <v>6.81</v>
      </c>
      <c r="J690">
        <v>213.11</v>
      </c>
      <c r="K690">
        <v>3166.97</v>
      </c>
      <c r="L690">
        <v>23.41</v>
      </c>
      <c r="M690">
        <v>1.58</v>
      </c>
      <c r="N690">
        <v>9.0500000000000007</v>
      </c>
    </row>
    <row r="691" spans="1:14">
      <c r="A691" s="28">
        <v>391</v>
      </c>
      <c r="B691" t="s">
        <v>1232</v>
      </c>
      <c r="C691" t="s">
        <v>348</v>
      </c>
      <c r="D691">
        <v>37.03</v>
      </c>
      <c r="E691">
        <v>1635.77</v>
      </c>
      <c r="F691">
        <v>32.020000000000003</v>
      </c>
      <c r="G691">
        <v>115.21</v>
      </c>
      <c r="H691">
        <v>4.17</v>
      </c>
      <c r="I691">
        <v>5.4</v>
      </c>
      <c r="J691">
        <v>422.54</v>
      </c>
      <c r="K691">
        <v>8678.8700000000008</v>
      </c>
      <c r="L691">
        <v>35.07</v>
      </c>
      <c r="M691">
        <v>1.71</v>
      </c>
      <c r="N691">
        <v>22.64</v>
      </c>
    </row>
    <row r="692" spans="1:14">
      <c r="A692" s="28">
        <v>645</v>
      </c>
      <c r="B692" t="s">
        <v>934</v>
      </c>
      <c r="C692" t="s">
        <v>347</v>
      </c>
      <c r="D692">
        <v>37.08</v>
      </c>
      <c r="E692">
        <v>7945.05</v>
      </c>
      <c r="F692">
        <v>19.09</v>
      </c>
      <c r="G692">
        <v>169.4</v>
      </c>
      <c r="H692">
        <v>3.94</v>
      </c>
      <c r="I692">
        <v>5.47</v>
      </c>
      <c r="J692">
        <v>2126.44</v>
      </c>
      <c r="K692">
        <v>40225.26</v>
      </c>
      <c r="L692">
        <v>14.65</v>
      </c>
      <c r="M692">
        <v>0.77</v>
      </c>
      <c r="N692">
        <v>34.08</v>
      </c>
    </row>
    <row r="693" spans="1:14">
      <c r="A693" s="28">
        <v>520</v>
      </c>
      <c r="B693" t="s">
        <v>2035</v>
      </c>
      <c r="C693" t="s">
        <v>348</v>
      </c>
      <c r="D693">
        <v>37.11</v>
      </c>
      <c r="E693">
        <v>1211.17</v>
      </c>
      <c r="F693">
        <v>24.64</v>
      </c>
      <c r="G693">
        <v>34.57</v>
      </c>
      <c r="H693">
        <v>3.88</v>
      </c>
      <c r="I693">
        <v>4.68</v>
      </c>
      <c r="J693">
        <v>305.02</v>
      </c>
      <c r="K693">
        <v>6555.84</v>
      </c>
      <c r="L693">
        <v>17.61</v>
      </c>
      <c r="M693">
        <v>0.82</v>
      </c>
      <c r="N693">
        <v>34.11</v>
      </c>
    </row>
    <row r="694" spans="1:14">
      <c r="A694" s="28">
        <v>26</v>
      </c>
      <c r="B694" t="s">
        <v>1579</v>
      </c>
      <c r="C694" t="s">
        <v>348</v>
      </c>
      <c r="D694">
        <v>37.44</v>
      </c>
      <c r="E694">
        <v>502.72</v>
      </c>
      <c r="F694">
        <v>388.97</v>
      </c>
      <c r="G694" t="s">
        <v>350</v>
      </c>
      <c r="H694">
        <v>6.66</v>
      </c>
      <c r="I694">
        <v>9.89</v>
      </c>
      <c r="J694">
        <v>273.55</v>
      </c>
      <c r="K694">
        <v>3013.61</v>
      </c>
      <c r="L694">
        <v>14.02</v>
      </c>
      <c r="M694">
        <v>1.27</v>
      </c>
      <c r="N694">
        <v>20.09</v>
      </c>
    </row>
    <row r="695" spans="1:14">
      <c r="A695" s="28">
        <v>804</v>
      </c>
      <c r="B695" t="s">
        <v>1001</v>
      </c>
      <c r="C695" t="s">
        <v>348</v>
      </c>
      <c r="D695">
        <v>37.549999999999997</v>
      </c>
      <c r="E695">
        <v>2383</v>
      </c>
      <c r="F695">
        <v>13.96</v>
      </c>
      <c r="G695" t="s">
        <v>349</v>
      </c>
      <c r="H695">
        <v>-24.51</v>
      </c>
      <c r="I695">
        <v>-30.44</v>
      </c>
      <c r="J695">
        <v>-4483.72</v>
      </c>
      <c r="K695">
        <v>12620.73</v>
      </c>
      <c r="M695">
        <v>2.5</v>
      </c>
    </row>
    <row r="696" spans="1:14">
      <c r="A696" s="28">
        <v>253</v>
      </c>
      <c r="B696" t="s">
        <v>2235</v>
      </c>
      <c r="C696" t="s">
        <v>348</v>
      </c>
      <c r="D696">
        <v>37.590000000000003</v>
      </c>
      <c r="E696">
        <v>798.41</v>
      </c>
      <c r="F696">
        <v>46.04</v>
      </c>
      <c r="G696">
        <v>69.28</v>
      </c>
      <c r="H696">
        <v>3.28</v>
      </c>
      <c r="I696">
        <v>4.47</v>
      </c>
      <c r="J696">
        <v>169.42</v>
      </c>
      <c r="K696">
        <v>4492.04</v>
      </c>
      <c r="L696">
        <v>88.42</v>
      </c>
      <c r="M696">
        <v>3.33</v>
      </c>
      <c r="N696">
        <v>48.55</v>
      </c>
    </row>
    <row r="697" spans="1:14">
      <c r="A697" s="28">
        <v>603</v>
      </c>
      <c r="B697" t="s">
        <v>2565</v>
      </c>
      <c r="C697" t="s">
        <v>348</v>
      </c>
      <c r="D697">
        <v>37.85</v>
      </c>
      <c r="E697">
        <v>423.97</v>
      </c>
      <c r="F697">
        <v>20.420000000000002</v>
      </c>
      <c r="G697">
        <v>23.4</v>
      </c>
      <c r="H697">
        <v>4.3899999999999997</v>
      </c>
      <c r="I697">
        <v>6.12</v>
      </c>
      <c r="J697">
        <v>146.22</v>
      </c>
      <c r="K697">
        <v>2550.4699999999998</v>
      </c>
      <c r="L697">
        <v>44.4</v>
      </c>
      <c r="M697">
        <v>2.5499999999999998</v>
      </c>
      <c r="N697">
        <v>39.590000000000003</v>
      </c>
    </row>
    <row r="698" spans="1:14">
      <c r="A698" s="28">
        <v>282</v>
      </c>
      <c r="B698" t="s">
        <v>2158</v>
      </c>
      <c r="C698" t="s">
        <v>347</v>
      </c>
      <c r="D698">
        <v>37.880000000000003</v>
      </c>
      <c r="E698">
        <v>505.29</v>
      </c>
      <c r="F698">
        <v>42.98</v>
      </c>
      <c r="G698">
        <v>1568.67</v>
      </c>
      <c r="H698">
        <v>8.83</v>
      </c>
      <c r="I698">
        <v>12.66</v>
      </c>
      <c r="J698">
        <v>360.34</v>
      </c>
      <c r="K698">
        <v>3026.44</v>
      </c>
      <c r="L698">
        <v>4.29</v>
      </c>
      <c r="M698">
        <v>0.51</v>
      </c>
      <c r="N698">
        <v>6.17</v>
      </c>
    </row>
    <row r="699" spans="1:14">
      <c r="A699" s="28">
        <v>220</v>
      </c>
      <c r="B699" t="s">
        <v>2832</v>
      </c>
      <c r="C699" t="s">
        <v>348</v>
      </c>
      <c r="D699">
        <v>37.89</v>
      </c>
      <c r="E699">
        <v>1366.13</v>
      </c>
      <c r="F699">
        <v>51.7</v>
      </c>
      <c r="G699" t="s">
        <v>2788</v>
      </c>
      <c r="H699">
        <v>-2.12</v>
      </c>
      <c r="I699">
        <v>-3</v>
      </c>
      <c r="J699">
        <v>-54.72</v>
      </c>
      <c r="K699">
        <v>1858.02</v>
      </c>
      <c r="M699">
        <v>4.18</v>
      </c>
      <c r="N699">
        <v>62.83</v>
      </c>
    </row>
    <row r="700" spans="1:14">
      <c r="A700" s="28">
        <v>475</v>
      </c>
      <c r="B700" t="s">
        <v>276</v>
      </c>
      <c r="C700" t="s">
        <v>348</v>
      </c>
      <c r="D700">
        <v>37.93</v>
      </c>
      <c r="E700">
        <v>2180.85</v>
      </c>
      <c r="F700">
        <v>26.66</v>
      </c>
      <c r="G700">
        <v>-36.729999999999997</v>
      </c>
      <c r="H700">
        <v>3</v>
      </c>
      <c r="I700">
        <v>4.18</v>
      </c>
      <c r="J700">
        <v>469.82</v>
      </c>
      <c r="K700">
        <v>11404.26</v>
      </c>
      <c r="L700">
        <v>6.73</v>
      </c>
      <c r="M700">
        <v>0.28000000000000003</v>
      </c>
      <c r="N700">
        <v>8.82</v>
      </c>
    </row>
    <row r="701" spans="1:14">
      <c r="A701" s="28">
        <v>177</v>
      </c>
      <c r="B701" t="s">
        <v>1823</v>
      </c>
      <c r="C701" t="s">
        <v>348</v>
      </c>
      <c r="D701">
        <v>373.58</v>
      </c>
      <c r="E701">
        <v>383.25</v>
      </c>
      <c r="F701">
        <v>62.21</v>
      </c>
      <c r="G701" t="s">
        <v>2788</v>
      </c>
      <c r="H701">
        <v>-20.8</v>
      </c>
      <c r="I701">
        <v>-59.89</v>
      </c>
      <c r="J701">
        <v>-1978.06</v>
      </c>
      <c r="K701">
        <v>2416.2600000000002</v>
      </c>
      <c r="M701">
        <v>6.68</v>
      </c>
    </row>
    <row r="702" spans="1:14">
      <c r="A702" s="28">
        <v>878</v>
      </c>
      <c r="B702" t="s">
        <v>720</v>
      </c>
      <c r="C702" t="s">
        <v>348</v>
      </c>
      <c r="D702">
        <v>38.130000000000003</v>
      </c>
      <c r="E702">
        <v>1547.32</v>
      </c>
      <c r="F702">
        <v>11.62</v>
      </c>
      <c r="G702">
        <v>23.49</v>
      </c>
      <c r="H702">
        <v>5.79</v>
      </c>
      <c r="I702">
        <v>8.8699999999999992</v>
      </c>
      <c r="J702">
        <v>129.04</v>
      </c>
      <c r="K702">
        <v>1647.32</v>
      </c>
      <c r="L702">
        <v>14.31</v>
      </c>
      <c r="M702">
        <v>1.1200000000000001</v>
      </c>
      <c r="N702">
        <v>9.36</v>
      </c>
    </row>
    <row r="703" spans="1:14">
      <c r="A703" s="28">
        <v>955</v>
      </c>
      <c r="B703" t="s">
        <v>1475</v>
      </c>
      <c r="C703" t="s">
        <v>348</v>
      </c>
      <c r="D703">
        <v>38.14</v>
      </c>
      <c r="E703">
        <v>1049.97</v>
      </c>
      <c r="F703">
        <v>9.9700000000000006</v>
      </c>
      <c r="G703">
        <v>82.34</v>
      </c>
      <c r="H703">
        <v>1.87</v>
      </c>
      <c r="I703">
        <v>2.62</v>
      </c>
      <c r="J703">
        <v>139.91999999999999</v>
      </c>
      <c r="K703">
        <v>5749.83</v>
      </c>
      <c r="L703">
        <v>77.47</v>
      </c>
      <c r="M703">
        <v>1.89</v>
      </c>
      <c r="N703">
        <v>28.1</v>
      </c>
    </row>
    <row r="704" spans="1:14">
      <c r="A704" s="28">
        <v>229</v>
      </c>
      <c r="B704" t="s">
        <v>1287</v>
      </c>
      <c r="C704" t="s">
        <v>348</v>
      </c>
      <c r="D704">
        <v>38.17</v>
      </c>
      <c r="E704">
        <v>750.94</v>
      </c>
      <c r="F704">
        <v>49.53</v>
      </c>
      <c r="G704" t="s">
        <v>350</v>
      </c>
      <c r="H704">
        <v>9.19</v>
      </c>
      <c r="I704">
        <v>12.44</v>
      </c>
      <c r="J704">
        <v>94.64</v>
      </c>
      <c r="K704">
        <v>850.94</v>
      </c>
      <c r="L704">
        <v>17.649999999999999</v>
      </c>
      <c r="M704">
        <v>1.96</v>
      </c>
      <c r="N704">
        <v>10.09</v>
      </c>
    </row>
    <row r="705" spans="1:14">
      <c r="A705" s="28">
        <v>879</v>
      </c>
      <c r="B705" t="s">
        <v>655</v>
      </c>
      <c r="C705" t="s">
        <v>348</v>
      </c>
      <c r="D705">
        <v>38.32</v>
      </c>
      <c r="E705">
        <v>310.02999999999997</v>
      </c>
      <c r="F705">
        <v>11.59</v>
      </c>
      <c r="G705" t="s">
        <v>349</v>
      </c>
      <c r="H705">
        <v>-3.45</v>
      </c>
      <c r="I705">
        <v>-4.29</v>
      </c>
      <c r="J705">
        <v>-181.77</v>
      </c>
      <c r="K705">
        <v>4061.86</v>
      </c>
      <c r="M705">
        <v>1.51</v>
      </c>
      <c r="N705">
        <v>54.03</v>
      </c>
    </row>
    <row r="706" spans="1:14">
      <c r="A706" s="28">
        <v>210</v>
      </c>
      <c r="B706" t="s">
        <v>1333</v>
      </c>
      <c r="C706" t="s">
        <v>348</v>
      </c>
      <c r="D706">
        <v>38.35</v>
      </c>
      <c r="E706">
        <v>5878.59</v>
      </c>
      <c r="F706">
        <v>54.99</v>
      </c>
      <c r="G706">
        <v>324.89</v>
      </c>
      <c r="H706">
        <v>9.9</v>
      </c>
      <c r="I706">
        <v>13.24</v>
      </c>
      <c r="J706">
        <v>3586.37</v>
      </c>
      <c r="K706">
        <v>29892.93</v>
      </c>
      <c r="L706">
        <v>4.66</v>
      </c>
      <c r="M706">
        <v>0.56000000000000005</v>
      </c>
      <c r="N706">
        <v>2.08</v>
      </c>
    </row>
    <row r="707" spans="1:14">
      <c r="A707" s="28">
        <v>149</v>
      </c>
      <c r="B707" t="s">
        <v>1647</v>
      </c>
      <c r="C707" t="s">
        <v>348</v>
      </c>
      <c r="D707">
        <v>38.4</v>
      </c>
      <c r="E707">
        <v>54.41</v>
      </c>
      <c r="F707">
        <v>71.91</v>
      </c>
      <c r="G707" t="s">
        <v>350</v>
      </c>
      <c r="H707">
        <v>19.239999999999998</v>
      </c>
      <c r="I707">
        <v>27.98</v>
      </c>
      <c r="J707">
        <v>189.51</v>
      </c>
      <c r="K707">
        <v>772.07</v>
      </c>
      <c r="L707">
        <v>5.96</v>
      </c>
      <c r="M707">
        <v>1.46</v>
      </c>
      <c r="N707">
        <v>9.02</v>
      </c>
    </row>
    <row r="708" spans="1:14">
      <c r="A708" s="28">
        <v>136</v>
      </c>
      <c r="B708" t="s">
        <v>1437</v>
      </c>
      <c r="C708" t="s">
        <v>348</v>
      </c>
      <c r="D708">
        <v>38.81</v>
      </c>
      <c r="E708">
        <v>134.97</v>
      </c>
      <c r="F708">
        <v>79.510000000000005</v>
      </c>
      <c r="G708" t="s">
        <v>350</v>
      </c>
      <c r="H708">
        <v>8.5399999999999991</v>
      </c>
      <c r="I708">
        <v>11.72</v>
      </c>
      <c r="J708">
        <v>130.01</v>
      </c>
      <c r="K708">
        <v>1174.8599999999999</v>
      </c>
      <c r="L708">
        <v>29.84</v>
      </c>
      <c r="M708">
        <v>3.3</v>
      </c>
      <c r="N708">
        <v>32.28</v>
      </c>
    </row>
    <row r="709" spans="1:14">
      <c r="A709" s="28">
        <v>118</v>
      </c>
      <c r="B709" t="s">
        <v>1588</v>
      </c>
      <c r="C709" t="s">
        <v>348</v>
      </c>
      <c r="D709">
        <v>381.11</v>
      </c>
      <c r="E709">
        <v>35.85</v>
      </c>
      <c r="F709">
        <v>88.89</v>
      </c>
      <c r="G709" t="s">
        <v>2788</v>
      </c>
      <c r="H709">
        <v>-29.15</v>
      </c>
      <c r="I709">
        <v>-95.97</v>
      </c>
      <c r="J709">
        <v>-970.85</v>
      </c>
      <c r="K709">
        <v>679.25</v>
      </c>
      <c r="M709">
        <v>2.36</v>
      </c>
      <c r="N709">
        <v>242.14</v>
      </c>
    </row>
    <row r="710" spans="1:14">
      <c r="A710" s="28">
        <v>866</v>
      </c>
      <c r="B710" t="s">
        <v>888</v>
      </c>
      <c r="C710" t="s">
        <v>348</v>
      </c>
      <c r="D710">
        <v>39.19</v>
      </c>
      <c r="E710">
        <v>702.36</v>
      </c>
      <c r="F710">
        <v>12.1</v>
      </c>
      <c r="G710">
        <v>-14.19</v>
      </c>
      <c r="H710">
        <v>2.62</v>
      </c>
      <c r="I710">
        <v>3.62</v>
      </c>
      <c r="J710">
        <v>145.72999999999999</v>
      </c>
      <c r="K710">
        <v>4071.9</v>
      </c>
      <c r="L710">
        <v>23.4</v>
      </c>
      <c r="M710">
        <v>0.84</v>
      </c>
      <c r="N710">
        <v>10.4</v>
      </c>
    </row>
    <row r="711" spans="1:14">
      <c r="A711" s="28">
        <v>401</v>
      </c>
      <c r="B711" t="s">
        <v>864</v>
      </c>
      <c r="C711" t="s">
        <v>347</v>
      </c>
      <c r="D711">
        <v>39.28</v>
      </c>
      <c r="E711">
        <v>3223.79</v>
      </c>
      <c r="F711">
        <v>31.73</v>
      </c>
      <c r="G711">
        <v>157.71</v>
      </c>
      <c r="H711">
        <v>16.66</v>
      </c>
      <c r="I711">
        <v>23.06</v>
      </c>
      <c r="J711">
        <v>3458.89</v>
      </c>
      <c r="K711">
        <v>16618.96</v>
      </c>
      <c r="L711">
        <v>5.46</v>
      </c>
      <c r="M711">
        <v>1.1399999999999999</v>
      </c>
      <c r="N711">
        <v>2.85</v>
      </c>
    </row>
    <row r="712" spans="1:14">
      <c r="A712" s="28">
        <v>364</v>
      </c>
      <c r="B712" t="s">
        <v>1901</v>
      </c>
      <c r="C712" t="s">
        <v>348</v>
      </c>
      <c r="D712">
        <v>39.32</v>
      </c>
      <c r="E712">
        <v>1382.77</v>
      </c>
      <c r="F712">
        <v>34.380000000000003</v>
      </c>
      <c r="G712">
        <v>0.73</v>
      </c>
      <c r="H712">
        <v>10.79</v>
      </c>
      <c r="I712">
        <v>16.34</v>
      </c>
      <c r="J712">
        <v>516.6</v>
      </c>
      <c r="K712">
        <v>3706.93</v>
      </c>
      <c r="L712">
        <v>8.7200000000000006</v>
      </c>
      <c r="M712">
        <v>1.22</v>
      </c>
      <c r="N712">
        <v>6.65</v>
      </c>
    </row>
    <row r="713" spans="1:14">
      <c r="A713" s="28">
        <v>571</v>
      </c>
      <c r="B713" t="s">
        <v>2670</v>
      </c>
      <c r="C713" t="s">
        <v>348</v>
      </c>
      <c r="D713">
        <v>39.32</v>
      </c>
      <c r="E713">
        <v>1052.5</v>
      </c>
      <c r="F713">
        <v>22.16</v>
      </c>
      <c r="G713" t="s">
        <v>349</v>
      </c>
      <c r="H713">
        <v>-9.48</v>
      </c>
      <c r="I713">
        <v>-11.98</v>
      </c>
      <c r="J713">
        <v>-702.13</v>
      </c>
      <c r="K713">
        <v>5762.5</v>
      </c>
      <c r="M713">
        <v>0.47</v>
      </c>
      <c r="N713">
        <v>28.22</v>
      </c>
    </row>
    <row r="714" spans="1:14">
      <c r="A714" s="28">
        <v>950</v>
      </c>
      <c r="B714" t="s">
        <v>2401</v>
      </c>
      <c r="C714" t="s">
        <v>348</v>
      </c>
      <c r="D714">
        <v>39.35</v>
      </c>
      <c r="E714">
        <v>614.78</v>
      </c>
      <c r="F714">
        <v>10.18</v>
      </c>
      <c r="G714" t="s">
        <v>2788</v>
      </c>
      <c r="H714">
        <v>-21.77</v>
      </c>
      <c r="I714">
        <v>-36.75</v>
      </c>
      <c r="J714">
        <v>-1003.64</v>
      </c>
      <c r="K714">
        <v>3573.88</v>
      </c>
      <c r="M714">
        <v>4.8099999999999996</v>
      </c>
    </row>
    <row r="715" spans="1:14">
      <c r="A715" s="28">
        <v>1060</v>
      </c>
      <c r="B715" t="s">
        <v>583</v>
      </c>
      <c r="C715" t="s">
        <v>348</v>
      </c>
      <c r="D715">
        <v>39.700000000000003</v>
      </c>
      <c r="E715">
        <v>5930.8</v>
      </c>
      <c r="F715">
        <v>7.9</v>
      </c>
      <c r="G715">
        <v>-10.34</v>
      </c>
      <c r="H715">
        <v>6.47</v>
      </c>
      <c r="I715">
        <v>8.85</v>
      </c>
      <c r="J715">
        <v>2482.7600000000002</v>
      </c>
      <c r="K715">
        <v>30154</v>
      </c>
      <c r="L715">
        <v>8.68</v>
      </c>
      <c r="M715">
        <v>0.71</v>
      </c>
      <c r="N715">
        <v>4.6500000000000004</v>
      </c>
    </row>
    <row r="716" spans="1:14">
      <c r="A716" s="28">
        <v>240</v>
      </c>
      <c r="B716" t="s">
        <v>2020</v>
      </c>
      <c r="C716" t="s">
        <v>348</v>
      </c>
      <c r="D716">
        <v>39.840000000000003</v>
      </c>
      <c r="E716">
        <v>409.26</v>
      </c>
      <c r="F716">
        <v>48.16</v>
      </c>
      <c r="G716" t="s">
        <v>349</v>
      </c>
      <c r="H716">
        <v>-17.7</v>
      </c>
      <c r="I716">
        <v>-25.64</v>
      </c>
      <c r="J716">
        <v>-715.96</v>
      </c>
      <c r="K716">
        <v>2546.31</v>
      </c>
      <c r="M716">
        <v>0.94</v>
      </c>
    </row>
    <row r="717" spans="1:14">
      <c r="A717" s="28">
        <v>633</v>
      </c>
      <c r="B717" t="s">
        <v>604</v>
      </c>
      <c r="C717" t="s">
        <v>347</v>
      </c>
      <c r="D717">
        <v>39.94</v>
      </c>
      <c r="E717">
        <v>4062.83</v>
      </c>
      <c r="F717">
        <v>19.489999999999998</v>
      </c>
      <c r="G717">
        <v>100.18</v>
      </c>
      <c r="H717">
        <v>8.7200000000000006</v>
      </c>
      <c r="I717">
        <v>12.6</v>
      </c>
      <c r="J717">
        <v>26758.26</v>
      </c>
      <c r="K717">
        <v>226079.91</v>
      </c>
      <c r="L717">
        <v>7.61</v>
      </c>
      <c r="M717">
        <v>0.9</v>
      </c>
      <c r="N717">
        <v>5</v>
      </c>
    </row>
    <row r="718" spans="1:14">
      <c r="A718" s="28">
        <v>986</v>
      </c>
      <c r="B718" t="s">
        <v>1261</v>
      </c>
      <c r="C718" t="s">
        <v>348</v>
      </c>
      <c r="D718">
        <v>39.950000000000003</v>
      </c>
      <c r="E718">
        <v>339.79</v>
      </c>
      <c r="F718">
        <v>9.44</v>
      </c>
      <c r="G718">
        <v>3.45</v>
      </c>
      <c r="H718">
        <v>4.1100000000000003</v>
      </c>
      <c r="I718">
        <v>5.71</v>
      </c>
      <c r="J718">
        <v>122.58</v>
      </c>
      <c r="K718">
        <v>2198.9499999999998</v>
      </c>
      <c r="L718">
        <v>21.54</v>
      </c>
      <c r="M718">
        <v>1.2</v>
      </c>
      <c r="N718">
        <v>15.75</v>
      </c>
    </row>
    <row r="719" spans="1:14">
      <c r="A719" s="28">
        <v>106</v>
      </c>
      <c r="B719" t="s">
        <v>1932</v>
      </c>
      <c r="C719" t="s">
        <v>348</v>
      </c>
      <c r="D719">
        <v>39.96</v>
      </c>
      <c r="E719">
        <v>1055.3800000000001</v>
      </c>
      <c r="F719">
        <v>108.85</v>
      </c>
      <c r="G719" t="s">
        <v>2788</v>
      </c>
      <c r="H719">
        <v>-38.700000000000003</v>
      </c>
      <c r="I719">
        <v>-102.58</v>
      </c>
      <c r="J719">
        <v>-1700.06</v>
      </c>
      <c r="K719">
        <v>2888.44</v>
      </c>
      <c r="M719">
        <v>4.9800000000000004</v>
      </c>
    </row>
    <row r="720" spans="1:14">
      <c r="A720" s="28">
        <v>1090</v>
      </c>
      <c r="B720" t="s">
        <v>187</v>
      </c>
      <c r="C720" t="s">
        <v>347</v>
      </c>
      <c r="D720">
        <v>39.99</v>
      </c>
      <c r="E720">
        <v>1456.83</v>
      </c>
      <c r="F720">
        <v>7.3</v>
      </c>
      <c r="G720" t="s">
        <v>349</v>
      </c>
      <c r="H720">
        <v>-0.59</v>
      </c>
      <c r="I720">
        <v>-0.83</v>
      </c>
      <c r="J720">
        <v>-64.83</v>
      </c>
      <c r="K720">
        <v>7784.13</v>
      </c>
      <c r="M720">
        <v>0.34</v>
      </c>
    </row>
    <row r="721" spans="1:14">
      <c r="A721" s="28">
        <v>330</v>
      </c>
      <c r="B721" t="s">
        <v>2301</v>
      </c>
      <c r="C721" t="s">
        <v>347</v>
      </c>
      <c r="D721">
        <v>397.06</v>
      </c>
      <c r="F721">
        <v>37.659999999999997</v>
      </c>
      <c r="G721" t="s">
        <v>2788</v>
      </c>
      <c r="H721">
        <v>-5.69</v>
      </c>
      <c r="I721">
        <v>-24.74</v>
      </c>
      <c r="J721">
        <v>-520.4</v>
      </c>
      <c r="K721">
        <v>1891.86</v>
      </c>
      <c r="M721">
        <v>1.47</v>
      </c>
      <c r="N721">
        <v>19.899999999999999</v>
      </c>
    </row>
    <row r="722" spans="1:14">
      <c r="A722" s="28">
        <v>19</v>
      </c>
      <c r="B722" t="s">
        <v>138</v>
      </c>
      <c r="C722" t="s">
        <v>347</v>
      </c>
      <c r="D722">
        <v>4.29</v>
      </c>
      <c r="E722">
        <v>150.36000000000001</v>
      </c>
      <c r="F722">
        <v>596.11</v>
      </c>
      <c r="G722" t="s">
        <v>349</v>
      </c>
      <c r="H722">
        <v>-8.6199999999999992</v>
      </c>
      <c r="I722">
        <v>-15.54</v>
      </c>
      <c r="J722">
        <v>-5316.2</v>
      </c>
      <c r="K722">
        <v>21340.7</v>
      </c>
      <c r="M722">
        <v>0.41</v>
      </c>
      <c r="N722">
        <v>4.4000000000000004</v>
      </c>
    </row>
    <row r="723" spans="1:14">
      <c r="A723" s="28">
        <v>215</v>
      </c>
      <c r="B723" t="s">
        <v>2419</v>
      </c>
      <c r="C723" t="s">
        <v>348</v>
      </c>
      <c r="D723">
        <v>4.4800000000000004</v>
      </c>
      <c r="E723">
        <v>521.4</v>
      </c>
      <c r="F723">
        <v>53.74</v>
      </c>
      <c r="G723" t="s">
        <v>2788</v>
      </c>
      <c r="H723">
        <v>-4.53</v>
      </c>
      <c r="I723">
        <v>-4.6900000000000004</v>
      </c>
      <c r="J723">
        <v>-149.07</v>
      </c>
      <c r="K723">
        <v>3106.99</v>
      </c>
      <c r="M723">
        <v>0.9</v>
      </c>
    </row>
    <row r="724" spans="1:14">
      <c r="A724" s="28">
        <v>820</v>
      </c>
      <c r="B724" t="s">
        <v>831</v>
      </c>
      <c r="C724" t="s">
        <v>348</v>
      </c>
      <c r="D724">
        <v>4.75</v>
      </c>
      <c r="E724">
        <v>5094.42</v>
      </c>
      <c r="F724">
        <v>13.58</v>
      </c>
      <c r="G724" t="s">
        <v>349</v>
      </c>
      <c r="H724">
        <v>-1.02</v>
      </c>
      <c r="I724">
        <v>-1.06</v>
      </c>
      <c r="J724">
        <v>-264.70999999999998</v>
      </c>
      <c r="K724">
        <v>25972.09</v>
      </c>
      <c r="M724">
        <v>0.32</v>
      </c>
      <c r="N724">
        <v>41.79</v>
      </c>
    </row>
    <row r="725" spans="1:14">
      <c r="A725" s="28">
        <v>828</v>
      </c>
      <c r="B725" t="s">
        <v>538</v>
      </c>
      <c r="C725" t="s">
        <v>348</v>
      </c>
      <c r="D725">
        <v>4.91</v>
      </c>
      <c r="E725">
        <v>1447.51</v>
      </c>
      <c r="F725">
        <v>13.36</v>
      </c>
      <c r="G725">
        <v>-16.059999999999999</v>
      </c>
      <c r="H725">
        <v>7.38</v>
      </c>
      <c r="I725">
        <v>7.79</v>
      </c>
      <c r="J725">
        <v>194.5</v>
      </c>
      <c r="K725">
        <v>2579.19</v>
      </c>
      <c r="L725">
        <v>15.78</v>
      </c>
      <c r="M725">
        <v>1.19</v>
      </c>
      <c r="N725">
        <v>15.12</v>
      </c>
    </row>
    <row r="726" spans="1:14">
      <c r="A726" s="28">
        <v>1053</v>
      </c>
      <c r="B726" t="s">
        <v>828</v>
      </c>
      <c r="C726" t="s">
        <v>348</v>
      </c>
      <c r="D726">
        <v>40</v>
      </c>
      <c r="E726">
        <v>2986.45</v>
      </c>
      <c r="F726">
        <v>8</v>
      </c>
      <c r="G726">
        <v>22.79</v>
      </c>
      <c r="H726">
        <v>8.82</v>
      </c>
      <c r="I726">
        <v>11.93</v>
      </c>
      <c r="J726">
        <v>1639.92</v>
      </c>
      <c r="K726">
        <v>15432.25</v>
      </c>
      <c r="L726">
        <v>17.2</v>
      </c>
      <c r="M726">
        <v>1.83</v>
      </c>
      <c r="N726">
        <v>9.16</v>
      </c>
    </row>
    <row r="727" spans="1:14">
      <c r="A727" s="28">
        <v>125</v>
      </c>
      <c r="B727" t="s">
        <v>1648</v>
      </c>
      <c r="C727" t="s">
        <v>348</v>
      </c>
      <c r="D727">
        <v>40.07</v>
      </c>
      <c r="E727">
        <v>367.85</v>
      </c>
      <c r="F727">
        <v>85.34</v>
      </c>
      <c r="G727" t="s">
        <v>350</v>
      </c>
      <c r="H727">
        <v>31.48</v>
      </c>
      <c r="I727">
        <v>154.54</v>
      </c>
      <c r="J727">
        <v>381.29</v>
      </c>
      <c r="K727">
        <v>438.83</v>
      </c>
      <c r="L727">
        <v>3.95</v>
      </c>
      <c r="M727">
        <v>3.43</v>
      </c>
    </row>
    <row r="728" spans="1:14">
      <c r="A728" s="28">
        <v>688</v>
      </c>
      <c r="B728" t="s">
        <v>782</v>
      </c>
      <c r="C728" t="s">
        <v>347</v>
      </c>
      <c r="D728">
        <v>40.159999999999997</v>
      </c>
      <c r="E728">
        <v>4426.2299999999996</v>
      </c>
      <c r="F728">
        <v>17.059999999999999</v>
      </c>
      <c r="G728">
        <v>-0.68</v>
      </c>
      <c r="H728">
        <v>4.0999999999999996</v>
      </c>
      <c r="I728">
        <v>5.73</v>
      </c>
      <c r="J728">
        <v>1262.5999999999999</v>
      </c>
      <c r="K728">
        <v>22631.13</v>
      </c>
      <c r="L728">
        <v>8.31</v>
      </c>
      <c r="M728">
        <v>0.46</v>
      </c>
      <c r="N728">
        <v>5.47</v>
      </c>
    </row>
    <row r="729" spans="1:14">
      <c r="A729" s="28">
        <v>871</v>
      </c>
      <c r="B729" t="s">
        <v>139</v>
      </c>
      <c r="C729" t="s">
        <v>347</v>
      </c>
      <c r="D729">
        <v>40.49</v>
      </c>
      <c r="E729">
        <v>2310.9899999999998</v>
      </c>
      <c r="F729">
        <v>11.92</v>
      </c>
      <c r="G729">
        <v>78.95</v>
      </c>
      <c r="H729">
        <v>5.51</v>
      </c>
      <c r="I729">
        <v>7.83</v>
      </c>
      <c r="J729">
        <v>887.29</v>
      </c>
      <c r="K729">
        <v>12054.94</v>
      </c>
      <c r="L729">
        <v>7.17</v>
      </c>
      <c r="M729">
        <v>0.53</v>
      </c>
      <c r="N729">
        <v>5.0199999999999996</v>
      </c>
    </row>
    <row r="730" spans="1:14">
      <c r="A730" s="28">
        <v>429</v>
      </c>
      <c r="B730" t="s">
        <v>1855</v>
      </c>
      <c r="C730" t="s">
        <v>347</v>
      </c>
      <c r="D730">
        <v>40.5</v>
      </c>
      <c r="E730">
        <v>1373.25</v>
      </c>
      <c r="F730">
        <v>29.65</v>
      </c>
      <c r="G730">
        <v>-2.92</v>
      </c>
      <c r="H730">
        <v>4.8099999999999996</v>
      </c>
      <c r="I730">
        <v>7.41</v>
      </c>
      <c r="J730">
        <v>862.24</v>
      </c>
      <c r="K730">
        <v>14732.48</v>
      </c>
      <c r="L730">
        <v>170.83</v>
      </c>
      <c r="M730">
        <v>10</v>
      </c>
      <c r="N730">
        <v>99.16</v>
      </c>
    </row>
    <row r="731" spans="1:14">
      <c r="A731" s="28">
        <v>692</v>
      </c>
      <c r="B731" t="s">
        <v>90</v>
      </c>
      <c r="C731" t="s">
        <v>347</v>
      </c>
      <c r="D731">
        <v>40.51</v>
      </c>
      <c r="E731">
        <v>9277.4</v>
      </c>
      <c r="F731">
        <v>17.010000000000002</v>
      </c>
      <c r="G731">
        <v>-9.98</v>
      </c>
      <c r="H731">
        <v>4.05</v>
      </c>
      <c r="I731">
        <v>5.89</v>
      </c>
      <c r="J731">
        <v>5430.27</v>
      </c>
      <c r="K731">
        <v>93773.96</v>
      </c>
      <c r="L731">
        <v>7.56</v>
      </c>
      <c r="M731">
        <v>0.44</v>
      </c>
      <c r="N731">
        <v>3.42</v>
      </c>
    </row>
    <row r="732" spans="1:14">
      <c r="A732" s="28">
        <v>85</v>
      </c>
      <c r="B732" t="s">
        <v>1050</v>
      </c>
      <c r="C732" t="s">
        <v>348</v>
      </c>
      <c r="D732">
        <v>40.94</v>
      </c>
      <c r="E732">
        <v>4631.8</v>
      </c>
      <c r="F732">
        <v>126.79</v>
      </c>
      <c r="G732">
        <v>91.35</v>
      </c>
      <c r="H732">
        <v>25.91</v>
      </c>
      <c r="I732">
        <v>34.36</v>
      </c>
      <c r="J732">
        <v>2633.24</v>
      </c>
      <c r="K732">
        <v>9463.6</v>
      </c>
      <c r="N732">
        <v>0</v>
      </c>
    </row>
    <row r="733" spans="1:14">
      <c r="A733" s="28">
        <v>602</v>
      </c>
      <c r="B733" t="s">
        <v>1494</v>
      </c>
      <c r="C733" t="s">
        <v>348</v>
      </c>
      <c r="D733">
        <v>40.950000000000003</v>
      </c>
      <c r="E733">
        <v>1214.54</v>
      </c>
      <c r="F733">
        <v>20.43</v>
      </c>
      <c r="G733">
        <v>-20.8</v>
      </c>
      <c r="H733">
        <v>19.18</v>
      </c>
      <c r="I733">
        <v>26.41</v>
      </c>
      <c r="J733">
        <v>292.64999999999998</v>
      </c>
      <c r="K733">
        <v>1314.54</v>
      </c>
      <c r="L733">
        <v>35.840000000000003</v>
      </c>
      <c r="M733">
        <v>7.98</v>
      </c>
      <c r="N733">
        <v>23.07</v>
      </c>
    </row>
    <row r="734" spans="1:14">
      <c r="A734" s="28">
        <v>724</v>
      </c>
      <c r="B734" t="s">
        <v>202</v>
      </c>
      <c r="C734" t="s">
        <v>347</v>
      </c>
      <c r="D734">
        <v>407.21</v>
      </c>
      <c r="E734">
        <v>4188.6099999999997</v>
      </c>
      <c r="F734">
        <v>16.13</v>
      </c>
      <c r="G734">
        <v>-1.53</v>
      </c>
      <c r="H734">
        <v>1.27</v>
      </c>
      <c r="I734">
        <v>6.44</v>
      </c>
      <c r="J734">
        <v>1059.75</v>
      </c>
      <c r="K734">
        <v>18260.39</v>
      </c>
      <c r="L734">
        <v>5.48</v>
      </c>
      <c r="M734">
        <v>0.32</v>
      </c>
    </row>
    <row r="735" spans="1:14">
      <c r="A735" s="28">
        <v>173</v>
      </c>
      <c r="B735" t="s">
        <v>2079</v>
      </c>
      <c r="C735" t="s">
        <v>347</v>
      </c>
      <c r="D735">
        <v>41.02</v>
      </c>
      <c r="E735">
        <v>416.54</v>
      </c>
      <c r="F735">
        <v>64.290000000000006</v>
      </c>
      <c r="G735" t="s">
        <v>2788</v>
      </c>
      <c r="H735">
        <v>-6.09</v>
      </c>
      <c r="I735">
        <v>-8.5299999999999994</v>
      </c>
      <c r="J735">
        <v>-225.93</v>
      </c>
      <c r="K735">
        <v>2582.7199999999998</v>
      </c>
      <c r="M735">
        <v>0.54</v>
      </c>
      <c r="N735">
        <v>6.88</v>
      </c>
    </row>
    <row r="736" spans="1:14">
      <c r="A736" s="28">
        <v>754</v>
      </c>
      <c r="B736" t="s">
        <v>1695</v>
      </c>
      <c r="C736" t="s">
        <v>347</v>
      </c>
      <c r="D736">
        <v>41.03</v>
      </c>
      <c r="E736">
        <v>2249.31</v>
      </c>
      <c r="F736">
        <v>15.37</v>
      </c>
      <c r="G736">
        <v>-80.040000000000006</v>
      </c>
      <c r="H736">
        <v>1.71</v>
      </c>
      <c r="I736">
        <v>2.56</v>
      </c>
      <c r="J736">
        <v>118.97</v>
      </c>
      <c r="K736">
        <v>4698.62</v>
      </c>
      <c r="L736">
        <v>38.119999999999997</v>
      </c>
      <c r="M736">
        <v>0.97</v>
      </c>
      <c r="N736">
        <v>12.84</v>
      </c>
    </row>
    <row r="737" spans="1:14">
      <c r="A737" s="28">
        <v>299</v>
      </c>
      <c r="B737" t="s">
        <v>141</v>
      </c>
      <c r="C737" t="s">
        <v>347</v>
      </c>
      <c r="D737">
        <v>41.07</v>
      </c>
      <c r="E737">
        <v>597.69000000000005</v>
      </c>
      <c r="F737">
        <v>41.07</v>
      </c>
      <c r="G737">
        <v>-10.18</v>
      </c>
      <c r="H737">
        <v>2.86</v>
      </c>
      <c r="I737">
        <v>4</v>
      </c>
      <c r="J737">
        <v>272.83999999999997</v>
      </c>
      <c r="K737">
        <v>6976.86</v>
      </c>
      <c r="L737">
        <v>17.34</v>
      </c>
      <c r="M737">
        <v>0.68</v>
      </c>
      <c r="N737">
        <v>6.68</v>
      </c>
    </row>
    <row r="738" spans="1:14">
      <c r="A738" s="28">
        <v>1038</v>
      </c>
      <c r="B738" t="s">
        <v>563</v>
      </c>
      <c r="C738" t="s">
        <v>347</v>
      </c>
      <c r="D738">
        <v>41.16</v>
      </c>
      <c r="E738">
        <v>626.1</v>
      </c>
      <c r="F738">
        <v>8.27</v>
      </c>
      <c r="G738">
        <v>100.51</v>
      </c>
      <c r="H738">
        <v>14</v>
      </c>
      <c r="I738">
        <v>19.98</v>
      </c>
      <c r="J738">
        <v>678.27</v>
      </c>
      <c r="K738">
        <v>3630.49</v>
      </c>
      <c r="L738">
        <v>10.14</v>
      </c>
      <c r="M738">
        <v>1.9</v>
      </c>
      <c r="N738">
        <v>11.83</v>
      </c>
    </row>
    <row r="739" spans="1:14">
      <c r="A739" s="28">
        <v>721</v>
      </c>
      <c r="B739" t="s">
        <v>1592</v>
      </c>
      <c r="C739" t="s">
        <v>347</v>
      </c>
      <c r="D739">
        <v>41.38</v>
      </c>
      <c r="E739">
        <v>166.01</v>
      </c>
      <c r="F739">
        <v>16.16</v>
      </c>
      <c r="G739">
        <v>15.06</v>
      </c>
      <c r="H739">
        <v>10.52</v>
      </c>
      <c r="I739">
        <v>15.16</v>
      </c>
      <c r="J739">
        <v>181.36</v>
      </c>
      <c r="K739">
        <v>1330.07</v>
      </c>
      <c r="L739">
        <v>62.31</v>
      </c>
      <c r="M739">
        <v>8.5</v>
      </c>
      <c r="N739">
        <v>61.33</v>
      </c>
    </row>
    <row r="740" spans="1:14">
      <c r="A740" s="28">
        <v>1049</v>
      </c>
      <c r="B740" t="s">
        <v>996</v>
      </c>
      <c r="C740" t="s">
        <v>348</v>
      </c>
      <c r="D740">
        <v>41.53</v>
      </c>
      <c r="E740">
        <v>1556.66</v>
      </c>
      <c r="F740">
        <v>8.0299999999999994</v>
      </c>
      <c r="G740">
        <v>30.69</v>
      </c>
      <c r="H740">
        <v>4.3099999999999996</v>
      </c>
      <c r="I740">
        <v>6.04</v>
      </c>
      <c r="J740">
        <v>469.09</v>
      </c>
      <c r="K740">
        <v>8283.2999999999993</v>
      </c>
      <c r="L740">
        <v>12.13</v>
      </c>
      <c r="M740">
        <v>0.69</v>
      </c>
      <c r="N740">
        <v>8.4600000000000009</v>
      </c>
    </row>
    <row r="741" spans="1:14">
      <c r="A741" s="28">
        <v>518</v>
      </c>
      <c r="B741" t="s">
        <v>1280</v>
      </c>
      <c r="C741" t="s">
        <v>348</v>
      </c>
      <c r="D741">
        <v>41.55</v>
      </c>
      <c r="E741">
        <v>1015.65</v>
      </c>
      <c r="F741">
        <v>24.74</v>
      </c>
      <c r="G741">
        <v>172.75</v>
      </c>
      <c r="H741">
        <v>8.73</v>
      </c>
      <c r="I741">
        <v>11.67</v>
      </c>
      <c r="J741">
        <v>618.29</v>
      </c>
      <c r="K741">
        <v>5578.23</v>
      </c>
      <c r="L741">
        <v>14.48</v>
      </c>
      <c r="M741">
        <v>1.6</v>
      </c>
      <c r="N741">
        <v>15.92</v>
      </c>
    </row>
    <row r="742" spans="1:14">
      <c r="A742" s="28">
        <v>1091</v>
      </c>
      <c r="B742" t="s">
        <v>1069</v>
      </c>
      <c r="C742" t="s">
        <v>348</v>
      </c>
      <c r="D742">
        <v>41.61</v>
      </c>
      <c r="E742">
        <v>1883.27</v>
      </c>
      <c r="F742">
        <v>7.25</v>
      </c>
      <c r="G742">
        <v>-42.22</v>
      </c>
      <c r="H742">
        <v>3.18</v>
      </c>
      <c r="I742">
        <v>4.54</v>
      </c>
      <c r="J742">
        <v>409.36</v>
      </c>
      <c r="K742">
        <v>9477.44</v>
      </c>
      <c r="L742">
        <v>14.21</v>
      </c>
      <c r="M742">
        <v>0.61</v>
      </c>
      <c r="N742">
        <v>9.5299999999999994</v>
      </c>
    </row>
    <row r="743" spans="1:14">
      <c r="A743" s="28">
        <v>485</v>
      </c>
      <c r="B743" t="s">
        <v>961</v>
      </c>
      <c r="C743" t="s">
        <v>347</v>
      </c>
      <c r="D743">
        <v>41.67</v>
      </c>
      <c r="E743">
        <v>2442.9899999999998</v>
      </c>
      <c r="F743">
        <v>26.33</v>
      </c>
      <c r="G743">
        <v>279.58999999999997</v>
      </c>
      <c r="H743">
        <v>11.54</v>
      </c>
      <c r="I743">
        <v>17.170000000000002</v>
      </c>
      <c r="J743">
        <v>2008.78</v>
      </c>
      <c r="K743">
        <v>12714.97</v>
      </c>
      <c r="L743">
        <v>2.38</v>
      </c>
      <c r="M743">
        <v>0.38</v>
      </c>
      <c r="N743">
        <v>2.99</v>
      </c>
    </row>
    <row r="744" spans="1:14">
      <c r="A744" s="28">
        <v>193</v>
      </c>
      <c r="B744" t="s">
        <v>277</v>
      </c>
      <c r="C744" t="s">
        <v>348</v>
      </c>
      <c r="D744">
        <v>41.72</v>
      </c>
      <c r="E744">
        <v>1973.58</v>
      </c>
      <c r="F744">
        <v>57.68</v>
      </c>
      <c r="G744">
        <v>44.44</v>
      </c>
      <c r="H744">
        <v>6.45</v>
      </c>
      <c r="I744">
        <v>8.98</v>
      </c>
      <c r="J744">
        <v>876.34</v>
      </c>
      <c r="K744">
        <v>10558.51</v>
      </c>
      <c r="L744">
        <v>9.6999999999999993</v>
      </c>
      <c r="M744">
        <v>0.81</v>
      </c>
      <c r="N744">
        <v>45.83</v>
      </c>
    </row>
    <row r="745" spans="1:14">
      <c r="A745" s="28">
        <v>724</v>
      </c>
      <c r="B745" t="s">
        <v>2122</v>
      </c>
      <c r="C745" t="s">
        <v>347</v>
      </c>
      <c r="D745">
        <v>41.83</v>
      </c>
      <c r="E745">
        <v>14089.31</v>
      </c>
      <c r="F745">
        <v>16.13</v>
      </c>
      <c r="G745" t="s">
        <v>2788</v>
      </c>
      <c r="H745">
        <v>-0.28000000000000003</v>
      </c>
      <c r="I745">
        <v>-0.39</v>
      </c>
      <c r="J745">
        <v>-280.72000000000003</v>
      </c>
      <c r="K745">
        <v>70946.559999999998</v>
      </c>
      <c r="M745">
        <v>6.03</v>
      </c>
      <c r="N745">
        <v>811.39</v>
      </c>
    </row>
    <row r="746" spans="1:14">
      <c r="A746" s="28">
        <v>603</v>
      </c>
      <c r="B746" t="s">
        <v>2310</v>
      </c>
      <c r="C746" t="s">
        <v>348</v>
      </c>
      <c r="D746">
        <v>412.48</v>
      </c>
      <c r="E746">
        <v>579.91999999999996</v>
      </c>
      <c r="F746">
        <v>20.420000000000002</v>
      </c>
      <c r="G746" t="s">
        <v>350</v>
      </c>
      <c r="H746">
        <v>0.03</v>
      </c>
      <c r="I746">
        <v>0.12</v>
      </c>
      <c r="J746">
        <v>0.8</v>
      </c>
      <c r="K746">
        <v>679.92</v>
      </c>
      <c r="L746">
        <v>3670.09</v>
      </c>
      <c r="M746">
        <v>4.29</v>
      </c>
      <c r="N746">
        <v>36.14</v>
      </c>
    </row>
    <row r="747" spans="1:14">
      <c r="A747" s="28">
        <v>302</v>
      </c>
      <c r="B747" t="s">
        <v>1665</v>
      </c>
      <c r="C747" t="s">
        <v>347</v>
      </c>
      <c r="D747">
        <v>412.88</v>
      </c>
      <c r="E747">
        <v>256.04000000000002</v>
      </c>
      <c r="F747">
        <v>40.909999999999997</v>
      </c>
      <c r="G747" t="s">
        <v>2788</v>
      </c>
      <c r="H747">
        <v>-41.14</v>
      </c>
      <c r="I747">
        <v>-119.93</v>
      </c>
      <c r="J747">
        <v>-2627.45</v>
      </c>
      <c r="K747">
        <v>1780.19</v>
      </c>
      <c r="M747">
        <v>1.67</v>
      </c>
      <c r="N747">
        <v>47.51</v>
      </c>
    </row>
    <row r="748" spans="1:14">
      <c r="A748" s="28">
        <v>90</v>
      </c>
      <c r="B748" t="s">
        <v>1832</v>
      </c>
      <c r="C748" t="s">
        <v>348</v>
      </c>
      <c r="D748">
        <v>417.84</v>
      </c>
      <c r="E748">
        <v>382.34</v>
      </c>
      <c r="F748">
        <v>121.01</v>
      </c>
      <c r="G748">
        <v>165.61</v>
      </c>
      <c r="H748">
        <v>1.8</v>
      </c>
      <c r="I748">
        <v>7.52</v>
      </c>
      <c r="J748">
        <v>172.29</v>
      </c>
      <c r="K748">
        <v>2411.6999999999998</v>
      </c>
      <c r="L748">
        <v>51.66</v>
      </c>
      <c r="M748">
        <v>3.69</v>
      </c>
      <c r="N748">
        <v>37.04</v>
      </c>
    </row>
    <row r="749" spans="1:14">
      <c r="A749" s="28">
        <v>89</v>
      </c>
      <c r="B749" t="s">
        <v>1991</v>
      </c>
      <c r="C749" t="s">
        <v>348</v>
      </c>
      <c r="D749">
        <v>42.34</v>
      </c>
      <c r="E749">
        <v>541.99</v>
      </c>
      <c r="F749">
        <v>122.36</v>
      </c>
      <c r="G749" t="s">
        <v>350</v>
      </c>
      <c r="H749">
        <v>35.11</v>
      </c>
      <c r="I749">
        <v>64.09</v>
      </c>
      <c r="J749">
        <v>1410.92</v>
      </c>
      <c r="K749">
        <v>3209.93</v>
      </c>
      <c r="L749">
        <v>14.88</v>
      </c>
      <c r="M749">
        <v>6.54</v>
      </c>
      <c r="N749">
        <v>14.41</v>
      </c>
    </row>
    <row r="750" spans="1:14">
      <c r="A750" s="28">
        <v>120</v>
      </c>
      <c r="B750" t="s">
        <v>2618</v>
      </c>
      <c r="C750" t="s">
        <v>348</v>
      </c>
      <c r="D750">
        <v>42.36</v>
      </c>
      <c r="E750">
        <v>612.44000000000005</v>
      </c>
      <c r="F750">
        <v>87.97</v>
      </c>
      <c r="G750">
        <v>62.94</v>
      </c>
      <c r="H750">
        <v>18.28</v>
      </c>
      <c r="I750">
        <v>27.68</v>
      </c>
      <c r="J750">
        <v>320.61</v>
      </c>
      <c r="K750">
        <v>1424.88</v>
      </c>
      <c r="L750">
        <v>10.57</v>
      </c>
      <c r="M750">
        <v>2.38</v>
      </c>
      <c r="N750">
        <v>18.96</v>
      </c>
    </row>
    <row r="751" spans="1:14">
      <c r="A751" s="28">
        <v>642</v>
      </c>
      <c r="B751" t="s">
        <v>1079</v>
      </c>
      <c r="C751" t="s">
        <v>348</v>
      </c>
      <c r="D751">
        <v>42.39</v>
      </c>
      <c r="E751">
        <v>1381.3</v>
      </c>
      <c r="F751">
        <v>19.12</v>
      </c>
      <c r="G751">
        <v>85.75</v>
      </c>
      <c r="H751">
        <v>4.41</v>
      </c>
      <c r="I751">
        <v>6.22</v>
      </c>
      <c r="J751">
        <v>414.45</v>
      </c>
      <c r="K751">
        <v>7406.52</v>
      </c>
      <c r="L751">
        <v>26.73</v>
      </c>
      <c r="M751">
        <v>1.5</v>
      </c>
      <c r="N751">
        <v>21.96</v>
      </c>
    </row>
    <row r="752" spans="1:14">
      <c r="A752" s="28">
        <v>990</v>
      </c>
      <c r="B752" t="s">
        <v>355</v>
      </c>
      <c r="C752" t="s">
        <v>348</v>
      </c>
      <c r="D752">
        <v>42.61</v>
      </c>
      <c r="E752">
        <v>565.47</v>
      </c>
      <c r="F752">
        <v>9.39</v>
      </c>
      <c r="G752" t="s">
        <v>2788</v>
      </c>
      <c r="H752">
        <v>-0.04</v>
      </c>
      <c r="I752">
        <v>-0.06</v>
      </c>
      <c r="J752">
        <v>-1.81</v>
      </c>
      <c r="K752">
        <v>3327.36</v>
      </c>
      <c r="M752">
        <v>0.65</v>
      </c>
      <c r="N752">
        <v>126.13</v>
      </c>
    </row>
    <row r="753" spans="1:14">
      <c r="A753" s="28">
        <v>87</v>
      </c>
      <c r="B753" t="s">
        <v>1014</v>
      </c>
      <c r="C753" t="s">
        <v>348</v>
      </c>
      <c r="D753">
        <v>42.66</v>
      </c>
      <c r="E753">
        <v>1690.29</v>
      </c>
      <c r="F753">
        <v>125.62</v>
      </c>
      <c r="G753" t="s">
        <v>350</v>
      </c>
      <c r="H753">
        <v>3.51</v>
      </c>
      <c r="I753">
        <v>4.67</v>
      </c>
      <c r="J753">
        <v>371.61</v>
      </c>
      <c r="K753">
        <v>9015.6299999999992</v>
      </c>
      <c r="L753">
        <v>17.57</v>
      </c>
      <c r="M753">
        <v>0.72</v>
      </c>
      <c r="N753">
        <v>7.54</v>
      </c>
    </row>
    <row r="754" spans="1:14">
      <c r="A754" s="28">
        <v>1102</v>
      </c>
      <c r="B754" t="s">
        <v>177</v>
      </c>
      <c r="C754" t="s">
        <v>347</v>
      </c>
      <c r="D754">
        <v>42.88</v>
      </c>
      <c r="E754">
        <v>780.41</v>
      </c>
      <c r="F754">
        <v>6.92</v>
      </c>
      <c r="G754">
        <v>36.58</v>
      </c>
      <c r="H754">
        <v>4.47</v>
      </c>
      <c r="I754">
        <v>6.33</v>
      </c>
      <c r="J754">
        <v>3212.57</v>
      </c>
      <c r="K754">
        <v>50988.84</v>
      </c>
      <c r="L754">
        <v>12.5</v>
      </c>
      <c r="M754">
        <v>0.79</v>
      </c>
    </row>
    <row r="755" spans="1:14">
      <c r="A755" s="28">
        <v>1111</v>
      </c>
      <c r="B755" t="s">
        <v>1630</v>
      </c>
      <c r="C755" t="s">
        <v>348</v>
      </c>
      <c r="D755">
        <v>42.89</v>
      </c>
      <c r="E755">
        <v>1602.93</v>
      </c>
      <c r="F755">
        <v>6.64</v>
      </c>
      <c r="G755">
        <v>125.61</v>
      </c>
      <c r="H755">
        <v>6.27</v>
      </c>
      <c r="I755">
        <v>9.1300000000000008</v>
      </c>
      <c r="J755">
        <v>743.76</v>
      </c>
      <c r="K755">
        <v>8514.66</v>
      </c>
      <c r="L755">
        <v>7.44</v>
      </c>
      <c r="M755">
        <v>0.65</v>
      </c>
      <c r="N755">
        <v>6.75</v>
      </c>
    </row>
    <row r="756" spans="1:14">
      <c r="A756" s="28">
        <v>56</v>
      </c>
      <c r="B756" t="s">
        <v>1775</v>
      </c>
      <c r="C756" t="s">
        <v>348</v>
      </c>
      <c r="D756">
        <v>42.9</v>
      </c>
      <c r="E756">
        <v>1091.74</v>
      </c>
      <c r="F756">
        <v>180.65</v>
      </c>
      <c r="G756" t="s">
        <v>2788</v>
      </c>
      <c r="H756">
        <v>-11.82</v>
      </c>
      <c r="I756">
        <v>-14.62</v>
      </c>
      <c r="J756">
        <v>-873.33</v>
      </c>
      <c r="K756">
        <v>5958.71</v>
      </c>
      <c r="M756">
        <v>1.85</v>
      </c>
    </row>
    <row r="757" spans="1:14">
      <c r="A757" s="28">
        <v>323</v>
      </c>
      <c r="B757" t="s">
        <v>2568</v>
      </c>
      <c r="C757" t="s">
        <v>348</v>
      </c>
      <c r="D757">
        <v>43.05</v>
      </c>
      <c r="E757">
        <v>142.12</v>
      </c>
      <c r="F757">
        <v>38.32</v>
      </c>
      <c r="G757" t="s">
        <v>349</v>
      </c>
      <c r="H757">
        <v>-9.24</v>
      </c>
      <c r="I757">
        <v>-13.96</v>
      </c>
      <c r="J757">
        <v>-160.44999999999999</v>
      </c>
      <c r="K757">
        <v>1210.6099999999999</v>
      </c>
      <c r="M757">
        <v>3.62</v>
      </c>
    </row>
    <row r="758" spans="1:14">
      <c r="A758" s="28">
        <v>698</v>
      </c>
      <c r="B758" t="s">
        <v>232</v>
      </c>
      <c r="C758" t="s">
        <v>347</v>
      </c>
      <c r="D758">
        <v>43.07</v>
      </c>
      <c r="E758">
        <v>3775.41</v>
      </c>
      <c r="F758">
        <v>16.760000000000002</v>
      </c>
      <c r="G758">
        <v>-3.26</v>
      </c>
      <c r="H758">
        <v>3.45</v>
      </c>
      <c r="I758">
        <v>5.01</v>
      </c>
      <c r="J758">
        <v>945.3</v>
      </c>
      <c r="K758">
        <v>19377.07</v>
      </c>
      <c r="L758">
        <v>12.32</v>
      </c>
      <c r="M758">
        <v>0.6</v>
      </c>
      <c r="N758">
        <v>8.65</v>
      </c>
    </row>
    <row r="759" spans="1:14">
      <c r="A759" s="28">
        <v>750</v>
      </c>
      <c r="B759" t="s">
        <v>1325</v>
      </c>
      <c r="C759" t="s">
        <v>348</v>
      </c>
      <c r="D759">
        <v>43.08</v>
      </c>
      <c r="E759">
        <v>1307.03</v>
      </c>
      <c r="F759">
        <v>15.51</v>
      </c>
      <c r="G759">
        <v>-0.81</v>
      </c>
      <c r="H759">
        <v>2.95</v>
      </c>
      <c r="I759">
        <v>3.96</v>
      </c>
      <c r="J759">
        <v>274.19</v>
      </c>
      <c r="K759">
        <v>7035.14</v>
      </c>
      <c r="L759">
        <v>29.14</v>
      </c>
      <c r="M759">
        <v>1.1399999999999999</v>
      </c>
      <c r="N759">
        <v>20.9</v>
      </c>
    </row>
    <row r="760" spans="1:14">
      <c r="A760" s="28">
        <v>81</v>
      </c>
      <c r="B760" t="s">
        <v>1095</v>
      </c>
      <c r="C760" t="s">
        <v>348</v>
      </c>
      <c r="D760">
        <v>43.08</v>
      </c>
      <c r="E760">
        <v>7016.19</v>
      </c>
      <c r="F760">
        <v>130.63</v>
      </c>
      <c r="G760">
        <v>87.86</v>
      </c>
      <c r="H760">
        <v>8.7100000000000009</v>
      </c>
      <c r="I760">
        <v>12.89</v>
      </c>
      <c r="J760">
        <v>861.71</v>
      </c>
      <c r="K760">
        <v>7116.19</v>
      </c>
      <c r="L760">
        <v>19.149999999999999</v>
      </c>
      <c r="M760">
        <v>2.3199999999999998</v>
      </c>
      <c r="N760">
        <v>21.15</v>
      </c>
    </row>
    <row r="761" spans="1:14">
      <c r="A761" s="28">
        <v>526</v>
      </c>
      <c r="B761" t="s">
        <v>2480</v>
      </c>
      <c r="C761" t="s">
        <v>348</v>
      </c>
      <c r="D761">
        <v>43.2</v>
      </c>
      <c r="E761">
        <v>481.86</v>
      </c>
      <c r="F761">
        <v>24.47</v>
      </c>
      <c r="G761" t="s">
        <v>2788</v>
      </c>
      <c r="H761">
        <v>-8.42</v>
      </c>
      <c r="I761">
        <v>-11.72</v>
      </c>
      <c r="J761">
        <v>-361.03</v>
      </c>
      <c r="K761">
        <v>2909.3</v>
      </c>
      <c r="M761">
        <v>3.94</v>
      </c>
      <c r="N761">
        <v>23.78</v>
      </c>
    </row>
    <row r="762" spans="1:14">
      <c r="A762" s="28">
        <v>155</v>
      </c>
      <c r="B762" t="s">
        <v>2764</v>
      </c>
      <c r="C762" t="s">
        <v>348</v>
      </c>
      <c r="D762">
        <v>43.22</v>
      </c>
      <c r="E762">
        <v>577.97</v>
      </c>
      <c r="F762">
        <v>68.63</v>
      </c>
      <c r="G762" t="s">
        <v>2788</v>
      </c>
      <c r="H762">
        <v>-1.29</v>
      </c>
      <c r="I762">
        <v>-1.89</v>
      </c>
      <c r="J762">
        <v>-64.569999999999993</v>
      </c>
      <c r="K762">
        <v>3389.85</v>
      </c>
      <c r="M762">
        <v>3.25</v>
      </c>
    </row>
    <row r="763" spans="1:14">
      <c r="A763" s="28">
        <v>788</v>
      </c>
      <c r="B763" t="s">
        <v>900</v>
      </c>
      <c r="C763" t="s">
        <v>348</v>
      </c>
      <c r="D763">
        <v>43.22</v>
      </c>
      <c r="E763">
        <v>4155.26</v>
      </c>
      <c r="F763">
        <v>14.5</v>
      </c>
      <c r="G763">
        <v>-34.92</v>
      </c>
      <c r="H763">
        <v>4.08</v>
      </c>
      <c r="I763">
        <v>5.91</v>
      </c>
      <c r="J763">
        <v>608.41999999999996</v>
      </c>
      <c r="K763">
        <v>10646.74</v>
      </c>
      <c r="L763">
        <v>27.06</v>
      </c>
      <c r="M763">
        <v>1.55</v>
      </c>
      <c r="N763">
        <v>17.43</v>
      </c>
    </row>
    <row r="764" spans="1:14">
      <c r="A764" s="28">
        <v>408</v>
      </c>
      <c r="B764" t="s">
        <v>1910</v>
      </c>
      <c r="C764" t="s">
        <v>348</v>
      </c>
      <c r="D764">
        <v>43.29</v>
      </c>
      <c r="E764">
        <v>179.01</v>
      </c>
      <c r="F764">
        <v>31.06</v>
      </c>
      <c r="G764" t="s">
        <v>2788</v>
      </c>
      <c r="H764">
        <v>-13.39</v>
      </c>
      <c r="I764">
        <v>-20.100000000000001</v>
      </c>
      <c r="J764">
        <v>-305.48</v>
      </c>
      <c r="K764">
        <v>1395.05</v>
      </c>
      <c r="M764">
        <v>2.09</v>
      </c>
    </row>
    <row r="765" spans="1:14">
      <c r="A765" s="28">
        <v>479</v>
      </c>
      <c r="B765" t="s">
        <v>621</v>
      </c>
      <c r="C765" t="s">
        <v>348</v>
      </c>
      <c r="D765">
        <v>43.35</v>
      </c>
      <c r="E765">
        <v>2186.61</v>
      </c>
      <c r="F765">
        <v>26.46</v>
      </c>
      <c r="G765">
        <v>88.02</v>
      </c>
      <c r="H765">
        <v>1.03</v>
      </c>
      <c r="I765">
        <v>1.46</v>
      </c>
      <c r="J765">
        <v>162.79</v>
      </c>
      <c r="K765">
        <v>11433.07</v>
      </c>
      <c r="L765">
        <v>56.45</v>
      </c>
      <c r="M765">
        <v>0.8</v>
      </c>
      <c r="N765">
        <v>10.75</v>
      </c>
    </row>
    <row r="766" spans="1:14">
      <c r="A766" s="28">
        <v>599</v>
      </c>
      <c r="B766" t="s">
        <v>2326</v>
      </c>
      <c r="C766" t="s">
        <v>347</v>
      </c>
      <c r="D766">
        <v>43.61</v>
      </c>
      <c r="E766">
        <v>4530.1400000000003</v>
      </c>
      <c r="F766">
        <v>20.57</v>
      </c>
      <c r="G766">
        <v>35.56</v>
      </c>
      <c r="H766">
        <v>7.88</v>
      </c>
      <c r="I766">
        <v>12.18</v>
      </c>
      <c r="J766">
        <v>13290.25</v>
      </c>
      <c r="K766">
        <v>115753.42</v>
      </c>
      <c r="L766">
        <v>57.18</v>
      </c>
      <c r="M766">
        <v>6.57</v>
      </c>
      <c r="N766">
        <v>37.07</v>
      </c>
    </row>
    <row r="767" spans="1:14">
      <c r="A767" s="28">
        <v>362</v>
      </c>
      <c r="B767" t="s">
        <v>1489</v>
      </c>
      <c r="C767" t="s">
        <v>348</v>
      </c>
      <c r="D767">
        <v>43.66</v>
      </c>
      <c r="E767">
        <v>1038.6400000000001</v>
      </c>
      <c r="F767">
        <v>34.5</v>
      </c>
      <c r="G767" t="s">
        <v>350</v>
      </c>
      <c r="H767">
        <v>2.56</v>
      </c>
      <c r="I767">
        <v>3.39</v>
      </c>
      <c r="J767">
        <v>187.87</v>
      </c>
      <c r="K767">
        <v>5693.18</v>
      </c>
      <c r="L767">
        <v>42.21</v>
      </c>
      <c r="M767">
        <v>1.39</v>
      </c>
      <c r="N767">
        <v>28.12</v>
      </c>
    </row>
    <row r="768" spans="1:14">
      <c r="A768" s="28">
        <v>669</v>
      </c>
      <c r="B768" t="s">
        <v>2756</v>
      </c>
      <c r="C768" t="s">
        <v>348</v>
      </c>
      <c r="D768">
        <v>43.98</v>
      </c>
      <c r="E768">
        <v>268.3</v>
      </c>
      <c r="F768">
        <v>18.04</v>
      </c>
      <c r="G768" t="s">
        <v>2788</v>
      </c>
      <c r="H768">
        <v>-1.1200000000000001</v>
      </c>
      <c r="I768">
        <v>-1.54</v>
      </c>
      <c r="J768">
        <v>-24.56</v>
      </c>
      <c r="K768">
        <v>1513.17</v>
      </c>
      <c r="M768">
        <v>0.34</v>
      </c>
    </row>
    <row r="769" spans="1:14">
      <c r="A769" s="28">
        <v>641</v>
      </c>
      <c r="B769" t="s">
        <v>1345</v>
      </c>
      <c r="C769" t="s">
        <v>348</v>
      </c>
      <c r="D769">
        <v>44.08</v>
      </c>
      <c r="E769">
        <v>1081.06</v>
      </c>
      <c r="F769">
        <v>19.149999999999999</v>
      </c>
      <c r="G769">
        <v>71.12</v>
      </c>
      <c r="H769">
        <v>12.19</v>
      </c>
      <c r="I769">
        <v>16.649999999999999</v>
      </c>
      <c r="J769">
        <v>453.18</v>
      </c>
      <c r="K769">
        <v>2952.65</v>
      </c>
      <c r="L769">
        <v>13.74</v>
      </c>
      <c r="M769">
        <v>2.11</v>
      </c>
      <c r="N769">
        <v>10.45</v>
      </c>
    </row>
    <row r="770" spans="1:14">
      <c r="A770" s="28">
        <v>678</v>
      </c>
      <c r="B770" t="s">
        <v>163</v>
      </c>
      <c r="C770" t="s">
        <v>347</v>
      </c>
      <c r="D770">
        <v>44.4</v>
      </c>
      <c r="E770">
        <v>1747.02</v>
      </c>
      <c r="F770">
        <v>17.52</v>
      </c>
      <c r="G770">
        <v>90.46</v>
      </c>
      <c r="H770">
        <v>3.19</v>
      </c>
      <c r="I770">
        <v>4.34</v>
      </c>
      <c r="J770">
        <v>379.28</v>
      </c>
      <c r="K770">
        <v>9235.09</v>
      </c>
      <c r="L770">
        <v>8.9499999999999993</v>
      </c>
      <c r="M770">
        <v>0.37</v>
      </c>
      <c r="N770">
        <v>11.93</v>
      </c>
    </row>
    <row r="771" spans="1:14">
      <c r="A771" s="28">
        <v>134</v>
      </c>
      <c r="B771" t="s">
        <v>1530</v>
      </c>
      <c r="C771" t="s">
        <v>348</v>
      </c>
      <c r="D771">
        <v>44.42</v>
      </c>
      <c r="E771">
        <v>84.76</v>
      </c>
      <c r="F771">
        <v>80.430000000000007</v>
      </c>
      <c r="G771">
        <v>327.27999999999997</v>
      </c>
      <c r="H771">
        <v>3.29</v>
      </c>
      <c r="I771">
        <v>5.16</v>
      </c>
      <c r="J771">
        <v>44.53</v>
      </c>
      <c r="K771">
        <v>923.8</v>
      </c>
      <c r="L771">
        <v>51.32</v>
      </c>
      <c r="M771">
        <v>2.4700000000000002</v>
      </c>
      <c r="N771">
        <v>25.93</v>
      </c>
    </row>
    <row r="772" spans="1:14">
      <c r="A772" s="28">
        <v>227</v>
      </c>
      <c r="B772" t="s">
        <v>2498</v>
      </c>
      <c r="C772" t="s">
        <v>348</v>
      </c>
      <c r="D772">
        <v>44.45</v>
      </c>
      <c r="E772">
        <v>2454.94</v>
      </c>
      <c r="F772">
        <v>49.71</v>
      </c>
      <c r="G772" t="s">
        <v>349</v>
      </c>
      <c r="H772">
        <v>-2.34</v>
      </c>
      <c r="I772">
        <v>-4.57</v>
      </c>
      <c r="J772">
        <v>-66.489999999999995</v>
      </c>
      <c r="K772">
        <v>2519.81</v>
      </c>
      <c r="N772">
        <v>0</v>
      </c>
    </row>
    <row r="773" spans="1:14">
      <c r="A773" s="28">
        <v>1013</v>
      </c>
      <c r="B773" t="s">
        <v>698</v>
      </c>
      <c r="C773" t="s">
        <v>348</v>
      </c>
      <c r="D773">
        <v>44.45</v>
      </c>
      <c r="E773">
        <v>347.42</v>
      </c>
      <c r="F773">
        <v>8.89</v>
      </c>
      <c r="G773">
        <v>7.27</v>
      </c>
      <c r="H773">
        <v>4.04</v>
      </c>
      <c r="I773">
        <v>5.95</v>
      </c>
      <c r="J773">
        <v>129.19</v>
      </c>
      <c r="K773">
        <v>2237.08</v>
      </c>
      <c r="L773">
        <v>14.2</v>
      </c>
      <c r="M773">
        <v>0.82</v>
      </c>
      <c r="N773">
        <v>7.97</v>
      </c>
    </row>
    <row r="774" spans="1:14">
      <c r="A774" s="28">
        <v>766</v>
      </c>
      <c r="B774" t="s">
        <v>2681</v>
      </c>
      <c r="C774" t="s">
        <v>348</v>
      </c>
      <c r="D774">
        <v>44.46</v>
      </c>
      <c r="E774">
        <v>1368.81</v>
      </c>
      <c r="F774">
        <v>15.08</v>
      </c>
      <c r="G774">
        <v>54.56</v>
      </c>
      <c r="H774">
        <v>12.58</v>
      </c>
      <c r="I774">
        <v>18.440000000000001</v>
      </c>
      <c r="J774">
        <v>235.42</v>
      </c>
      <c r="K774">
        <v>1468.81</v>
      </c>
      <c r="L774">
        <v>7.89</v>
      </c>
      <c r="M774">
        <v>1.26</v>
      </c>
      <c r="N774">
        <v>4</v>
      </c>
    </row>
    <row r="775" spans="1:14">
      <c r="A775" s="28">
        <v>577</v>
      </c>
      <c r="B775" t="s">
        <v>1088</v>
      </c>
      <c r="C775" t="s">
        <v>347</v>
      </c>
      <c r="D775">
        <v>44.49</v>
      </c>
      <c r="E775">
        <v>14781.05</v>
      </c>
      <c r="F775">
        <v>21.77</v>
      </c>
      <c r="G775">
        <v>-21.51</v>
      </c>
      <c r="H775">
        <v>3.92</v>
      </c>
      <c r="I775">
        <v>5.38</v>
      </c>
      <c r="J775">
        <v>3940.45</v>
      </c>
      <c r="K775">
        <v>74405.23</v>
      </c>
      <c r="L775">
        <v>13.15</v>
      </c>
      <c r="M775">
        <v>0.7</v>
      </c>
      <c r="N775">
        <v>6.23</v>
      </c>
    </row>
    <row r="776" spans="1:14">
      <c r="A776" s="28">
        <v>1076</v>
      </c>
      <c r="B776" t="s">
        <v>170</v>
      </c>
      <c r="C776" t="s">
        <v>347</v>
      </c>
      <c r="D776">
        <v>44.57</v>
      </c>
      <c r="E776">
        <v>576.91</v>
      </c>
      <c r="F776">
        <v>7.56</v>
      </c>
      <c r="G776">
        <v>-33.03</v>
      </c>
      <c r="H776">
        <v>2.98</v>
      </c>
      <c r="I776">
        <v>4.3499999999999996</v>
      </c>
      <c r="J776">
        <v>717.81</v>
      </c>
      <c r="K776">
        <v>16922.7</v>
      </c>
      <c r="L776">
        <v>11.34</v>
      </c>
      <c r="M776">
        <v>0.48</v>
      </c>
      <c r="N776">
        <v>4.42</v>
      </c>
    </row>
    <row r="777" spans="1:14">
      <c r="A777" s="28">
        <v>584</v>
      </c>
      <c r="B777" t="s">
        <v>1012</v>
      </c>
      <c r="C777" t="s">
        <v>348</v>
      </c>
      <c r="D777">
        <v>44.7</v>
      </c>
      <c r="E777">
        <v>1439.17</v>
      </c>
      <c r="F777">
        <v>21.59</v>
      </c>
      <c r="G777">
        <v>41.69</v>
      </c>
      <c r="H777">
        <v>11.91</v>
      </c>
      <c r="I777">
        <v>15.85</v>
      </c>
      <c r="J777">
        <v>1070.1199999999999</v>
      </c>
      <c r="K777">
        <v>7695.84</v>
      </c>
      <c r="L777">
        <v>7.57</v>
      </c>
      <c r="M777">
        <v>1.05</v>
      </c>
      <c r="N777">
        <v>5.17</v>
      </c>
    </row>
    <row r="778" spans="1:14">
      <c r="A778" s="28">
        <v>13</v>
      </c>
      <c r="B778" t="s">
        <v>2833</v>
      </c>
      <c r="C778" t="s">
        <v>348</v>
      </c>
      <c r="D778">
        <v>44.75</v>
      </c>
      <c r="E778">
        <v>56.18</v>
      </c>
      <c r="F778">
        <v>728.29</v>
      </c>
      <c r="G778">
        <v>227.5</v>
      </c>
      <c r="H778">
        <v>31.32</v>
      </c>
      <c r="I778">
        <v>43.24</v>
      </c>
      <c r="J778">
        <v>66.2</v>
      </c>
      <c r="K778">
        <v>156.18</v>
      </c>
      <c r="N778">
        <v>0</v>
      </c>
    </row>
    <row r="779" spans="1:14">
      <c r="A779" s="28">
        <v>585</v>
      </c>
      <c r="B779" t="s">
        <v>1988</v>
      </c>
      <c r="C779" t="s">
        <v>347</v>
      </c>
      <c r="D779">
        <v>44.76</v>
      </c>
      <c r="E779">
        <v>80.62</v>
      </c>
      <c r="F779">
        <v>21.56</v>
      </c>
      <c r="G779" t="s">
        <v>2788</v>
      </c>
      <c r="H779">
        <v>-24.57</v>
      </c>
      <c r="I779">
        <v>-38.46</v>
      </c>
      <c r="J779">
        <v>-236.24</v>
      </c>
      <c r="K779">
        <v>903.12</v>
      </c>
    </row>
    <row r="780" spans="1:14">
      <c r="A780" s="28">
        <v>715</v>
      </c>
      <c r="B780" t="s">
        <v>2139</v>
      </c>
      <c r="C780" t="s">
        <v>347</v>
      </c>
      <c r="D780">
        <v>44.83</v>
      </c>
      <c r="E780">
        <v>286.22000000000003</v>
      </c>
      <c r="F780">
        <v>16.23</v>
      </c>
      <c r="G780">
        <v>-7.65</v>
      </c>
      <c r="H780">
        <v>5.35</v>
      </c>
      <c r="I780">
        <v>7.54</v>
      </c>
      <c r="J780">
        <v>144.33000000000001</v>
      </c>
      <c r="K780">
        <v>1969.16</v>
      </c>
      <c r="L780">
        <v>30.55</v>
      </c>
      <c r="M780">
        <v>2.2400000000000002</v>
      </c>
      <c r="N780">
        <v>25.68</v>
      </c>
    </row>
    <row r="781" spans="1:14">
      <c r="A781" s="28">
        <v>135</v>
      </c>
      <c r="B781" t="s">
        <v>2671</v>
      </c>
      <c r="C781" t="s">
        <v>348</v>
      </c>
      <c r="D781">
        <v>44.84</v>
      </c>
      <c r="E781">
        <v>253.88</v>
      </c>
      <c r="F781">
        <v>80.11</v>
      </c>
      <c r="G781" t="s">
        <v>2788</v>
      </c>
      <c r="H781">
        <v>-7.41</v>
      </c>
      <c r="I781">
        <v>-11.21</v>
      </c>
      <c r="J781">
        <v>-193.72</v>
      </c>
      <c r="K781">
        <v>1791.05</v>
      </c>
      <c r="M781">
        <v>1.25</v>
      </c>
    </row>
    <row r="782" spans="1:14">
      <c r="A782" s="28">
        <v>544</v>
      </c>
      <c r="B782" t="s">
        <v>2442</v>
      </c>
      <c r="C782" t="s">
        <v>348</v>
      </c>
      <c r="D782">
        <v>44.86</v>
      </c>
      <c r="E782">
        <v>3320.42</v>
      </c>
      <c r="F782">
        <v>23.87</v>
      </c>
      <c r="G782">
        <v>221.02</v>
      </c>
      <c r="H782">
        <v>6.36</v>
      </c>
      <c r="I782">
        <v>9.18</v>
      </c>
      <c r="J782">
        <v>603.29</v>
      </c>
      <c r="K782">
        <v>6840.83</v>
      </c>
      <c r="L782">
        <v>16.13</v>
      </c>
      <c r="M782">
        <v>1.42</v>
      </c>
      <c r="N782">
        <v>12.3</v>
      </c>
    </row>
    <row r="783" spans="1:14">
      <c r="A783" s="28">
        <v>1008</v>
      </c>
      <c r="B783" t="s">
        <v>2440</v>
      </c>
      <c r="C783" t="s">
        <v>348</v>
      </c>
      <c r="D783">
        <v>44.96</v>
      </c>
      <c r="E783">
        <v>429.17</v>
      </c>
      <c r="F783">
        <v>8.99</v>
      </c>
      <c r="G783" t="s">
        <v>349</v>
      </c>
      <c r="H783">
        <v>-30.75</v>
      </c>
      <c r="I783">
        <v>-45.86</v>
      </c>
      <c r="J783">
        <v>-178.66</v>
      </c>
      <c r="K783">
        <v>529.16999999999996</v>
      </c>
      <c r="M783">
        <v>2.85</v>
      </c>
      <c r="N783">
        <v>31.63</v>
      </c>
    </row>
    <row r="784" spans="1:14">
      <c r="A784" s="28">
        <v>908</v>
      </c>
      <c r="B784" t="s">
        <v>832</v>
      </c>
      <c r="C784" t="s">
        <v>348</v>
      </c>
      <c r="D784">
        <v>44.98</v>
      </c>
      <c r="E784">
        <v>251.92</v>
      </c>
      <c r="F784">
        <v>11.07</v>
      </c>
      <c r="G784">
        <v>152.47999999999999</v>
      </c>
      <c r="H784">
        <v>2.12</v>
      </c>
      <c r="I784">
        <v>3.03</v>
      </c>
      <c r="J784">
        <v>53.34</v>
      </c>
      <c r="K784">
        <v>1759.62</v>
      </c>
      <c r="L784">
        <v>67.77</v>
      </c>
      <c r="M784">
        <v>2.0499999999999998</v>
      </c>
      <c r="N784">
        <v>19.21</v>
      </c>
    </row>
    <row r="785" spans="1:14">
      <c r="A785" s="28">
        <v>681</v>
      </c>
      <c r="B785" t="s">
        <v>1998</v>
      </c>
      <c r="C785" t="s">
        <v>347</v>
      </c>
      <c r="D785">
        <v>449.44</v>
      </c>
      <c r="E785">
        <v>32.909999999999997</v>
      </c>
      <c r="F785">
        <v>17.45</v>
      </c>
      <c r="G785" t="s">
        <v>2788</v>
      </c>
      <c r="H785">
        <v>-6.74</v>
      </c>
      <c r="I785">
        <v>-30.7</v>
      </c>
      <c r="J785">
        <v>-765.53</v>
      </c>
      <c r="K785">
        <v>1993.72</v>
      </c>
      <c r="M785">
        <v>1.25</v>
      </c>
      <c r="N785">
        <v>3.58</v>
      </c>
    </row>
    <row r="786" spans="1:14">
      <c r="A786" s="28">
        <v>848</v>
      </c>
      <c r="B786" t="s">
        <v>1809</v>
      </c>
      <c r="C786" t="s">
        <v>348</v>
      </c>
      <c r="D786">
        <v>45.04</v>
      </c>
      <c r="E786">
        <v>5022.37</v>
      </c>
      <c r="F786">
        <v>12.67</v>
      </c>
      <c r="G786">
        <v>6140.03</v>
      </c>
      <c r="H786">
        <v>4.55</v>
      </c>
      <c r="I786">
        <v>6.87</v>
      </c>
      <c r="J786">
        <v>1706.99</v>
      </c>
      <c r="K786">
        <v>25611.84</v>
      </c>
      <c r="L786">
        <v>9.9499999999999993</v>
      </c>
      <c r="M786">
        <v>0.66</v>
      </c>
      <c r="N786">
        <v>7.42</v>
      </c>
    </row>
    <row r="787" spans="1:14">
      <c r="A787" s="28">
        <v>325</v>
      </c>
      <c r="B787" t="s">
        <v>2678</v>
      </c>
      <c r="C787" t="s">
        <v>348</v>
      </c>
      <c r="D787">
        <v>45.06</v>
      </c>
      <c r="E787">
        <v>435.85</v>
      </c>
      <c r="F787">
        <v>38.229999999999997</v>
      </c>
      <c r="G787" t="s">
        <v>350</v>
      </c>
      <c r="H787">
        <v>1.89</v>
      </c>
      <c r="I787">
        <v>2.78</v>
      </c>
      <c r="J787">
        <v>65.739999999999995</v>
      </c>
      <c r="K787">
        <v>2679.26</v>
      </c>
      <c r="L787">
        <v>37.950000000000003</v>
      </c>
      <c r="M787">
        <v>0.93</v>
      </c>
      <c r="N787">
        <v>12.47</v>
      </c>
    </row>
    <row r="788" spans="1:14">
      <c r="A788" s="28">
        <v>304</v>
      </c>
      <c r="B788" t="s">
        <v>1225</v>
      </c>
      <c r="C788" t="s">
        <v>348</v>
      </c>
      <c r="D788">
        <v>45.12</v>
      </c>
      <c r="E788">
        <v>2864.18</v>
      </c>
      <c r="F788">
        <v>40.56</v>
      </c>
      <c r="G788">
        <v>10.27</v>
      </c>
      <c r="H788">
        <v>8.15</v>
      </c>
      <c r="I788">
        <v>12.5</v>
      </c>
      <c r="J788">
        <v>1661.82</v>
      </c>
      <c r="K788">
        <v>14820.9</v>
      </c>
      <c r="L788">
        <v>7.19</v>
      </c>
      <c r="M788">
        <v>0.81</v>
      </c>
      <c r="N788">
        <v>5</v>
      </c>
    </row>
    <row r="789" spans="1:14">
      <c r="A789" s="28">
        <v>233</v>
      </c>
      <c r="B789" t="s">
        <v>710</v>
      </c>
      <c r="C789" t="s">
        <v>347</v>
      </c>
      <c r="D789">
        <v>45.15</v>
      </c>
      <c r="E789">
        <v>24303.54</v>
      </c>
      <c r="F789">
        <v>49.34</v>
      </c>
      <c r="G789">
        <v>44.11</v>
      </c>
      <c r="H789">
        <v>32.11</v>
      </c>
      <c r="I789">
        <v>51.29</v>
      </c>
      <c r="J789">
        <v>10066.74</v>
      </c>
      <c r="K789">
        <v>24403.54</v>
      </c>
      <c r="L789">
        <v>14.35</v>
      </c>
      <c r="M789">
        <v>5.92</v>
      </c>
      <c r="N789">
        <v>10.15</v>
      </c>
    </row>
    <row r="790" spans="1:14">
      <c r="A790" s="28">
        <v>983</v>
      </c>
      <c r="B790" t="s">
        <v>330</v>
      </c>
      <c r="C790" t="s">
        <v>348</v>
      </c>
      <c r="D790">
        <v>45.27</v>
      </c>
      <c r="E790">
        <v>1632.96</v>
      </c>
      <c r="F790">
        <v>9.5</v>
      </c>
      <c r="G790">
        <v>302.08</v>
      </c>
      <c r="H790">
        <v>17.32</v>
      </c>
      <c r="I790">
        <v>26.38</v>
      </c>
      <c r="J790">
        <v>1873.09</v>
      </c>
      <c r="K790">
        <v>8664.7900000000009</v>
      </c>
      <c r="L790">
        <v>7.02</v>
      </c>
      <c r="M790">
        <v>1.52</v>
      </c>
      <c r="N790">
        <v>5.85</v>
      </c>
    </row>
    <row r="791" spans="1:14">
      <c r="A791" s="28">
        <v>1101</v>
      </c>
      <c r="B791" t="s">
        <v>907</v>
      </c>
      <c r="C791" t="s">
        <v>348</v>
      </c>
      <c r="D791">
        <v>45.29</v>
      </c>
      <c r="E791">
        <v>340.37</v>
      </c>
      <c r="F791">
        <v>7.01</v>
      </c>
      <c r="G791">
        <v>0.13</v>
      </c>
      <c r="H791">
        <v>5.9</v>
      </c>
      <c r="I791">
        <v>8.43</v>
      </c>
      <c r="J791">
        <v>202.56</v>
      </c>
      <c r="K791">
        <v>2486.84</v>
      </c>
      <c r="L791">
        <v>23.43</v>
      </c>
      <c r="M791">
        <v>1.91</v>
      </c>
      <c r="N791">
        <v>9.89</v>
      </c>
    </row>
    <row r="792" spans="1:14">
      <c r="A792" s="28">
        <v>440</v>
      </c>
      <c r="B792" t="s">
        <v>2835</v>
      </c>
      <c r="C792" t="s">
        <v>348</v>
      </c>
      <c r="D792">
        <v>45.67</v>
      </c>
      <c r="E792">
        <v>609.92999999999995</v>
      </c>
      <c r="F792">
        <v>28.72</v>
      </c>
      <c r="G792" t="s">
        <v>2788</v>
      </c>
      <c r="H792">
        <v>-2.21</v>
      </c>
      <c r="I792">
        <v>-3.09</v>
      </c>
      <c r="J792">
        <v>-108.71</v>
      </c>
      <c r="K792">
        <v>3549.66</v>
      </c>
      <c r="M792">
        <v>2.42</v>
      </c>
      <c r="N792">
        <v>12.94</v>
      </c>
    </row>
    <row r="793" spans="1:14">
      <c r="A793" s="28">
        <v>577</v>
      </c>
      <c r="B793" t="s">
        <v>1935</v>
      </c>
      <c r="C793" t="s">
        <v>348</v>
      </c>
      <c r="D793">
        <v>45.77</v>
      </c>
      <c r="E793">
        <v>1310.23</v>
      </c>
      <c r="F793">
        <v>21.77</v>
      </c>
      <c r="G793" t="s">
        <v>349</v>
      </c>
      <c r="H793">
        <v>-0.28999999999999998</v>
      </c>
      <c r="I793">
        <v>-0.38</v>
      </c>
      <c r="J793">
        <v>-23.93</v>
      </c>
      <c r="K793">
        <v>7051.13</v>
      </c>
      <c r="M793">
        <v>3.19</v>
      </c>
    </row>
    <row r="794" spans="1:14">
      <c r="A794" s="28">
        <v>827</v>
      </c>
      <c r="B794" t="s">
        <v>1377</v>
      </c>
      <c r="C794" t="s">
        <v>347</v>
      </c>
      <c r="D794">
        <v>45.78</v>
      </c>
      <c r="E794">
        <v>3752.45</v>
      </c>
      <c r="F794">
        <v>13.41</v>
      </c>
      <c r="G794">
        <v>-5.16</v>
      </c>
      <c r="H794">
        <v>4.28</v>
      </c>
      <c r="I794">
        <v>6.3</v>
      </c>
      <c r="J794">
        <v>11667.43</v>
      </c>
      <c r="K794">
        <v>195249.66</v>
      </c>
      <c r="L794">
        <v>40.450000000000003</v>
      </c>
      <c r="M794">
        <v>2.42</v>
      </c>
      <c r="N794">
        <v>31.32</v>
      </c>
    </row>
    <row r="795" spans="1:14">
      <c r="A795" s="28">
        <v>608</v>
      </c>
      <c r="B795" t="s">
        <v>2397</v>
      </c>
      <c r="C795" t="s">
        <v>348</v>
      </c>
      <c r="D795">
        <v>45.87</v>
      </c>
      <c r="E795">
        <v>1081.31</v>
      </c>
      <c r="F795">
        <v>20.2</v>
      </c>
      <c r="G795" t="s">
        <v>350</v>
      </c>
      <c r="H795">
        <v>4.03</v>
      </c>
      <c r="I795">
        <v>5.72</v>
      </c>
      <c r="J795">
        <v>322.94</v>
      </c>
      <c r="K795">
        <v>5906.57</v>
      </c>
      <c r="L795">
        <v>13.32</v>
      </c>
      <c r="M795">
        <v>0.73</v>
      </c>
      <c r="N795">
        <v>5.54</v>
      </c>
    </row>
    <row r="796" spans="1:14">
      <c r="A796" s="28">
        <v>964</v>
      </c>
      <c r="B796" t="s">
        <v>2048</v>
      </c>
      <c r="C796" t="s">
        <v>348</v>
      </c>
      <c r="D796">
        <v>454.16</v>
      </c>
      <c r="E796">
        <v>393.61</v>
      </c>
      <c r="F796">
        <v>9.86</v>
      </c>
      <c r="G796" t="s">
        <v>350</v>
      </c>
      <c r="H796">
        <v>1.72</v>
      </c>
      <c r="I796">
        <v>11.61</v>
      </c>
      <c r="J796">
        <v>241.31</v>
      </c>
      <c r="K796">
        <v>2468.0500000000002</v>
      </c>
      <c r="L796">
        <v>33.57</v>
      </c>
      <c r="M796">
        <v>3.28</v>
      </c>
      <c r="N796">
        <v>13.86</v>
      </c>
    </row>
    <row r="797" spans="1:14">
      <c r="A797" s="28">
        <v>262</v>
      </c>
      <c r="B797" t="s">
        <v>1252</v>
      </c>
      <c r="C797" t="s">
        <v>348</v>
      </c>
      <c r="D797">
        <v>46.08</v>
      </c>
      <c r="E797">
        <v>2514.4299999999998</v>
      </c>
      <c r="F797">
        <v>44.96</v>
      </c>
      <c r="G797">
        <v>103.15</v>
      </c>
      <c r="H797">
        <v>10.27</v>
      </c>
      <c r="I797">
        <v>14.91</v>
      </c>
      <c r="J797">
        <v>1767.51</v>
      </c>
      <c r="K797">
        <v>13172.52</v>
      </c>
      <c r="L797">
        <v>17.96</v>
      </c>
      <c r="M797">
        <v>2.41</v>
      </c>
      <c r="N797">
        <v>13.29</v>
      </c>
    </row>
    <row r="798" spans="1:14">
      <c r="A798" s="28">
        <v>593</v>
      </c>
      <c r="B798" t="s">
        <v>673</v>
      </c>
      <c r="C798" t="s">
        <v>348</v>
      </c>
      <c r="D798">
        <v>46.13</v>
      </c>
      <c r="E798">
        <v>1051.3</v>
      </c>
      <c r="F798">
        <v>20.92</v>
      </c>
      <c r="G798">
        <v>1015.49</v>
      </c>
      <c r="H798">
        <v>8.0500000000000007</v>
      </c>
      <c r="I798">
        <v>12.05</v>
      </c>
      <c r="J798">
        <v>662.46</v>
      </c>
      <c r="K798">
        <v>5822.94</v>
      </c>
      <c r="L798">
        <v>4.24</v>
      </c>
      <c r="M798">
        <v>0.48</v>
      </c>
      <c r="N798">
        <v>16.39</v>
      </c>
    </row>
    <row r="799" spans="1:14">
      <c r="A799" s="28">
        <v>76</v>
      </c>
      <c r="B799" t="s">
        <v>2043</v>
      </c>
      <c r="C799" t="s">
        <v>348</v>
      </c>
      <c r="D799">
        <v>46.2</v>
      </c>
      <c r="E799">
        <v>266.07</v>
      </c>
      <c r="F799">
        <v>139.94</v>
      </c>
      <c r="G799" t="s">
        <v>2788</v>
      </c>
      <c r="H799">
        <v>-31.92</v>
      </c>
      <c r="I799">
        <v>-54.08</v>
      </c>
      <c r="J799">
        <v>-211.16</v>
      </c>
      <c r="K799">
        <v>366.07</v>
      </c>
      <c r="M799">
        <v>1.79</v>
      </c>
    </row>
    <row r="800" spans="1:14">
      <c r="A800" s="28">
        <v>751</v>
      </c>
      <c r="B800" t="s">
        <v>2267</v>
      </c>
      <c r="C800" t="s">
        <v>348</v>
      </c>
      <c r="D800">
        <v>46.21</v>
      </c>
      <c r="E800">
        <v>128.9</v>
      </c>
      <c r="F800">
        <v>15.45</v>
      </c>
      <c r="G800" t="s">
        <v>2788</v>
      </c>
      <c r="H800">
        <v>-9.6199999999999992</v>
      </c>
      <c r="I800">
        <v>-13.59</v>
      </c>
      <c r="J800">
        <v>-169.92</v>
      </c>
      <c r="K800">
        <v>1144.52</v>
      </c>
      <c r="M800">
        <v>0.66</v>
      </c>
    </row>
    <row r="801" spans="1:14">
      <c r="A801" s="28">
        <v>1043</v>
      </c>
      <c r="B801" t="s">
        <v>1968</v>
      </c>
      <c r="C801" t="s">
        <v>348</v>
      </c>
      <c r="D801">
        <v>46.27</v>
      </c>
      <c r="E801">
        <v>347.48</v>
      </c>
      <c r="F801">
        <v>8.17</v>
      </c>
      <c r="G801">
        <v>20.88</v>
      </c>
      <c r="H801">
        <v>3.24</v>
      </c>
      <c r="I801">
        <v>4.34</v>
      </c>
      <c r="J801">
        <v>94.55</v>
      </c>
      <c r="K801">
        <v>2237.41</v>
      </c>
      <c r="L801">
        <v>26.39</v>
      </c>
      <c r="M801">
        <v>1.1200000000000001</v>
      </c>
      <c r="N801">
        <v>18.760000000000002</v>
      </c>
    </row>
    <row r="802" spans="1:14">
      <c r="A802" s="28">
        <v>88</v>
      </c>
      <c r="B802" t="s">
        <v>83</v>
      </c>
      <c r="C802" t="s">
        <v>347</v>
      </c>
      <c r="D802">
        <v>46.77</v>
      </c>
      <c r="E802">
        <v>2131.6799999999998</v>
      </c>
      <c r="F802">
        <v>122.51</v>
      </c>
      <c r="G802">
        <v>-13.14</v>
      </c>
      <c r="H802">
        <v>3.21</v>
      </c>
      <c r="I802">
        <v>4.84</v>
      </c>
      <c r="J802">
        <v>492.79</v>
      </c>
      <c r="K802">
        <v>11158.41</v>
      </c>
      <c r="L802">
        <v>15.42</v>
      </c>
      <c r="M802">
        <v>0.68</v>
      </c>
      <c r="N802">
        <v>10.07</v>
      </c>
    </row>
    <row r="803" spans="1:14">
      <c r="A803" s="28">
        <v>664</v>
      </c>
      <c r="B803" t="s">
        <v>2836</v>
      </c>
      <c r="C803" t="s">
        <v>348</v>
      </c>
      <c r="D803">
        <v>460.15</v>
      </c>
      <c r="E803">
        <v>353.98</v>
      </c>
      <c r="F803">
        <v>18.23</v>
      </c>
      <c r="G803" t="s">
        <v>2788</v>
      </c>
      <c r="H803">
        <v>-13.63</v>
      </c>
      <c r="I803">
        <v>-56.75</v>
      </c>
      <c r="J803">
        <v>-1534.49</v>
      </c>
      <c r="K803">
        <v>1936.84</v>
      </c>
      <c r="M803">
        <v>1.96</v>
      </c>
    </row>
    <row r="804" spans="1:14">
      <c r="A804" s="28">
        <v>803</v>
      </c>
      <c r="B804" t="s">
        <v>963</v>
      </c>
      <c r="C804" t="s">
        <v>348</v>
      </c>
      <c r="D804">
        <v>465.56</v>
      </c>
      <c r="E804">
        <v>1825.86</v>
      </c>
      <c r="F804">
        <v>14.04</v>
      </c>
      <c r="G804">
        <v>32.090000000000003</v>
      </c>
      <c r="H804">
        <v>3.9</v>
      </c>
      <c r="I804">
        <v>21.96</v>
      </c>
      <c r="J804">
        <v>4411.3999999999996</v>
      </c>
      <c r="K804">
        <v>19258.59</v>
      </c>
      <c r="L804">
        <v>5.41</v>
      </c>
      <c r="M804">
        <v>1.24</v>
      </c>
      <c r="N804">
        <v>3.7</v>
      </c>
    </row>
    <row r="805" spans="1:14">
      <c r="A805" s="28">
        <v>152</v>
      </c>
      <c r="B805" t="s">
        <v>2098</v>
      </c>
      <c r="C805" t="s">
        <v>348</v>
      </c>
      <c r="D805">
        <v>47.19</v>
      </c>
      <c r="E805">
        <v>74.23</v>
      </c>
      <c r="F805">
        <v>70.55</v>
      </c>
      <c r="G805" t="s">
        <v>349</v>
      </c>
      <c r="H805">
        <v>-30.13</v>
      </c>
      <c r="I805">
        <v>-39.18</v>
      </c>
      <c r="J805">
        <v>-712.75</v>
      </c>
      <c r="K805">
        <v>1742.26</v>
      </c>
      <c r="M805">
        <v>1.52</v>
      </c>
    </row>
    <row r="806" spans="1:14">
      <c r="A806" s="28">
        <v>63</v>
      </c>
      <c r="B806" t="s">
        <v>2610</v>
      </c>
      <c r="C806" t="s">
        <v>348</v>
      </c>
      <c r="D806">
        <v>47.34</v>
      </c>
      <c r="E806">
        <v>67.64</v>
      </c>
      <c r="F806">
        <v>159.31</v>
      </c>
      <c r="G806" t="s">
        <v>2788</v>
      </c>
      <c r="H806">
        <v>-8.32</v>
      </c>
      <c r="I806">
        <v>-11.19</v>
      </c>
      <c r="J806">
        <v>-92</v>
      </c>
      <c r="K806">
        <v>838.21</v>
      </c>
      <c r="M806">
        <v>0.6</v>
      </c>
    </row>
    <row r="807" spans="1:14">
      <c r="A807" s="28">
        <v>747</v>
      </c>
      <c r="B807" t="s">
        <v>380</v>
      </c>
      <c r="C807" t="s">
        <v>348</v>
      </c>
      <c r="D807">
        <v>47.4</v>
      </c>
      <c r="E807">
        <v>1071.73</v>
      </c>
      <c r="F807">
        <v>15.63</v>
      </c>
      <c r="G807">
        <v>32.94</v>
      </c>
      <c r="H807">
        <v>3.68</v>
      </c>
      <c r="I807">
        <v>5.6</v>
      </c>
      <c r="J807">
        <v>327.33</v>
      </c>
      <c r="K807">
        <v>5858.66</v>
      </c>
      <c r="L807">
        <v>18.88</v>
      </c>
      <c r="M807">
        <v>1.05</v>
      </c>
      <c r="N807">
        <v>9.0500000000000007</v>
      </c>
    </row>
    <row r="808" spans="1:14">
      <c r="A808" s="28">
        <v>732</v>
      </c>
      <c r="B808" t="s">
        <v>2837</v>
      </c>
      <c r="C808" t="s">
        <v>348</v>
      </c>
      <c r="D808">
        <v>47.45</v>
      </c>
      <c r="E808">
        <v>318.44</v>
      </c>
      <c r="F808">
        <v>15.93</v>
      </c>
      <c r="G808" t="s">
        <v>2788</v>
      </c>
      <c r="H808">
        <v>-45.6</v>
      </c>
      <c r="I808">
        <v>-62.73</v>
      </c>
      <c r="J808">
        <v>-1724.82</v>
      </c>
      <c r="K808">
        <v>2092.1799999999998</v>
      </c>
    </row>
    <row r="809" spans="1:14">
      <c r="A809" s="28">
        <v>424</v>
      </c>
      <c r="B809" t="s">
        <v>270</v>
      </c>
      <c r="C809" t="s">
        <v>348</v>
      </c>
      <c r="D809">
        <v>47.75</v>
      </c>
      <c r="E809">
        <v>4840.43</v>
      </c>
      <c r="F809">
        <v>30.1</v>
      </c>
      <c r="G809">
        <v>27.86</v>
      </c>
      <c r="H809">
        <v>4.42</v>
      </c>
      <c r="I809">
        <v>6.61</v>
      </c>
      <c r="J809">
        <v>1584.67</v>
      </c>
      <c r="K809">
        <v>24702.16</v>
      </c>
      <c r="L809">
        <v>4.43</v>
      </c>
      <c r="M809">
        <v>0.28000000000000003</v>
      </c>
      <c r="N809">
        <v>4.0199999999999996</v>
      </c>
    </row>
    <row r="810" spans="1:14">
      <c r="A810" s="28">
        <v>319</v>
      </c>
      <c r="B810" t="s">
        <v>113</v>
      </c>
      <c r="C810" t="s">
        <v>347</v>
      </c>
      <c r="D810">
        <v>47.88</v>
      </c>
      <c r="E810">
        <v>7401.91</v>
      </c>
      <c r="F810">
        <v>38.56</v>
      </c>
      <c r="G810">
        <v>140.44</v>
      </c>
      <c r="H810">
        <v>4.01</v>
      </c>
      <c r="I810">
        <v>6.09</v>
      </c>
      <c r="J810">
        <v>2085.52</v>
      </c>
      <c r="K810">
        <v>37509.56</v>
      </c>
      <c r="L810">
        <v>10.55</v>
      </c>
      <c r="M810">
        <v>0.59</v>
      </c>
      <c r="N810">
        <v>11.88</v>
      </c>
    </row>
    <row r="811" spans="1:14">
      <c r="A811" s="28">
        <v>808</v>
      </c>
      <c r="B811" t="s">
        <v>1992</v>
      </c>
      <c r="C811" t="s">
        <v>348</v>
      </c>
      <c r="D811">
        <v>47.91</v>
      </c>
      <c r="E811">
        <v>1382.33</v>
      </c>
      <c r="F811">
        <v>13.93</v>
      </c>
      <c r="G811" t="s">
        <v>350</v>
      </c>
      <c r="H811">
        <v>5.73</v>
      </c>
      <c r="I811">
        <v>8.51</v>
      </c>
      <c r="J811">
        <v>604.6</v>
      </c>
      <c r="K811">
        <v>7411.64</v>
      </c>
      <c r="L811">
        <v>4.47</v>
      </c>
      <c r="M811">
        <v>0.36</v>
      </c>
      <c r="N811">
        <v>4.7</v>
      </c>
    </row>
    <row r="812" spans="1:14">
      <c r="A812" s="28">
        <v>601</v>
      </c>
      <c r="B812" t="s">
        <v>2284</v>
      </c>
      <c r="C812" t="s">
        <v>348</v>
      </c>
      <c r="D812">
        <v>48.01</v>
      </c>
      <c r="E812">
        <v>184.23</v>
      </c>
      <c r="F812">
        <v>20.51</v>
      </c>
      <c r="G812">
        <v>-58.1</v>
      </c>
      <c r="H812">
        <v>1.1299999999999999</v>
      </c>
      <c r="I812">
        <v>1.61</v>
      </c>
      <c r="J812">
        <v>22.31</v>
      </c>
      <c r="K812">
        <v>1421.13</v>
      </c>
      <c r="L812">
        <v>62.45</v>
      </c>
      <c r="M812">
        <v>0.98</v>
      </c>
      <c r="N812">
        <v>21.13</v>
      </c>
    </row>
    <row r="813" spans="1:14">
      <c r="A813" s="28">
        <v>1104</v>
      </c>
      <c r="B813" t="s">
        <v>1978</v>
      </c>
      <c r="C813" t="s">
        <v>348</v>
      </c>
      <c r="D813">
        <v>48.1</v>
      </c>
      <c r="E813">
        <v>350.94</v>
      </c>
      <c r="F813">
        <v>6.9</v>
      </c>
      <c r="G813">
        <v>-8.8000000000000007</v>
      </c>
      <c r="H813">
        <v>4.29</v>
      </c>
      <c r="I813">
        <v>6.28</v>
      </c>
      <c r="J813">
        <v>134.5</v>
      </c>
      <c r="K813">
        <v>2254.6999999999998</v>
      </c>
      <c r="L813">
        <v>24.2</v>
      </c>
      <c r="M813">
        <v>1.44</v>
      </c>
      <c r="N813">
        <v>37.57</v>
      </c>
    </row>
    <row r="814" spans="1:14">
      <c r="A814" s="28">
        <v>198</v>
      </c>
      <c r="B814" t="s">
        <v>2274</v>
      </c>
      <c r="C814" t="s">
        <v>347</v>
      </c>
      <c r="D814">
        <v>48.11</v>
      </c>
      <c r="E814">
        <v>198.05</v>
      </c>
      <c r="F814">
        <v>57.14</v>
      </c>
      <c r="G814" t="s">
        <v>2788</v>
      </c>
      <c r="H814">
        <v>-1.1299999999999999</v>
      </c>
      <c r="I814">
        <v>-1.61</v>
      </c>
      <c r="J814">
        <v>-22.72</v>
      </c>
      <c r="K814">
        <v>1365.33</v>
      </c>
      <c r="M814">
        <v>0.79</v>
      </c>
      <c r="N814">
        <v>7.9</v>
      </c>
    </row>
    <row r="815" spans="1:14">
      <c r="A815" s="28">
        <v>449</v>
      </c>
      <c r="B815" t="s">
        <v>267</v>
      </c>
      <c r="C815" t="s">
        <v>348</v>
      </c>
      <c r="D815">
        <v>48.36</v>
      </c>
      <c r="E815">
        <v>2251.4499999999998</v>
      </c>
      <c r="F815">
        <v>28.29</v>
      </c>
      <c r="G815">
        <v>27.11</v>
      </c>
      <c r="H815">
        <v>13.94</v>
      </c>
      <c r="I815">
        <v>20.59</v>
      </c>
      <c r="J815">
        <v>2198.64</v>
      </c>
      <c r="K815">
        <v>11757.26</v>
      </c>
      <c r="L815">
        <v>7.46</v>
      </c>
      <c r="M815">
        <v>1.39</v>
      </c>
      <c r="N815">
        <v>5.31</v>
      </c>
    </row>
    <row r="816" spans="1:14">
      <c r="A816" s="28">
        <v>772</v>
      </c>
      <c r="B816" t="s">
        <v>1496</v>
      </c>
      <c r="C816" t="s">
        <v>348</v>
      </c>
      <c r="D816">
        <v>48.58</v>
      </c>
      <c r="E816">
        <v>780.05</v>
      </c>
      <c r="F816">
        <v>14.9</v>
      </c>
      <c r="G816" t="s">
        <v>2788</v>
      </c>
      <c r="H816">
        <v>-0.54</v>
      </c>
      <c r="I816">
        <v>-0.84</v>
      </c>
      <c r="J816">
        <v>-36.979999999999997</v>
      </c>
      <c r="K816">
        <v>4400.2700000000004</v>
      </c>
      <c r="M816">
        <v>1.1100000000000001</v>
      </c>
    </row>
    <row r="817" spans="1:14">
      <c r="A817" s="28">
        <v>503</v>
      </c>
      <c r="B817" t="s">
        <v>760</v>
      </c>
      <c r="C817" t="s">
        <v>348</v>
      </c>
      <c r="D817">
        <v>48.6</v>
      </c>
      <c r="E817">
        <v>1179.3499999999999</v>
      </c>
      <c r="F817">
        <v>25.51</v>
      </c>
      <c r="G817" t="s">
        <v>349</v>
      </c>
      <c r="H817">
        <v>-0.09</v>
      </c>
      <c r="I817">
        <v>-0.13</v>
      </c>
      <c r="J817">
        <v>-8.5399999999999991</v>
      </c>
      <c r="K817">
        <v>6396.73</v>
      </c>
      <c r="M817">
        <v>0.69</v>
      </c>
      <c r="N817">
        <v>15.89</v>
      </c>
    </row>
    <row r="818" spans="1:14">
      <c r="A818" s="28">
        <v>50</v>
      </c>
      <c r="B818" t="s">
        <v>1587</v>
      </c>
      <c r="C818" t="s">
        <v>348</v>
      </c>
      <c r="D818">
        <v>48.72</v>
      </c>
      <c r="E818">
        <v>723.93</v>
      </c>
      <c r="F818">
        <v>193.41</v>
      </c>
      <c r="G818" t="s">
        <v>350</v>
      </c>
      <c r="H818">
        <v>10.6</v>
      </c>
      <c r="I818">
        <v>17.670000000000002</v>
      </c>
      <c r="J818">
        <v>607.08000000000004</v>
      </c>
      <c r="K818">
        <v>4119.6499999999996</v>
      </c>
      <c r="L818">
        <v>14.84</v>
      </c>
      <c r="M818">
        <v>2.19</v>
      </c>
      <c r="N818">
        <v>28.29</v>
      </c>
    </row>
    <row r="819" spans="1:14">
      <c r="A819" s="28">
        <v>414</v>
      </c>
      <c r="B819" t="s">
        <v>2059</v>
      </c>
      <c r="C819" t="s">
        <v>348</v>
      </c>
      <c r="D819">
        <v>48.78</v>
      </c>
      <c r="E819">
        <v>277.25</v>
      </c>
      <c r="F819">
        <v>30.56</v>
      </c>
      <c r="G819">
        <v>391.72</v>
      </c>
      <c r="H819">
        <v>19.32</v>
      </c>
      <c r="I819">
        <v>29.63</v>
      </c>
      <c r="J819">
        <v>491.56</v>
      </c>
      <c r="K819">
        <v>1886.23</v>
      </c>
      <c r="L819">
        <v>7.99</v>
      </c>
      <c r="M819">
        <v>2.08</v>
      </c>
      <c r="N819">
        <v>5.98</v>
      </c>
    </row>
    <row r="820" spans="1:14">
      <c r="A820" s="28">
        <v>582</v>
      </c>
      <c r="B820" t="s">
        <v>589</v>
      </c>
      <c r="C820" t="s">
        <v>347</v>
      </c>
      <c r="D820">
        <v>48.79</v>
      </c>
      <c r="E820">
        <v>812.37</v>
      </c>
      <c r="F820">
        <v>21.67</v>
      </c>
      <c r="G820">
        <v>109.77</v>
      </c>
      <c r="H820">
        <v>4.91</v>
      </c>
      <c r="I820">
        <v>7.07</v>
      </c>
      <c r="J820">
        <v>1439.89</v>
      </c>
      <c r="K820">
        <v>23495.07</v>
      </c>
      <c r="L820">
        <v>10</v>
      </c>
      <c r="M820">
        <v>0.61</v>
      </c>
      <c r="N820">
        <v>10.58</v>
      </c>
    </row>
    <row r="821" spans="1:14">
      <c r="A821" s="28">
        <v>553</v>
      </c>
      <c r="B821" t="s">
        <v>2501</v>
      </c>
      <c r="C821" t="s">
        <v>348</v>
      </c>
      <c r="D821">
        <v>48.81</v>
      </c>
      <c r="E821">
        <v>626.62</v>
      </c>
      <c r="F821">
        <v>23.32</v>
      </c>
      <c r="G821" t="s">
        <v>349</v>
      </c>
      <c r="H821">
        <v>-1.81</v>
      </c>
      <c r="I821">
        <v>-2.3199999999999998</v>
      </c>
      <c r="J821">
        <v>-85.04</v>
      </c>
      <c r="K821">
        <v>3633.12</v>
      </c>
      <c r="M821">
        <v>1.72</v>
      </c>
      <c r="N821">
        <v>46.13</v>
      </c>
    </row>
    <row r="822" spans="1:14">
      <c r="A822" s="28">
        <v>234</v>
      </c>
      <c r="B822" t="s">
        <v>2838</v>
      </c>
      <c r="C822" t="s">
        <v>348</v>
      </c>
      <c r="D822">
        <v>49.08</v>
      </c>
      <c r="E822">
        <v>1903.52</v>
      </c>
      <c r="F822">
        <v>49.05</v>
      </c>
      <c r="G822">
        <v>301.77999999999997</v>
      </c>
      <c r="H822">
        <v>6.98</v>
      </c>
      <c r="I822">
        <v>10.25</v>
      </c>
      <c r="J822">
        <v>972.26</v>
      </c>
      <c r="K822">
        <v>10017.61</v>
      </c>
      <c r="L822">
        <v>2.87</v>
      </c>
      <c r="M822">
        <v>0.28000000000000003</v>
      </c>
      <c r="N822">
        <v>2.11</v>
      </c>
    </row>
    <row r="823" spans="1:14">
      <c r="A823" s="28">
        <v>245</v>
      </c>
      <c r="B823" t="s">
        <v>2420</v>
      </c>
      <c r="C823" t="s">
        <v>348</v>
      </c>
      <c r="D823">
        <v>49.23</v>
      </c>
      <c r="E823">
        <v>1554.53</v>
      </c>
      <c r="F823">
        <v>47.18</v>
      </c>
      <c r="G823">
        <v>160.68</v>
      </c>
      <c r="H823">
        <v>13.04</v>
      </c>
      <c r="I823">
        <v>26.95</v>
      </c>
      <c r="J823">
        <v>1545.41</v>
      </c>
      <c r="K823">
        <v>8272.67</v>
      </c>
      <c r="L823">
        <v>22.65</v>
      </c>
      <c r="M823">
        <v>4.2300000000000004</v>
      </c>
      <c r="N823">
        <v>18.52</v>
      </c>
    </row>
    <row r="824" spans="1:14">
      <c r="A824" s="28">
        <v>425</v>
      </c>
      <c r="B824" t="s">
        <v>2434</v>
      </c>
      <c r="C824" t="s">
        <v>348</v>
      </c>
      <c r="D824">
        <v>49.25</v>
      </c>
      <c r="E824">
        <v>4765.33</v>
      </c>
      <c r="F824">
        <v>30.03</v>
      </c>
      <c r="G824" t="s">
        <v>350</v>
      </c>
      <c r="H824">
        <v>0.49</v>
      </c>
      <c r="I824">
        <v>0.83</v>
      </c>
      <c r="J824">
        <v>33.86</v>
      </c>
      <c r="K824">
        <v>4865.33</v>
      </c>
      <c r="L824">
        <v>211.47</v>
      </c>
      <c r="M824">
        <v>1.47</v>
      </c>
      <c r="N824">
        <v>37.14</v>
      </c>
    </row>
    <row r="825" spans="1:14">
      <c r="A825" s="28">
        <v>412</v>
      </c>
      <c r="B825" t="s">
        <v>77</v>
      </c>
      <c r="C825" t="s">
        <v>347</v>
      </c>
      <c r="D825">
        <v>49.58</v>
      </c>
      <c r="E825">
        <v>2270.34</v>
      </c>
      <c r="F825">
        <v>30.8</v>
      </c>
      <c r="G825" t="s">
        <v>349</v>
      </c>
      <c r="H825">
        <v>-0.76</v>
      </c>
      <c r="I825">
        <v>-1.28</v>
      </c>
      <c r="J825">
        <v>-193.03</v>
      </c>
      <c r="K825">
        <v>11851.7</v>
      </c>
      <c r="M825">
        <v>0.55000000000000004</v>
      </c>
    </row>
    <row r="826" spans="1:14">
      <c r="A826" s="28">
        <v>191</v>
      </c>
      <c r="B826" t="s">
        <v>1304</v>
      </c>
      <c r="C826" t="s">
        <v>347</v>
      </c>
      <c r="D826">
        <v>49.7</v>
      </c>
      <c r="E826">
        <v>1457.19</v>
      </c>
      <c r="F826">
        <v>58.24</v>
      </c>
      <c r="G826">
        <v>148.9</v>
      </c>
      <c r="H826">
        <v>2.7</v>
      </c>
      <c r="I826">
        <v>3.59</v>
      </c>
      <c r="J826">
        <v>259.89999999999998</v>
      </c>
      <c r="K826">
        <v>7637.57</v>
      </c>
      <c r="L826">
        <v>124.85</v>
      </c>
      <c r="M826">
        <v>4.25</v>
      </c>
      <c r="N826">
        <v>172.59</v>
      </c>
    </row>
    <row r="827" spans="1:14">
      <c r="A827" s="28">
        <v>345</v>
      </c>
      <c r="B827" t="s">
        <v>1110</v>
      </c>
      <c r="C827" t="s">
        <v>348</v>
      </c>
      <c r="D827">
        <v>49.74</v>
      </c>
      <c r="E827">
        <v>1209.46</v>
      </c>
      <c r="F827">
        <v>35.979999999999997</v>
      </c>
      <c r="G827">
        <v>50.01</v>
      </c>
      <c r="H827">
        <v>7</v>
      </c>
      <c r="I827">
        <v>10.3</v>
      </c>
      <c r="J827">
        <v>644.79999999999995</v>
      </c>
      <c r="K827">
        <v>6547.31</v>
      </c>
      <c r="L827">
        <v>5.82</v>
      </c>
      <c r="M827">
        <v>0.56999999999999995</v>
      </c>
      <c r="N827">
        <v>5.24</v>
      </c>
    </row>
    <row r="828" spans="1:14">
      <c r="A828" s="28">
        <v>481</v>
      </c>
      <c r="B828" t="s">
        <v>692</v>
      </c>
      <c r="C828" t="s">
        <v>347</v>
      </c>
      <c r="D828">
        <v>49.96</v>
      </c>
      <c r="E828">
        <v>573.64</v>
      </c>
      <c r="F828">
        <v>26.41</v>
      </c>
      <c r="G828">
        <v>52.86</v>
      </c>
      <c r="H828">
        <v>8.99</v>
      </c>
      <c r="I828">
        <v>14.13</v>
      </c>
      <c r="J828">
        <v>890.22</v>
      </c>
      <c r="K828">
        <v>6736.4</v>
      </c>
      <c r="L828">
        <v>9.82</v>
      </c>
      <c r="M828">
        <v>1.3</v>
      </c>
      <c r="N828">
        <v>5.8</v>
      </c>
    </row>
    <row r="829" spans="1:14">
      <c r="A829" s="28">
        <v>679</v>
      </c>
      <c r="B829" t="s">
        <v>755</v>
      </c>
      <c r="C829" t="s">
        <v>348</v>
      </c>
      <c r="D829">
        <v>49.98</v>
      </c>
      <c r="E829">
        <v>271.29000000000002</v>
      </c>
      <c r="F829">
        <v>17.5</v>
      </c>
      <c r="G829">
        <v>1.27</v>
      </c>
      <c r="H829">
        <v>3.93</v>
      </c>
      <c r="I829">
        <v>5.93</v>
      </c>
      <c r="J829">
        <v>112.87</v>
      </c>
      <c r="K829">
        <v>1961.33</v>
      </c>
      <c r="L829">
        <v>18.690000000000001</v>
      </c>
      <c r="M829">
        <v>1.08</v>
      </c>
      <c r="N829">
        <v>11.09</v>
      </c>
    </row>
    <row r="830" spans="1:14">
      <c r="A830" s="28">
        <v>109</v>
      </c>
      <c r="B830" t="s">
        <v>2713</v>
      </c>
      <c r="C830" t="s">
        <v>348</v>
      </c>
      <c r="D830">
        <v>496.63</v>
      </c>
      <c r="E830">
        <v>268.08999999999997</v>
      </c>
      <c r="F830">
        <v>103.25</v>
      </c>
      <c r="G830" t="s">
        <v>2788</v>
      </c>
      <c r="H830">
        <v>-7.03</v>
      </c>
      <c r="I830">
        <v>-36.11</v>
      </c>
      <c r="J830">
        <v>-762.84</v>
      </c>
      <c r="K830">
        <v>1844.08</v>
      </c>
      <c r="M830">
        <v>2.17</v>
      </c>
      <c r="N830">
        <v>1019.25</v>
      </c>
    </row>
    <row r="831" spans="1:14">
      <c r="A831" s="28">
        <v>322</v>
      </c>
      <c r="B831" t="s">
        <v>1324</v>
      </c>
      <c r="C831" t="s">
        <v>348</v>
      </c>
      <c r="D831">
        <v>5</v>
      </c>
      <c r="E831">
        <v>2249.48</v>
      </c>
      <c r="F831">
        <v>38.39</v>
      </c>
      <c r="G831" t="s">
        <v>350</v>
      </c>
      <c r="H831">
        <v>0.63</v>
      </c>
      <c r="I831">
        <v>0.66</v>
      </c>
      <c r="J831">
        <v>76.25</v>
      </c>
      <c r="K831">
        <v>11747.38</v>
      </c>
      <c r="L831">
        <v>231.07</v>
      </c>
      <c r="M831">
        <v>1.5</v>
      </c>
    </row>
    <row r="832" spans="1:14">
      <c r="A832" s="28">
        <v>809</v>
      </c>
      <c r="B832" t="s">
        <v>1298</v>
      </c>
      <c r="C832" t="s">
        <v>347</v>
      </c>
      <c r="D832">
        <v>5.3</v>
      </c>
      <c r="E832">
        <v>1843.5</v>
      </c>
      <c r="F832">
        <v>13.9</v>
      </c>
      <c r="G832">
        <v>38.020000000000003</v>
      </c>
      <c r="H832">
        <v>15.16</v>
      </c>
      <c r="I832">
        <v>15.94</v>
      </c>
      <c r="J832">
        <v>1279.7</v>
      </c>
      <c r="K832">
        <v>9717.49</v>
      </c>
      <c r="L832">
        <v>16.14</v>
      </c>
      <c r="M832">
        <v>2.13</v>
      </c>
      <c r="N832">
        <v>17.71</v>
      </c>
    </row>
    <row r="833" spans="1:14">
      <c r="A833" s="28">
        <v>360</v>
      </c>
      <c r="B833" t="s">
        <v>1055</v>
      </c>
      <c r="C833" t="s">
        <v>348</v>
      </c>
      <c r="D833">
        <v>5.51</v>
      </c>
      <c r="E833">
        <v>951.87</v>
      </c>
      <c r="F833">
        <v>34.65</v>
      </c>
      <c r="G833">
        <v>49.17</v>
      </c>
      <c r="H833">
        <v>1.42</v>
      </c>
      <c r="I833">
        <v>1.47</v>
      </c>
      <c r="J833">
        <v>77.209999999999994</v>
      </c>
      <c r="K833">
        <v>5259.36</v>
      </c>
      <c r="L833">
        <v>55.24</v>
      </c>
      <c r="M833">
        <v>0.81</v>
      </c>
      <c r="N833">
        <v>40.58</v>
      </c>
    </row>
    <row r="834" spans="1:14">
      <c r="A834" s="28">
        <v>47</v>
      </c>
      <c r="B834" t="s">
        <v>1769</v>
      </c>
      <c r="C834" t="s">
        <v>348</v>
      </c>
      <c r="D834">
        <v>5.61</v>
      </c>
      <c r="E834">
        <v>980.45</v>
      </c>
      <c r="F834">
        <v>199.35</v>
      </c>
      <c r="G834" t="s">
        <v>2788</v>
      </c>
      <c r="H834">
        <v>-5.97</v>
      </c>
      <c r="I834">
        <v>-7.56</v>
      </c>
      <c r="J834">
        <v>-365.32</v>
      </c>
      <c r="K834">
        <v>5402.25</v>
      </c>
      <c r="M834">
        <v>3.81</v>
      </c>
    </row>
    <row r="835" spans="1:14">
      <c r="A835" s="28">
        <v>238</v>
      </c>
      <c r="B835" t="s">
        <v>1908</v>
      </c>
      <c r="C835" t="s">
        <v>348</v>
      </c>
      <c r="D835">
        <v>5.74</v>
      </c>
      <c r="E835">
        <v>143.43</v>
      </c>
      <c r="F835">
        <v>48.34</v>
      </c>
      <c r="G835" t="s">
        <v>350</v>
      </c>
      <c r="H835">
        <v>3.24</v>
      </c>
      <c r="I835">
        <v>3.75</v>
      </c>
      <c r="J835">
        <v>26.22</v>
      </c>
      <c r="K835">
        <v>1217.17</v>
      </c>
      <c r="L835">
        <v>47.28</v>
      </c>
      <c r="M835">
        <v>1.02</v>
      </c>
      <c r="N835">
        <v>54.16</v>
      </c>
    </row>
    <row r="836" spans="1:14">
      <c r="A836" s="28">
        <v>102</v>
      </c>
      <c r="B836" t="s">
        <v>183</v>
      </c>
      <c r="C836" t="s">
        <v>347</v>
      </c>
      <c r="D836">
        <v>5.76</v>
      </c>
      <c r="E836">
        <v>8699.1299999999992</v>
      </c>
      <c r="F836">
        <v>110.95</v>
      </c>
      <c r="G836">
        <v>127.06</v>
      </c>
      <c r="H836">
        <v>8.92</v>
      </c>
      <c r="I836">
        <v>9.42</v>
      </c>
      <c r="J836">
        <v>3929.13</v>
      </c>
      <c r="K836">
        <v>43995.64</v>
      </c>
      <c r="L836">
        <v>15.63</v>
      </c>
      <c r="M836">
        <v>1.4</v>
      </c>
      <c r="N836">
        <v>15</v>
      </c>
    </row>
    <row r="837" spans="1:14">
      <c r="A837" s="28">
        <v>385</v>
      </c>
      <c r="B837" t="s">
        <v>1937</v>
      </c>
      <c r="C837" t="s">
        <v>348</v>
      </c>
      <c r="D837">
        <v>5.77</v>
      </c>
      <c r="E837">
        <v>1440.16</v>
      </c>
      <c r="F837">
        <v>32.28</v>
      </c>
      <c r="G837" t="s">
        <v>350</v>
      </c>
      <c r="H837">
        <v>4.33</v>
      </c>
      <c r="I837">
        <v>4.59</v>
      </c>
      <c r="J837">
        <v>68.2</v>
      </c>
      <c r="K837">
        <v>1540.16</v>
      </c>
      <c r="L837">
        <v>68.84</v>
      </c>
      <c r="M837">
        <v>3.05</v>
      </c>
      <c r="N837">
        <v>139.26</v>
      </c>
    </row>
    <row r="838" spans="1:14">
      <c r="A838" s="28">
        <v>542</v>
      </c>
      <c r="B838" t="s">
        <v>1767</v>
      </c>
      <c r="C838" t="s">
        <v>348</v>
      </c>
      <c r="D838">
        <v>5.92</v>
      </c>
      <c r="E838">
        <v>165.4</v>
      </c>
      <c r="F838">
        <v>23.96</v>
      </c>
      <c r="G838" t="s">
        <v>2788</v>
      </c>
      <c r="H838">
        <v>-18.07</v>
      </c>
      <c r="I838">
        <v>-19.72</v>
      </c>
      <c r="J838">
        <v>-287.81</v>
      </c>
      <c r="K838">
        <v>1326.98</v>
      </c>
      <c r="M838">
        <v>1.62</v>
      </c>
    </row>
    <row r="839" spans="1:14">
      <c r="A839" s="28">
        <v>396</v>
      </c>
      <c r="B839" t="s">
        <v>2372</v>
      </c>
      <c r="C839" t="s">
        <v>348</v>
      </c>
      <c r="D839">
        <v>5.92</v>
      </c>
      <c r="E839">
        <v>355.6</v>
      </c>
      <c r="F839">
        <v>31.81</v>
      </c>
      <c r="G839" t="s">
        <v>2788</v>
      </c>
      <c r="H839">
        <v>-3.88</v>
      </c>
      <c r="I839">
        <v>-4.4400000000000004</v>
      </c>
      <c r="J839">
        <v>-103.19</v>
      </c>
      <c r="K839">
        <v>2275.6</v>
      </c>
      <c r="M839">
        <v>0.8</v>
      </c>
    </row>
    <row r="840" spans="1:14">
      <c r="A840" s="28">
        <v>612</v>
      </c>
      <c r="B840" t="s">
        <v>913</v>
      </c>
      <c r="C840" t="s">
        <v>347</v>
      </c>
      <c r="D840">
        <v>5.94</v>
      </c>
      <c r="E840">
        <v>738.22</v>
      </c>
      <c r="F840">
        <v>20.100000000000001</v>
      </c>
      <c r="G840">
        <v>-40.61</v>
      </c>
      <c r="H840">
        <v>3.9</v>
      </c>
      <c r="I840">
        <v>4.1399999999999997</v>
      </c>
      <c r="J840">
        <v>1570.68</v>
      </c>
      <c r="K840">
        <v>41910.949999999997</v>
      </c>
      <c r="L840">
        <v>13.56</v>
      </c>
      <c r="M840">
        <v>0.51</v>
      </c>
      <c r="N840">
        <v>74.540000000000006</v>
      </c>
    </row>
    <row r="841" spans="1:14">
      <c r="A841" s="28">
        <v>34</v>
      </c>
      <c r="B841" t="s">
        <v>521</v>
      </c>
      <c r="C841" t="s">
        <v>348</v>
      </c>
      <c r="D841">
        <v>50.07</v>
      </c>
      <c r="E841">
        <v>1664.32</v>
      </c>
      <c r="F841">
        <v>299.62</v>
      </c>
      <c r="G841">
        <v>380.36</v>
      </c>
      <c r="H841">
        <v>23.23</v>
      </c>
      <c r="I841">
        <v>35.159999999999997</v>
      </c>
      <c r="J841">
        <v>647.12</v>
      </c>
      <c r="K841">
        <v>2205.4</v>
      </c>
      <c r="L841">
        <v>4.7</v>
      </c>
      <c r="M841">
        <v>1.38</v>
      </c>
      <c r="N841">
        <v>7.23</v>
      </c>
    </row>
    <row r="842" spans="1:14">
      <c r="A842" s="28">
        <v>315</v>
      </c>
      <c r="B842" t="s">
        <v>1057</v>
      </c>
      <c r="C842" t="s">
        <v>348</v>
      </c>
      <c r="D842">
        <v>50.11</v>
      </c>
      <c r="E842">
        <v>588.57000000000005</v>
      </c>
      <c r="F842">
        <v>39.17</v>
      </c>
      <c r="G842" t="s">
        <v>350</v>
      </c>
      <c r="H842">
        <v>1.25</v>
      </c>
      <c r="I842">
        <v>2.09</v>
      </c>
      <c r="J842">
        <v>70.53</v>
      </c>
      <c r="K842">
        <v>3442.85</v>
      </c>
      <c r="L842">
        <v>27.39</v>
      </c>
      <c r="M842">
        <v>0.56000000000000005</v>
      </c>
      <c r="N842">
        <v>2.79</v>
      </c>
    </row>
    <row r="843" spans="1:14">
      <c r="A843" s="28">
        <v>294</v>
      </c>
      <c r="B843" t="s">
        <v>505</v>
      </c>
      <c r="C843" t="s">
        <v>347</v>
      </c>
      <c r="D843">
        <v>50.39</v>
      </c>
      <c r="E843">
        <v>775.76</v>
      </c>
      <c r="F843">
        <v>41.6</v>
      </c>
      <c r="G843">
        <v>47.96</v>
      </c>
      <c r="H843">
        <v>17.36</v>
      </c>
      <c r="I843">
        <v>26.75</v>
      </c>
      <c r="J843">
        <v>2213.85</v>
      </c>
      <c r="K843">
        <v>8809.91</v>
      </c>
      <c r="L843">
        <v>15.02</v>
      </c>
      <c r="M843">
        <v>3.77</v>
      </c>
      <c r="N843">
        <v>15.86</v>
      </c>
    </row>
    <row r="844" spans="1:14">
      <c r="A844" s="28">
        <v>958</v>
      </c>
      <c r="B844" t="s">
        <v>1681</v>
      </c>
      <c r="C844" t="s">
        <v>348</v>
      </c>
      <c r="D844">
        <v>50.51</v>
      </c>
      <c r="E844">
        <v>1063.8499999999999</v>
      </c>
      <c r="F844">
        <v>9.92</v>
      </c>
      <c r="G844">
        <v>-43.52</v>
      </c>
      <c r="H844">
        <v>2.09</v>
      </c>
      <c r="I844">
        <v>3.32</v>
      </c>
      <c r="J844">
        <v>190.19</v>
      </c>
      <c r="K844">
        <v>5819.25</v>
      </c>
      <c r="L844">
        <v>19.22</v>
      </c>
      <c r="M844">
        <v>0.63</v>
      </c>
    </row>
    <row r="845" spans="1:14">
      <c r="A845" s="28">
        <v>755</v>
      </c>
      <c r="B845" t="s">
        <v>1581</v>
      </c>
      <c r="C845" t="s">
        <v>348</v>
      </c>
      <c r="D845">
        <v>50.57</v>
      </c>
      <c r="E845">
        <v>2027.67</v>
      </c>
      <c r="F845">
        <v>15.32</v>
      </c>
      <c r="G845">
        <v>90.97</v>
      </c>
      <c r="H845">
        <v>11.77</v>
      </c>
      <c r="I845">
        <v>16.71</v>
      </c>
      <c r="J845">
        <v>315.83</v>
      </c>
      <c r="K845">
        <v>2127.67</v>
      </c>
      <c r="L845">
        <v>5.24</v>
      </c>
      <c r="M845">
        <v>0.78</v>
      </c>
      <c r="N845">
        <v>3.9</v>
      </c>
    </row>
    <row r="846" spans="1:14">
      <c r="A846" s="28">
        <v>234</v>
      </c>
      <c r="B846" t="s">
        <v>1749</v>
      </c>
      <c r="C846" t="s">
        <v>348</v>
      </c>
      <c r="D846">
        <v>50.62</v>
      </c>
      <c r="E846">
        <v>131.25</v>
      </c>
      <c r="F846">
        <v>49.05</v>
      </c>
      <c r="G846" t="s">
        <v>350</v>
      </c>
      <c r="H846">
        <v>3.99</v>
      </c>
      <c r="I846">
        <v>8.41</v>
      </c>
      <c r="J846">
        <v>71.53</v>
      </c>
      <c r="K846">
        <v>1156.24</v>
      </c>
      <c r="N846">
        <v>0</v>
      </c>
    </row>
    <row r="847" spans="1:14">
      <c r="A847" s="28">
        <v>1079</v>
      </c>
      <c r="B847" t="s">
        <v>816</v>
      </c>
      <c r="C847" t="s">
        <v>348</v>
      </c>
      <c r="D847">
        <v>50.67</v>
      </c>
      <c r="E847">
        <v>1452.16</v>
      </c>
      <c r="F847">
        <v>7.54</v>
      </c>
      <c r="G847">
        <v>-32.299999999999997</v>
      </c>
      <c r="H847">
        <v>1.71</v>
      </c>
      <c r="I847">
        <v>2.56</v>
      </c>
      <c r="J847">
        <v>189.84</v>
      </c>
      <c r="K847">
        <v>7760.82</v>
      </c>
      <c r="L847">
        <v>25.97</v>
      </c>
      <c r="M847">
        <v>0.64</v>
      </c>
      <c r="N847">
        <v>12.87</v>
      </c>
    </row>
    <row r="848" spans="1:14">
      <c r="A848" s="28">
        <v>480</v>
      </c>
      <c r="B848" t="s">
        <v>979</v>
      </c>
      <c r="C848" t="s">
        <v>347</v>
      </c>
      <c r="D848">
        <v>50.71</v>
      </c>
      <c r="E848">
        <v>2219.16</v>
      </c>
      <c r="F848">
        <v>26.42</v>
      </c>
      <c r="G848">
        <v>114.71</v>
      </c>
      <c r="H848">
        <v>7.43</v>
      </c>
      <c r="I848">
        <v>10.94</v>
      </c>
      <c r="J848">
        <v>1202.1400000000001</v>
      </c>
      <c r="K848">
        <v>11595.82</v>
      </c>
      <c r="L848">
        <v>4.5999999999999996</v>
      </c>
      <c r="M848">
        <v>0.48</v>
      </c>
      <c r="N848">
        <v>3.6</v>
      </c>
    </row>
    <row r="849" spans="1:14">
      <c r="A849" s="28">
        <v>1061</v>
      </c>
      <c r="B849" t="s">
        <v>2261</v>
      </c>
      <c r="C849" t="s">
        <v>348</v>
      </c>
      <c r="D849">
        <v>50.72</v>
      </c>
      <c r="E849">
        <v>1519.64</v>
      </c>
      <c r="F849">
        <v>7.89</v>
      </c>
      <c r="G849" t="s">
        <v>2788</v>
      </c>
      <c r="H849">
        <v>-2.65</v>
      </c>
      <c r="I849">
        <v>-4.0599999999999996</v>
      </c>
      <c r="J849">
        <v>-65.69</v>
      </c>
      <c r="K849">
        <v>1619.64</v>
      </c>
      <c r="M849">
        <v>0.74</v>
      </c>
      <c r="N849">
        <v>104.81</v>
      </c>
    </row>
    <row r="850" spans="1:14">
      <c r="A850" s="28">
        <v>915</v>
      </c>
      <c r="B850" t="s">
        <v>2484</v>
      </c>
      <c r="C850" t="s">
        <v>348</v>
      </c>
      <c r="D850">
        <v>50.92</v>
      </c>
      <c r="E850">
        <v>524.65</v>
      </c>
      <c r="F850">
        <v>10.99</v>
      </c>
      <c r="G850">
        <v>33.119999999999997</v>
      </c>
      <c r="H850">
        <v>5.2</v>
      </c>
      <c r="I850">
        <v>7.86</v>
      </c>
      <c r="J850">
        <v>206.19</v>
      </c>
      <c r="K850">
        <v>3123.26</v>
      </c>
      <c r="L850">
        <v>16.2</v>
      </c>
      <c r="M850">
        <v>1.07</v>
      </c>
      <c r="N850">
        <v>19.399999999999999</v>
      </c>
    </row>
    <row r="851" spans="1:14">
      <c r="A851" s="28">
        <v>1026</v>
      </c>
      <c r="B851" t="s">
        <v>1824</v>
      </c>
      <c r="C851" t="s">
        <v>348</v>
      </c>
      <c r="D851">
        <v>51.01</v>
      </c>
      <c r="E851">
        <v>1985.76</v>
      </c>
      <c r="F851">
        <v>8.57</v>
      </c>
      <c r="G851">
        <v>-21.55</v>
      </c>
      <c r="H851">
        <v>21.33</v>
      </c>
      <c r="I851">
        <v>34.07</v>
      </c>
      <c r="J851">
        <v>3028</v>
      </c>
      <c r="K851">
        <v>10428.799999999999</v>
      </c>
      <c r="L851">
        <v>0.93</v>
      </c>
      <c r="M851">
        <v>0.27</v>
      </c>
      <c r="N851">
        <v>66.41</v>
      </c>
    </row>
    <row r="852" spans="1:14">
      <c r="A852" s="28">
        <v>576</v>
      </c>
      <c r="B852" t="s">
        <v>1099</v>
      </c>
      <c r="C852" t="s">
        <v>348</v>
      </c>
      <c r="D852">
        <v>51.02</v>
      </c>
      <c r="E852">
        <v>4721.87</v>
      </c>
      <c r="F852">
        <v>21.82</v>
      </c>
      <c r="G852">
        <v>89.19</v>
      </c>
      <c r="H852">
        <v>10.01</v>
      </c>
      <c r="I852">
        <v>15.91</v>
      </c>
      <c r="J852">
        <v>680.46</v>
      </c>
      <c r="K852">
        <v>4821.87</v>
      </c>
      <c r="L852">
        <v>5.2</v>
      </c>
      <c r="M852">
        <v>0.73</v>
      </c>
      <c r="N852">
        <v>8.02</v>
      </c>
    </row>
    <row r="853" spans="1:14">
      <c r="A853" s="28">
        <v>416</v>
      </c>
      <c r="B853" t="s">
        <v>2675</v>
      </c>
      <c r="C853" t="s">
        <v>348</v>
      </c>
      <c r="D853">
        <v>51.11</v>
      </c>
      <c r="E853">
        <v>12.15</v>
      </c>
      <c r="F853">
        <v>30.48</v>
      </c>
      <c r="G853" t="s">
        <v>2788</v>
      </c>
      <c r="H853">
        <v>-25.38</v>
      </c>
      <c r="I853">
        <v>-34.590000000000003</v>
      </c>
      <c r="J853">
        <v>-220.01</v>
      </c>
      <c r="K853">
        <v>560.74</v>
      </c>
      <c r="M853">
        <v>7.03</v>
      </c>
    </row>
    <row r="854" spans="1:14">
      <c r="A854" s="28">
        <v>632</v>
      </c>
      <c r="B854" t="s">
        <v>2133</v>
      </c>
      <c r="C854" t="s">
        <v>348</v>
      </c>
      <c r="D854">
        <v>51.14</v>
      </c>
      <c r="E854">
        <v>543.6</v>
      </c>
      <c r="F854">
        <v>19.5</v>
      </c>
      <c r="G854" t="s">
        <v>350</v>
      </c>
      <c r="H854">
        <v>5.46</v>
      </c>
      <c r="I854">
        <v>8.43</v>
      </c>
      <c r="J854">
        <v>259.62</v>
      </c>
      <c r="K854">
        <v>3218.01</v>
      </c>
      <c r="L854">
        <v>6.14</v>
      </c>
      <c r="M854">
        <v>0.5</v>
      </c>
      <c r="N854">
        <v>22.63</v>
      </c>
    </row>
    <row r="855" spans="1:14">
      <c r="A855" s="28">
        <v>1105</v>
      </c>
      <c r="B855" t="s">
        <v>1410</v>
      </c>
      <c r="C855" t="s">
        <v>348</v>
      </c>
      <c r="D855">
        <v>51.27</v>
      </c>
      <c r="E855">
        <v>1509.89</v>
      </c>
      <c r="F855">
        <v>6.86</v>
      </c>
      <c r="G855">
        <v>-12.94</v>
      </c>
      <c r="H855">
        <v>4.1100000000000003</v>
      </c>
      <c r="I855">
        <v>6.32</v>
      </c>
      <c r="J855">
        <v>471.84</v>
      </c>
      <c r="K855">
        <v>8049.45</v>
      </c>
      <c r="L855">
        <v>87.21</v>
      </c>
      <c r="M855">
        <v>5.1100000000000003</v>
      </c>
      <c r="N855">
        <v>203.44</v>
      </c>
    </row>
    <row r="856" spans="1:14">
      <c r="A856" s="28">
        <v>931</v>
      </c>
      <c r="B856" t="s">
        <v>1093</v>
      </c>
      <c r="C856" t="s">
        <v>348</v>
      </c>
      <c r="D856">
        <v>51.42</v>
      </c>
      <c r="E856">
        <v>1407.03</v>
      </c>
      <c r="F856">
        <v>10.51</v>
      </c>
      <c r="G856">
        <v>-58.98</v>
      </c>
      <c r="H856">
        <v>6.28</v>
      </c>
      <c r="I856">
        <v>9.32</v>
      </c>
      <c r="J856">
        <v>658.93</v>
      </c>
      <c r="K856">
        <v>7672.55</v>
      </c>
      <c r="L856">
        <v>6.46</v>
      </c>
      <c r="M856">
        <v>0.55000000000000004</v>
      </c>
      <c r="N856">
        <v>5.49</v>
      </c>
    </row>
    <row r="857" spans="1:14">
      <c r="A857" s="28">
        <v>1041</v>
      </c>
      <c r="B857" t="s">
        <v>2505</v>
      </c>
      <c r="C857" t="s">
        <v>348</v>
      </c>
      <c r="D857">
        <v>51.44</v>
      </c>
      <c r="E857">
        <v>399.3</v>
      </c>
      <c r="F857">
        <v>8.2100000000000009</v>
      </c>
      <c r="G857">
        <v>-11.21</v>
      </c>
      <c r="H857">
        <v>10.89</v>
      </c>
      <c r="I857">
        <v>17.28</v>
      </c>
      <c r="J857">
        <v>368.86</v>
      </c>
      <c r="K857">
        <v>2334.1</v>
      </c>
      <c r="L857">
        <v>12.44</v>
      </c>
      <c r="M857">
        <v>1.97</v>
      </c>
      <c r="N857">
        <v>14.44</v>
      </c>
    </row>
    <row r="858" spans="1:14">
      <c r="A858" s="28">
        <v>505</v>
      </c>
      <c r="B858" t="s">
        <v>329</v>
      </c>
      <c r="C858" t="s">
        <v>348</v>
      </c>
      <c r="D858">
        <v>51.63</v>
      </c>
      <c r="E858">
        <v>717.63</v>
      </c>
      <c r="F858">
        <v>25.45</v>
      </c>
      <c r="G858">
        <v>-11.55</v>
      </c>
      <c r="H858">
        <v>5.83</v>
      </c>
      <c r="I858">
        <v>8.6</v>
      </c>
      <c r="J858">
        <v>377.57</v>
      </c>
      <c r="K858">
        <v>4538.0600000000004</v>
      </c>
      <c r="L858">
        <v>10.25</v>
      </c>
      <c r="M858">
        <v>0.85</v>
      </c>
      <c r="N858">
        <v>9.09</v>
      </c>
    </row>
    <row r="859" spans="1:14">
      <c r="A859" s="28">
        <v>17</v>
      </c>
      <c r="B859" t="s">
        <v>2842</v>
      </c>
      <c r="C859" t="s">
        <v>348</v>
      </c>
      <c r="D859">
        <v>51.86</v>
      </c>
      <c r="E859">
        <v>68.569999999999993</v>
      </c>
      <c r="F859">
        <v>600.19000000000005</v>
      </c>
      <c r="G859" t="s">
        <v>2788</v>
      </c>
      <c r="H859">
        <v>-22.46</v>
      </c>
      <c r="I859">
        <v>-45.57</v>
      </c>
      <c r="J859">
        <v>-263.66000000000003</v>
      </c>
      <c r="K859">
        <v>842.85</v>
      </c>
      <c r="M859">
        <v>3.28</v>
      </c>
    </row>
    <row r="860" spans="1:14">
      <c r="A860" s="28">
        <v>115</v>
      </c>
      <c r="B860" t="s">
        <v>2497</v>
      </c>
      <c r="C860" t="s">
        <v>348</v>
      </c>
      <c r="D860">
        <v>51.88</v>
      </c>
      <c r="E860">
        <v>1510</v>
      </c>
      <c r="F860">
        <v>93.06</v>
      </c>
      <c r="G860" t="s">
        <v>2788</v>
      </c>
      <c r="H860">
        <v>-56.74</v>
      </c>
      <c r="I860">
        <v>-88.2</v>
      </c>
      <c r="J860">
        <v>-1343.7</v>
      </c>
      <c r="K860">
        <v>1610</v>
      </c>
      <c r="M860">
        <v>4.5999999999999996</v>
      </c>
    </row>
    <row r="861" spans="1:14">
      <c r="A861" s="28">
        <v>98</v>
      </c>
      <c r="B861" t="s">
        <v>1864</v>
      </c>
      <c r="C861" t="s">
        <v>347</v>
      </c>
      <c r="D861">
        <v>51.94</v>
      </c>
      <c r="E861">
        <v>471.31</v>
      </c>
      <c r="F861">
        <v>113.63</v>
      </c>
      <c r="G861" t="s">
        <v>350</v>
      </c>
      <c r="H861">
        <v>23.82</v>
      </c>
      <c r="I861">
        <v>37.700000000000003</v>
      </c>
      <c r="J861">
        <v>8619.51</v>
      </c>
      <c r="K861">
        <v>28565.57</v>
      </c>
      <c r="L861">
        <v>3.31</v>
      </c>
      <c r="M861">
        <v>1</v>
      </c>
      <c r="N861">
        <v>8451.76</v>
      </c>
    </row>
    <row r="862" spans="1:14">
      <c r="A862" s="28">
        <v>617</v>
      </c>
      <c r="B862" t="s">
        <v>2045</v>
      </c>
      <c r="C862" t="s">
        <v>348</v>
      </c>
      <c r="D862">
        <v>51.96</v>
      </c>
      <c r="E862">
        <v>173.82</v>
      </c>
      <c r="F862">
        <v>19.989999999999998</v>
      </c>
      <c r="G862" t="s">
        <v>2788</v>
      </c>
      <c r="H862">
        <v>-34.5</v>
      </c>
      <c r="I862">
        <v>-48.68</v>
      </c>
      <c r="J862">
        <v>-883.25</v>
      </c>
      <c r="K862">
        <v>1369.09</v>
      </c>
      <c r="M862">
        <v>2.61</v>
      </c>
    </row>
    <row r="863" spans="1:14">
      <c r="A863" s="28">
        <v>246</v>
      </c>
      <c r="B863" t="s">
        <v>2137</v>
      </c>
      <c r="C863" t="s">
        <v>348</v>
      </c>
      <c r="D863">
        <v>52.14</v>
      </c>
      <c r="E863">
        <v>984.39</v>
      </c>
      <c r="F863">
        <v>46.81</v>
      </c>
      <c r="G863">
        <v>36.43</v>
      </c>
      <c r="H863">
        <v>7.79</v>
      </c>
      <c r="I863">
        <v>11.21</v>
      </c>
      <c r="J863">
        <v>569.48</v>
      </c>
      <c r="K863">
        <v>5421.96</v>
      </c>
      <c r="L863">
        <v>100.44</v>
      </c>
      <c r="M863">
        <v>10.55</v>
      </c>
      <c r="N863">
        <v>75.349999999999994</v>
      </c>
    </row>
    <row r="864" spans="1:14">
      <c r="A864" s="28">
        <v>482</v>
      </c>
      <c r="B864" t="s">
        <v>1021</v>
      </c>
      <c r="C864" t="s">
        <v>348</v>
      </c>
      <c r="D864">
        <v>52.36</v>
      </c>
      <c r="E864">
        <v>787.41</v>
      </c>
      <c r="F864">
        <v>26.39</v>
      </c>
      <c r="G864" t="s">
        <v>2788</v>
      </c>
      <c r="H864">
        <v>-11.39</v>
      </c>
      <c r="I864">
        <v>-16.73</v>
      </c>
      <c r="J864">
        <v>-879.32</v>
      </c>
      <c r="K864">
        <v>5128.68</v>
      </c>
      <c r="M864">
        <v>0.71</v>
      </c>
    </row>
    <row r="865" spans="1:14">
      <c r="A865" s="28">
        <v>14</v>
      </c>
      <c r="B865" t="s">
        <v>1415</v>
      </c>
      <c r="C865" t="s">
        <v>348</v>
      </c>
      <c r="D865">
        <v>52.56</v>
      </c>
      <c r="E865">
        <v>4386.6000000000004</v>
      </c>
      <c r="F865">
        <v>683.74</v>
      </c>
      <c r="G865" t="s">
        <v>349</v>
      </c>
      <c r="H865">
        <v>-10.43</v>
      </c>
      <c r="I865">
        <v>-15.34</v>
      </c>
      <c r="J865">
        <v>-3312.93</v>
      </c>
      <c r="K865">
        <v>21785.65</v>
      </c>
      <c r="M865">
        <v>4.7300000000000004</v>
      </c>
      <c r="N865">
        <v>24.3</v>
      </c>
    </row>
    <row r="866" spans="1:14">
      <c r="A866" s="28">
        <v>515</v>
      </c>
      <c r="B866" t="s">
        <v>413</v>
      </c>
      <c r="C866" t="s">
        <v>347</v>
      </c>
      <c r="D866">
        <v>52.57</v>
      </c>
      <c r="E866">
        <v>1513.65</v>
      </c>
      <c r="F866">
        <v>24.96</v>
      </c>
      <c r="G866">
        <v>-8</v>
      </c>
      <c r="H866">
        <v>15.81</v>
      </c>
      <c r="I866">
        <v>24.02</v>
      </c>
      <c r="J866">
        <v>20554.87</v>
      </c>
      <c r="K866">
        <v>86889.04</v>
      </c>
      <c r="L866">
        <v>11.36</v>
      </c>
      <c r="M866">
        <v>2.69</v>
      </c>
      <c r="N866">
        <v>7.95</v>
      </c>
    </row>
    <row r="867" spans="1:14">
      <c r="A867" s="28">
        <v>763</v>
      </c>
      <c r="B867" t="s">
        <v>2593</v>
      </c>
      <c r="C867" t="s">
        <v>348</v>
      </c>
      <c r="D867">
        <v>52.75</v>
      </c>
      <c r="E867">
        <v>4570.6499999999996</v>
      </c>
      <c r="F867">
        <v>15.12</v>
      </c>
      <c r="G867">
        <v>12.26</v>
      </c>
      <c r="H867">
        <v>4.51</v>
      </c>
      <c r="I867">
        <v>7.18</v>
      </c>
      <c r="J867">
        <v>1597.76</v>
      </c>
      <c r="K867">
        <v>23353.24</v>
      </c>
      <c r="L867">
        <v>32.229999999999997</v>
      </c>
      <c r="M867">
        <v>2.21</v>
      </c>
      <c r="N867">
        <v>6.58</v>
      </c>
    </row>
    <row r="868" spans="1:14">
      <c r="A868" s="28">
        <v>634</v>
      </c>
      <c r="B868" t="s">
        <v>2839</v>
      </c>
      <c r="C868" t="s">
        <v>348</v>
      </c>
      <c r="D868">
        <v>523.95000000000005</v>
      </c>
      <c r="E868">
        <v>43.57</v>
      </c>
      <c r="F868">
        <v>19.309999999999999</v>
      </c>
      <c r="G868" t="s">
        <v>350</v>
      </c>
      <c r="H868">
        <v>0.45</v>
      </c>
      <c r="I868">
        <v>2.77</v>
      </c>
      <c r="J868">
        <v>19.62</v>
      </c>
      <c r="K868">
        <v>717.83</v>
      </c>
      <c r="L868">
        <v>140.69999999999999</v>
      </c>
      <c r="M868">
        <v>3.84</v>
      </c>
      <c r="N868">
        <v>17.649999999999999</v>
      </c>
    </row>
    <row r="869" spans="1:14">
      <c r="A869" s="28">
        <v>386</v>
      </c>
      <c r="B869" t="s">
        <v>2840</v>
      </c>
      <c r="C869" t="s">
        <v>348</v>
      </c>
      <c r="D869">
        <v>525.16999999999996</v>
      </c>
      <c r="E869">
        <v>21.01</v>
      </c>
      <c r="F869">
        <v>32.25</v>
      </c>
      <c r="G869" t="s">
        <v>349</v>
      </c>
      <c r="H869">
        <v>-15.13</v>
      </c>
      <c r="I869">
        <v>-71.069999999999993</v>
      </c>
      <c r="J869">
        <v>-535.96</v>
      </c>
      <c r="K869">
        <v>605.07000000000005</v>
      </c>
      <c r="M869">
        <v>14.2</v>
      </c>
    </row>
    <row r="870" spans="1:14">
      <c r="A870" s="28">
        <v>1095</v>
      </c>
      <c r="B870" t="s">
        <v>997</v>
      </c>
      <c r="C870" t="s">
        <v>348</v>
      </c>
      <c r="D870">
        <v>53.32</v>
      </c>
      <c r="E870">
        <v>2889.5</v>
      </c>
      <c r="F870">
        <v>7.19</v>
      </c>
      <c r="G870" t="s">
        <v>349</v>
      </c>
      <c r="H870">
        <v>-6.82</v>
      </c>
      <c r="I870">
        <v>-10.25</v>
      </c>
      <c r="J870">
        <v>-1374.57</v>
      </c>
      <c r="K870">
        <v>14947.52</v>
      </c>
      <c r="M870">
        <v>1.28</v>
      </c>
      <c r="N870">
        <v>17.309999999999999</v>
      </c>
    </row>
    <row r="871" spans="1:14">
      <c r="A871" s="28">
        <v>697</v>
      </c>
      <c r="B871" t="s">
        <v>2068</v>
      </c>
      <c r="C871" t="s">
        <v>348</v>
      </c>
      <c r="D871">
        <v>53.54</v>
      </c>
      <c r="E871">
        <v>1371.7</v>
      </c>
      <c r="F871">
        <v>16.8</v>
      </c>
      <c r="G871">
        <v>-72.08</v>
      </c>
      <c r="H871">
        <v>4.7300000000000004</v>
      </c>
      <c r="I871">
        <v>8.8800000000000008</v>
      </c>
      <c r="J871">
        <v>71.94</v>
      </c>
      <c r="K871">
        <v>1385.13</v>
      </c>
      <c r="N871">
        <v>0</v>
      </c>
    </row>
    <row r="872" spans="1:14">
      <c r="A872" s="28">
        <v>713</v>
      </c>
      <c r="B872" t="s">
        <v>2159</v>
      </c>
      <c r="C872" t="s">
        <v>348</v>
      </c>
      <c r="D872">
        <v>53.62</v>
      </c>
      <c r="E872">
        <v>741.64</v>
      </c>
      <c r="F872">
        <v>16.309999999999999</v>
      </c>
      <c r="G872" t="s">
        <v>349</v>
      </c>
      <c r="H872">
        <v>-3.3</v>
      </c>
      <c r="I872">
        <v>-5.23</v>
      </c>
      <c r="J872">
        <v>-42.74</v>
      </c>
      <c r="K872">
        <v>841.64</v>
      </c>
      <c r="M872">
        <v>0.93</v>
      </c>
      <c r="N872">
        <v>9.39</v>
      </c>
    </row>
    <row r="873" spans="1:14">
      <c r="A873" s="28">
        <v>1110</v>
      </c>
      <c r="B873" t="s">
        <v>2065</v>
      </c>
      <c r="C873" t="s">
        <v>348</v>
      </c>
      <c r="D873">
        <v>53.67</v>
      </c>
      <c r="E873">
        <v>188.52</v>
      </c>
      <c r="F873">
        <v>6.71</v>
      </c>
      <c r="G873">
        <v>-4.87</v>
      </c>
      <c r="H873">
        <v>2.61</v>
      </c>
      <c r="I873">
        <v>4.3899999999999997</v>
      </c>
      <c r="J873">
        <v>61.54</v>
      </c>
      <c r="K873">
        <v>1442.62</v>
      </c>
      <c r="L873">
        <v>45.17</v>
      </c>
      <c r="M873">
        <v>1.93</v>
      </c>
      <c r="N873">
        <v>86.65</v>
      </c>
    </row>
    <row r="874" spans="1:14">
      <c r="A874" s="28">
        <v>286</v>
      </c>
      <c r="B874" t="s">
        <v>2456</v>
      </c>
      <c r="C874" t="s">
        <v>348</v>
      </c>
      <c r="D874">
        <v>53.72</v>
      </c>
      <c r="E874">
        <v>1013.27</v>
      </c>
      <c r="F874">
        <v>42.42</v>
      </c>
      <c r="G874">
        <v>196.26</v>
      </c>
      <c r="H874">
        <v>35.11</v>
      </c>
      <c r="I874">
        <v>50.84</v>
      </c>
      <c r="J874">
        <v>444.39</v>
      </c>
      <c r="K874">
        <v>1113.27</v>
      </c>
      <c r="L874">
        <v>21</v>
      </c>
      <c r="M874">
        <v>8.3800000000000008</v>
      </c>
      <c r="N874">
        <v>17.260000000000002</v>
      </c>
    </row>
    <row r="875" spans="1:14">
      <c r="A875" s="28">
        <v>158</v>
      </c>
      <c r="B875" t="s">
        <v>84</v>
      </c>
      <c r="C875" t="s">
        <v>347</v>
      </c>
      <c r="D875">
        <v>53.84</v>
      </c>
      <c r="E875">
        <v>7782.94</v>
      </c>
      <c r="F875">
        <v>67.930000000000007</v>
      </c>
      <c r="G875">
        <v>252.53</v>
      </c>
      <c r="H875">
        <v>8.69</v>
      </c>
      <c r="I875">
        <v>13.47</v>
      </c>
      <c r="J875">
        <v>9786.76</v>
      </c>
      <c r="K875">
        <v>81264.36</v>
      </c>
      <c r="L875">
        <v>6.47</v>
      </c>
      <c r="M875">
        <v>0.78</v>
      </c>
      <c r="N875">
        <v>15.64</v>
      </c>
    </row>
    <row r="876" spans="1:14">
      <c r="A876" s="28">
        <v>157</v>
      </c>
      <c r="B876" t="s">
        <v>1934</v>
      </c>
      <c r="C876" t="s">
        <v>347</v>
      </c>
      <c r="D876">
        <v>535.69000000000005</v>
      </c>
      <c r="E876">
        <v>674.34</v>
      </c>
      <c r="F876">
        <v>68.069999999999993</v>
      </c>
      <c r="G876" t="s">
        <v>2788</v>
      </c>
      <c r="H876">
        <v>-12.23</v>
      </c>
      <c r="I876">
        <v>-100.69</v>
      </c>
      <c r="J876">
        <v>-2615.0100000000002</v>
      </c>
      <c r="K876">
        <v>3871.69</v>
      </c>
      <c r="M876">
        <v>3.73</v>
      </c>
    </row>
    <row r="877" spans="1:14">
      <c r="A877" s="28">
        <v>630</v>
      </c>
      <c r="B877" t="s">
        <v>2462</v>
      </c>
      <c r="C877" t="s">
        <v>347</v>
      </c>
      <c r="D877">
        <v>54.58</v>
      </c>
      <c r="E877">
        <v>569.91</v>
      </c>
      <c r="F877">
        <v>19.57</v>
      </c>
      <c r="G877">
        <v>19.899999999999999</v>
      </c>
      <c r="H877">
        <v>5.48</v>
      </c>
      <c r="I877">
        <v>8.7899999999999991</v>
      </c>
      <c r="J877">
        <v>295.69</v>
      </c>
      <c r="K877">
        <v>3538.16</v>
      </c>
      <c r="L877">
        <v>4.01</v>
      </c>
      <c r="M877">
        <v>0.33</v>
      </c>
      <c r="N877">
        <v>5.16</v>
      </c>
    </row>
    <row r="878" spans="1:14">
      <c r="A878" s="28">
        <v>221</v>
      </c>
      <c r="B878" t="s">
        <v>2189</v>
      </c>
      <c r="C878" t="s">
        <v>347</v>
      </c>
      <c r="D878">
        <v>54.77</v>
      </c>
      <c r="E878">
        <v>1223.3599999999999</v>
      </c>
      <c r="F878">
        <v>51.35</v>
      </c>
      <c r="G878" t="s">
        <v>350</v>
      </c>
      <c r="H878">
        <v>7.06</v>
      </c>
      <c r="I878">
        <v>11.06</v>
      </c>
      <c r="J878">
        <v>705.41</v>
      </c>
      <c r="K878">
        <v>6616.78</v>
      </c>
      <c r="L878">
        <v>19.12</v>
      </c>
      <c r="M878">
        <v>2.04</v>
      </c>
      <c r="N878">
        <v>10.26</v>
      </c>
    </row>
    <row r="879" spans="1:14">
      <c r="A879" s="28">
        <v>132</v>
      </c>
      <c r="B879" t="s">
        <v>965</v>
      </c>
      <c r="C879" t="s">
        <v>348</v>
      </c>
      <c r="D879">
        <v>54.77</v>
      </c>
      <c r="E879">
        <v>2478.1</v>
      </c>
      <c r="F879">
        <v>80.78</v>
      </c>
      <c r="G879">
        <v>1439.74</v>
      </c>
      <c r="H879">
        <v>53.56</v>
      </c>
      <c r="I879">
        <v>86.37</v>
      </c>
      <c r="J879">
        <v>8703.7900000000009</v>
      </c>
      <c r="K879">
        <v>14359.92</v>
      </c>
      <c r="L879">
        <v>1.1000000000000001</v>
      </c>
      <c r="M879">
        <v>0.67</v>
      </c>
      <c r="N879">
        <v>25.23</v>
      </c>
    </row>
    <row r="880" spans="1:14">
      <c r="A880" s="28">
        <v>978</v>
      </c>
      <c r="B880" t="s">
        <v>402</v>
      </c>
      <c r="C880" t="s">
        <v>347</v>
      </c>
      <c r="D880">
        <v>54.78</v>
      </c>
      <c r="E880">
        <v>6945.71</v>
      </c>
      <c r="F880">
        <v>9.59</v>
      </c>
      <c r="G880">
        <v>334.83</v>
      </c>
      <c r="H880">
        <v>12.48</v>
      </c>
      <c r="I880">
        <v>19.21</v>
      </c>
      <c r="J880">
        <v>3159.97</v>
      </c>
      <c r="K880">
        <v>17614.259999999998</v>
      </c>
      <c r="L880">
        <v>6.51</v>
      </c>
      <c r="M880">
        <v>1.17</v>
      </c>
      <c r="N880">
        <v>22.61</v>
      </c>
    </row>
    <row r="881" spans="1:14">
      <c r="A881" s="28">
        <v>352</v>
      </c>
      <c r="B881" t="s">
        <v>1380</v>
      </c>
      <c r="C881" t="s">
        <v>347</v>
      </c>
      <c r="D881">
        <v>54.82</v>
      </c>
      <c r="E881">
        <v>659.38</v>
      </c>
      <c r="F881">
        <v>35.409999999999997</v>
      </c>
      <c r="G881">
        <v>18.93</v>
      </c>
      <c r="H881">
        <v>11.36</v>
      </c>
      <c r="I881">
        <v>17.57</v>
      </c>
      <c r="J881">
        <v>603.22</v>
      </c>
      <c r="K881">
        <v>3796.89</v>
      </c>
      <c r="L881">
        <v>17.32</v>
      </c>
      <c r="M881">
        <v>2.75</v>
      </c>
      <c r="N881">
        <v>10.97</v>
      </c>
    </row>
    <row r="882" spans="1:14">
      <c r="A882" s="28">
        <v>53</v>
      </c>
      <c r="B882" t="s">
        <v>1747</v>
      </c>
      <c r="C882" t="s">
        <v>348</v>
      </c>
      <c r="D882">
        <v>54.87</v>
      </c>
      <c r="E882">
        <v>527.66</v>
      </c>
      <c r="F882">
        <v>190.81</v>
      </c>
      <c r="G882" t="s">
        <v>2788</v>
      </c>
      <c r="H882">
        <v>-12.39</v>
      </c>
      <c r="I882">
        <v>-18.670000000000002</v>
      </c>
      <c r="J882">
        <v>-629.34</v>
      </c>
      <c r="K882">
        <v>3138.31</v>
      </c>
      <c r="M882">
        <v>2.17</v>
      </c>
    </row>
    <row r="883" spans="1:14">
      <c r="A883" s="28">
        <v>955</v>
      </c>
      <c r="B883" t="s">
        <v>1156</v>
      </c>
      <c r="C883" t="s">
        <v>348</v>
      </c>
      <c r="D883">
        <v>54.88</v>
      </c>
      <c r="E883">
        <v>8122.96</v>
      </c>
      <c r="F883">
        <v>9.9700000000000006</v>
      </c>
      <c r="G883">
        <v>34.47</v>
      </c>
      <c r="H883">
        <v>2.09</v>
      </c>
      <c r="I883">
        <v>3.29</v>
      </c>
      <c r="J883">
        <v>1319.32</v>
      </c>
      <c r="K883">
        <v>41114.79</v>
      </c>
      <c r="L883">
        <v>28.08</v>
      </c>
      <c r="M883">
        <v>0.9</v>
      </c>
      <c r="N883">
        <v>15.78</v>
      </c>
    </row>
    <row r="884" spans="1:14">
      <c r="A884" s="28">
        <v>596</v>
      </c>
      <c r="B884" t="s">
        <v>1950</v>
      </c>
      <c r="C884" t="s">
        <v>347</v>
      </c>
      <c r="D884">
        <v>544.69000000000005</v>
      </c>
      <c r="E884">
        <v>419.4</v>
      </c>
      <c r="F884">
        <v>20.72</v>
      </c>
      <c r="G884">
        <v>-15.96</v>
      </c>
      <c r="H884">
        <v>2.16</v>
      </c>
      <c r="I884">
        <v>13.57</v>
      </c>
      <c r="J884">
        <v>332.79</v>
      </c>
      <c r="K884">
        <v>2596.9899999999998</v>
      </c>
      <c r="L884">
        <v>17.79</v>
      </c>
      <c r="M884">
        <v>2.2799999999999998</v>
      </c>
      <c r="N884">
        <v>5.58</v>
      </c>
    </row>
    <row r="885" spans="1:14">
      <c r="A885" s="28">
        <v>179</v>
      </c>
      <c r="B885" t="s">
        <v>1519</v>
      </c>
      <c r="C885" t="s">
        <v>348</v>
      </c>
      <c r="D885">
        <v>55.04</v>
      </c>
      <c r="E885">
        <v>9.85</v>
      </c>
      <c r="F885">
        <v>61.47</v>
      </c>
      <c r="G885" t="s">
        <v>350</v>
      </c>
      <c r="H885">
        <v>2.37</v>
      </c>
      <c r="I885">
        <v>4.5599999999999996</v>
      </c>
      <c r="J885">
        <v>19.61</v>
      </c>
      <c r="K885">
        <v>549.26</v>
      </c>
      <c r="L885">
        <v>265.62</v>
      </c>
      <c r="M885">
        <v>9.49</v>
      </c>
      <c r="N885">
        <v>53.97</v>
      </c>
    </row>
    <row r="886" spans="1:14">
      <c r="A886" s="28">
        <v>263</v>
      </c>
      <c r="B886" t="s">
        <v>2489</v>
      </c>
      <c r="C886" t="s">
        <v>348</v>
      </c>
      <c r="D886">
        <v>55.07</v>
      </c>
      <c r="E886">
        <v>980.91</v>
      </c>
      <c r="F886">
        <v>44.9</v>
      </c>
      <c r="G886" t="s">
        <v>2788</v>
      </c>
      <c r="H886">
        <v>-26.65</v>
      </c>
      <c r="I886">
        <v>-42.28</v>
      </c>
      <c r="J886">
        <v>-2561.7399999999998</v>
      </c>
      <c r="K886">
        <v>5404.55</v>
      </c>
      <c r="M886">
        <v>1.26</v>
      </c>
    </row>
    <row r="887" spans="1:14">
      <c r="A887" s="28">
        <v>922</v>
      </c>
      <c r="B887" t="s">
        <v>789</v>
      </c>
      <c r="C887" t="s">
        <v>348</v>
      </c>
      <c r="D887">
        <v>55.62</v>
      </c>
      <c r="E887">
        <v>297.8</v>
      </c>
      <c r="F887">
        <v>10.85</v>
      </c>
      <c r="G887">
        <v>71.19</v>
      </c>
      <c r="H887">
        <v>2.17</v>
      </c>
      <c r="I887">
        <v>3.36</v>
      </c>
      <c r="J887">
        <v>67.42</v>
      </c>
      <c r="K887">
        <v>1989.01</v>
      </c>
      <c r="L887">
        <v>42.72</v>
      </c>
      <c r="M887">
        <v>1.45</v>
      </c>
      <c r="N887">
        <v>22.08</v>
      </c>
    </row>
    <row r="888" spans="1:14">
      <c r="A888" s="28">
        <v>532</v>
      </c>
      <c r="B888" t="s">
        <v>860</v>
      </c>
      <c r="C888" t="s">
        <v>347</v>
      </c>
      <c r="D888">
        <v>55.64</v>
      </c>
      <c r="E888">
        <v>3129.84</v>
      </c>
      <c r="F888">
        <v>24.32</v>
      </c>
      <c r="G888" t="s">
        <v>349</v>
      </c>
      <c r="H888">
        <v>-0.35</v>
      </c>
      <c r="I888">
        <v>-0.5</v>
      </c>
      <c r="J888">
        <v>-79.73</v>
      </c>
      <c r="K888">
        <v>16149.19</v>
      </c>
      <c r="M888">
        <v>0.36</v>
      </c>
      <c r="N888">
        <v>6.51</v>
      </c>
    </row>
    <row r="889" spans="1:14">
      <c r="A889" s="28">
        <v>444</v>
      </c>
      <c r="B889" t="s">
        <v>1025</v>
      </c>
      <c r="C889" t="s">
        <v>348</v>
      </c>
      <c r="D889">
        <v>55.68</v>
      </c>
      <c r="E889">
        <v>1914.08</v>
      </c>
      <c r="F889">
        <v>28.61</v>
      </c>
      <c r="G889">
        <v>-40.6</v>
      </c>
      <c r="H889">
        <v>7.03</v>
      </c>
      <c r="I889">
        <v>11.76</v>
      </c>
      <c r="J889">
        <v>1055.3800000000001</v>
      </c>
      <c r="K889">
        <v>9838.92</v>
      </c>
      <c r="L889">
        <v>10.79</v>
      </c>
      <c r="M889">
        <v>1.1599999999999999</v>
      </c>
      <c r="N889">
        <v>10.55</v>
      </c>
    </row>
    <row r="890" spans="1:14">
      <c r="A890" s="28">
        <v>867</v>
      </c>
      <c r="B890" t="s">
        <v>952</v>
      </c>
      <c r="C890" t="s">
        <v>348</v>
      </c>
      <c r="D890">
        <v>55.73</v>
      </c>
      <c r="E890">
        <v>996.55</v>
      </c>
      <c r="F890">
        <v>12.03</v>
      </c>
      <c r="G890" t="s">
        <v>349</v>
      </c>
      <c r="H890">
        <v>-4.6500000000000004</v>
      </c>
      <c r="I890">
        <v>-7.32</v>
      </c>
      <c r="J890">
        <v>-399.59</v>
      </c>
      <c r="K890">
        <v>5482.75</v>
      </c>
      <c r="M890">
        <v>0.39</v>
      </c>
      <c r="N890">
        <v>23.89</v>
      </c>
    </row>
    <row r="891" spans="1:14">
      <c r="A891" s="28">
        <v>1008</v>
      </c>
      <c r="B891" t="s">
        <v>842</v>
      </c>
      <c r="C891" t="s">
        <v>347</v>
      </c>
      <c r="D891">
        <v>55.76</v>
      </c>
      <c r="E891">
        <v>1344.83</v>
      </c>
      <c r="F891">
        <v>8.99</v>
      </c>
      <c r="G891">
        <v>168.37</v>
      </c>
      <c r="H891">
        <v>4.1100000000000003</v>
      </c>
      <c r="I891">
        <v>6.51</v>
      </c>
      <c r="J891">
        <v>459.1</v>
      </c>
      <c r="K891">
        <v>7224.17</v>
      </c>
      <c r="L891">
        <v>11.85</v>
      </c>
      <c r="M891">
        <v>0.75</v>
      </c>
      <c r="N891">
        <v>8.1</v>
      </c>
    </row>
    <row r="892" spans="1:14">
      <c r="A892" s="28">
        <v>1085</v>
      </c>
      <c r="B892" t="s">
        <v>2184</v>
      </c>
      <c r="C892" t="s">
        <v>348</v>
      </c>
      <c r="D892">
        <v>55.85</v>
      </c>
      <c r="E892">
        <v>331.98</v>
      </c>
      <c r="F892">
        <v>7.36</v>
      </c>
      <c r="G892" t="s">
        <v>2788</v>
      </c>
      <c r="H892">
        <v>-20.52</v>
      </c>
      <c r="I892">
        <v>-31.09</v>
      </c>
      <c r="J892">
        <v>-654.30999999999995</v>
      </c>
      <c r="K892">
        <v>1807.35</v>
      </c>
      <c r="M892">
        <v>1.54</v>
      </c>
    </row>
    <row r="893" spans="1:14">
      <c r="A893" s="28">
        <v>965</v>
      </c>
      <c r="B893" t="s">
        <v>1162</v>
      </c>
      <c r="C893" t="s">
        <v>348</v>
      </c>
      <c r="D893">
        <v>55.95</v>
      </c>
      <c r="E893">
        <v>1030.97</v>
      </c>
      <c r="F893">
        <v>9.85</v>
      </c>
      <c r="G893">
        <v>-15.66</v>
      </c>
      <c r="H893">
        <v>4.4000000000000004</v>
      </c>
      <c r="I893">
        <v>6.87</v>
      </c>
      <c r="J893">
        <v>380.11</v>
      </c>
      <c r="K893">
        <v>5654.86</v>
      </c>
      <c r="L893">
        <v>21.39</v>
      </c>
      <c r="M893">
        <v>1.44</v>
      </c>
      <c r="N893">
        <v>11.24</v>
      </c>
    </row>
    <row r="894" spans="1:14">
      <c r="A894" s="28">
        <v>456</v>
      </c>
      <c r="B894" t="s">
        <v>2841</v>
      </c>
      <c r="C894" t="s">
        <v>348</v>
      </c>
      <c r="D894">
        <v>553.29999999999995</v>
      </c>
      <c r="E894">
        <v>39.270000000000003</v>
      </c>
      <c r="F894">
        <v>27.79</v>
      </c>
      <c r="G894" t="s">
        <v>349</v>
      </c>
      <c r="H894">
        <v>-8.25</v>
      </c>
      <c r="I894">
        <v>-47.18</v>
      </c>
      <c r="J894">
        <v>-379.14</v>
      </c>
      <c r="K894">
        <v>696.35</v>
      </c>
      <c r="M894">
        <v>5.74</v>
      </c>
      <c r="N894">
        <v>43.5</v>
      </c>
    </row>
    <row r="895" spans="1:14">
      <c r="A895" s="28">
        <v>472</v>
      </c>
      <c r="B895" t="s">
        <v>2864</v>
      </c>
      <c r="C895" t="s">
        <v>348</v>
      </c>
      <c r="D895">
        <v>5535.21</v>
      </c>
      <c r="F895">
        <v>26.77</v>
      </c>
      <c r="G895" t="s">
        <v>2788</v>
      </c>
      <c r="H895">
        <v>-38.28</v>
      </c>
      <c r="I895">
        <v>-186.88</v>
      </c>
      <c r="J895">
        <v>-656.99</v>
      </c>
      <c r="K895">
        <v>23.07</v>
      </c>
      <c r="M895">
        <v>258.39999999999998</v>
      </c>
    </row>
    <row r="896" spans="1:14">
      <c r="A896" s="28">
        <v>1063</v>
      </c>
      <c r="B896" t="s">
        <v>1338</v>
      </c>
      <c r="C896" t="s">
        <v>347</v>
      </c>
      <c r="D896">
        <v>56.17</v>
      </c>
      <c r="E896">
        <v>7194.71</v>
      </c>
      <c r="F896">
        <v>7.88</v>
      </c>
      <c r="G896">
        <v>81.87</v>
      </c>
      <c r="H896">
        <v>3.91</v>
      </c>
      <c r="I896">
        <v>5.99</v>
      </c>
      <c r="J896">
        <v>854.36</v>
      </c>
      <c r="K896">
        <v>14589.43</v>
      </c>
      <c r="L896">
        <v>72.69</v>
      </c>
      <c r="M896">
        <v>4.26</v>
      </c>
      <c r="N896">
        <v>48.93</v>
      </c>
    </row>
    <row r="897" spans="1:14">
      <c r="A897" s="28">
        <v>1028</v>
      </c>
      <c r="B897" t="s">
        <v>2545</v>
      </c>
      <c r="C897" t="s">
        <v>348</v>
      </c>
      <c r="D897">
        <v>56.2</v>
      </c>
      <c r="E897">
        <v>242.8</v>
      </c>
      <c r="F897">
        <v>8.52</v>
      </c>
      <c r="G897" t="s">
        <v>2788</v>
      </c>
      <c r="H897">
        <v>-6.06</v>
      </c>
      <c r="I897">
        <v>-9</v>
      </c>
      <c r="J897">
        <v>-166.1</v>
      </c>
      <c r="K897">
        <v>1714</v>
      </c>
      <c r="M897">
        <v>4.0999999999999996</v>
      </c>
    </row>
    <row r="898" spans="1:14">
      <c r="A898" s="28">
        <v>222</v>
      </c>
      <c r="B898" t="s">
        <v>1053</v>
      </c>
      <c r="C898" t="s">
        <v>348</v>
      </c>
      <c r="D898">
        <v>56.4</v>
      </c>
      <c r="E898">
        <v>614.83000000000004</v>
      </c>
      <c r="F898">
        <v>50.46</v>
      </c>
      <c r="G898" t="s">
        <v>350</v>
      </c>
      <c r="H898">
        <v>2.64</v>
      </c>
      <c r="I898">
        <v>3.84</v>
      </c>
      <c r="J898">
        <v>133.08000000000001</v>
      </c>
      <c r="K898">
        <v>3574.14</v>
      </c>
      <c r="L898">
        <v>42.83</v>
      </c>
      <c r="M898">
        <v>1.59</v>
      </c>
      <c r="N898">
        <v>23.58</v>
      </c>
    </row>
    <row r="899" spans="1:14">
      <c r="A899" s="28">
        <v>561</v>
      </c>
      <c r="B899" t="s">
        <v>1396</v>
      </c>
      <c r="C899" t="s">
        <v>348</v>
      </c>
      <c r="D899">
        <v>56.69</v>
      </c>
      <c r="E899">
        <v>5008.28</v>
      </c>
      <c r="F899">
        <v>22.73</v>
      </c>
      <c r="G899">
        <v>-72.64</v>
      </c>
      <c r="H899">
        <v>1</v>
      </c>
      <c r="I899">
        <v>1.74</v>
      </c>
      <c r="J899">
        <v>386.16</v>
      </c>
      <c r="K899">
        <v>25541.39</v>
      </c>
      <c r="L899">
        <v>187.74</v>
      </c>
      <c r="M899">
        <v>2.84</v>
      </c>
      <c r="N899">
        <v>43.76</v>
      </c>
    </row>
    <row r="900" spans="1:14">
      <c r="A900" s="28">
        <v>716</v>
      </c>
      <c r="B900" t="s">
        <v>759</v>
      </c>
      <c r="C900" t="s">
        <v>347</v>
      </c>
      <c r="D900">
        <v>56.78</v>
      </c>
      <c r="E900">
        <v>463.75</v>
      </c>
      <c r="F900">
        <v>16.21</v>
      </c>
      <c r="G900" t="s">
        <v>2788</v>
      </c>
      <c r="H900">
        <v>-4.87</v>
      </c>
      <c r="I900">
        <v>-7.31</v>
      </c>
      <c r="J900">
        <v>-416.19</v>
      </c>
      <c r="K900">
        <v>5744.69</v>
      </c>
      <c r="M900">
        <v>1.08</v>
      </c>
    </row>
    <row r="901" spans="1:14">
      <c r="A901" s="28">
        <v>255</v>
      </c>
      <c r="B901" t="s">
        <v>2340</v>
      </c>
      <c r="C901" t="s">
        <v>348</v>
      </c>
      <c r="D901">
        <v>56.82</v>
      </c>
      <c r="E901">
        <v>3119.7</v>
      </c>
      <c r="F901">
        <v>45.89</v>
      </c>
      <c r="G901" t="s">
        <v>2788</v>
      </c>
      <c r="H901">
        <v>-3.7</v>
      </c>
      <c r="I901">
        <v>-6.56</v>
      </c>
      <c r="J901">
        <v>-171.26</v>
      </c>
      <c r="K901">
        <v>3219.7</v>
      </c>
      <c r="M901">
        <v>1.2</v>
      </c>
    </row>
    <row r="902" spans="1:14">
      <c r="A902" s="28">
        <v>311</v>
      </c>
      <c r="B902" t="s">
        <v>2348</v>
      </c>
      <c r="C902" t="s">
        <v>347</v>
      </c>
      <c r="D902">
        <v>56.96</v>
      </c>
      <c r="E902">
        <v>11.69</v>
      </c>
      <c r="F902">
        <v>39.4</v>
      </c>
      <c r="G902" t="s">
        <v>349</v>
      </c>
      <c r="H902">
        <v>-16.25</v>
      </c>
      <c r="I902">
        <v>-24.3</v>
      </c>
      <c r="J902">
        <v>-147.25</v>
      </c>
      <c r="K902">
        <v>558.47</v>
      </c>
      <c r="M902">
        <v>0.52</v>
      </c>
    </row>
    <row r="903" spans="1:14">
      <c r="A903" s="28">
        <v>96</v>
      </c>
      <c r="B903" t="s">
        <v>1793</v>
      </c>
      <c r="C903" t="s">
        <v>347</v>
      </c>
      <c r="D903">
        <v>566.02</v>
      </c>
      <c r="E903">
        <v>192.29</v>
      </c>
      <c r="F903">
        <v>115.23</v>
      </c>
      <c r="G903" t="s">
        <v>350</v>
      </c>
      <c r="H903">
        <v>15.66</v>
      </c>
      <c r="I903">
        <v>112.52</v>
      </c>
      <c r="J903">
        <v>2564.4</v>
      </c>
      <c r="K903">
        <v>2922.93</v>
      </c>
      <c r="L903">
        <v>4.59</v>
      </c>
      <c r="M903">
        <v>4.03</v>
      </c>
      <c r="N903">
        <v>2.25</v>
      </c>
    </row>
    <row r="904" spans="1:14">
      <c r="A904" s="28">
        <v>226</v>
      </c>
      <c r="B904" t="s">
        <v>1686</v>
      </c>
      <c r="C904" t="s">
        <v>347</v>
      </c>
      <c r="D904">
        <v>566.45000000000005</v>
      </c>
      <c r="F904">
        <v>50.07</v>
      </c>
      <c r="G904" t="s">
        <v>2788</v>
      </c>
      <c r="H904">
        <v>-19.309999999999999</v>
      </c>
      <c r="I904">
        <v>-98</v>
      </c>
      <c r="J904">
        <v>-916.22</v>
      </c>
      <c r="K904">
        <v>811.3</v>
      </c>
      <c r="M904">
        <v>4.5199999999999996</v>
      </c>
    </row>
    <row r="905" spans="1:14">
      <c r="A905" s="28">
        <v>138</v>
      </c>
      <c r="B905" t="s">
        <v>2722</v>
      </c>
      <c r="C905" t="s">
        <v>348</v>
      </c>
      <c r="D905">
        <v>568.1</v>
      </c>
      <c r="E905">
        <v>3.96</v>
      </c>
      <c r="F905">
        <v>77.540000000000006</v>
      </c>
      <c r="G905" t="s">
        <v>2788</v>
      </c>
      <c r="H905">
        <v>-39.08</v>
      </c>
      <c r="I905">
        <v>-129.04</v>
      </c>
      <c r="J905">
        <v>-1056.4000000000001</v>
      </c>
      <c r="K905">
        <v>519.79</v>
      </c>
      <c r="M905">
        <v>31.17</v>
      </c>
    </row>
    <row r="906" spans="1:14">
      <c r="A906" s="28">
        <v>976</v>
      </c>
      <c r="B906" t="s">
        <v>520</v>
      </c>
      <c r="C906" t="s">
        <v>347</v>
      </c>
      <c r="D906">
        <v>57</v>
      </c>
      <c r="E906">
        <v>3938.19</v>
      </c>
      <c r="F906">
        <v>9.64</v>
      </c>
      <c r="G906">
        <v>-64.52</v>
      </c>
      <c r="H906">
        <v>1.23</v>
      </c>
      <c r="I906">
        <v>1.85</v>
      </c>
      <c r="J906">
        <v>179.93</v>
      </c>
      <c r="K906">
        <v>9801.07</v>
      </c>
      <c r="L906">
        <v>43.8</v>
      </c>
      <c r="M906">
        <v>0.8</v>
      </c>
      <c r="N906">
        <v>115.72</v>
      </c>
    </row>
    <row r="907" spans="1:14">
      <c r="A907" s="28">
        <v>684</v>
      </c>
      <c r="B907" t="s">
        <v>2394</v>
      </c>
      <c r="C907" t="s">
        <v>348</v>
      </c>
      <c r="D907">
        <v>57.24</v>
      </c>
      <c r="E907">
        <v>900.51</v>
      </c>
      <c r="F907">
        <v>17.32</v>
      </c>
      <c r="G907" t="s">
        <v>2788</v>
      </c>
      <c r="H907">
        <v>-14.61</v>
      </c>
      <c r="I907">
        <v>-22.89</v>
      </c>
      <c r="J907">
        <v>-213.13</v>
      </c>
      <c r="K907">
        <v>1000.51</v>
      </c>
      <c r="M907">
        <v>0.31</v>
      </c>
    </row>
    <row r="908" spans="1:14">
      <c r="A908" s="28">
        <v>891</v>
      </c>
      <c r="B908" t="s">
        <v>989</v>
      </c>
      <c r="C908" t="s">
        <v>347</v>
      </c>
      <c r="D908">
        <v>57.46</v>
      </c>
      <c r="E908">
        <v>2622.32</v>
      </c>
      <c r="F908">
        <v>11.34</v>
      </c>
      <c r="G908">
        <v>-57.29</v>
      </c>
      <c r="H908">
        <v>3.4</v>
      </c>
      <c r="I908">
        <v>5.63</v>
      </c>
      <c r="J908">
        <v>8194.26</v>
      </c>
      <c r="K908">
        <v>157310.48000000001</v>
      </c>
      <c r="L908">
        <v>10.14</v>
      </c>
      <c r="M908">
        <v>0.53</v>
      </c>
      <c r="N908">
        <v>22.86</v>
      </c>
    </row>
    <row r="909" spans="1:14">
      <c r="A909" s="28">
        <v>545</v>
      </c>
      <c r="B909" t="s">
        <v>2315</v>
      </c>
      <c r="C909" t="s">
        <v>348</v>
      </c>
      <c r="D909">
        <v>57.69</v>
      </c>
      <c r="E909">
        <v>423.34</v>
      </c>
      <c r="F909">
        <v>23.79</v>
      </c>
      <c r="G909">
        <v>13.71</v>
      </c>
      <c r="H909">
        <v>8.27</v>
      </c>
      <c r="I909">
        <v>15.25</v>
      </c>
      <c r="J909">
        <v>276.49</v>
      </c>
      <c r="K909">
        <v>2616.7199999999998</v>
      </c>
      <c r="L909">
        <v>56.02</v>
      </c>
      <c r="M909">
        <v>5.92</v>
      </c>
      <c r="N909">
        <v>38.25</v>
      </c>
    </row>
    <row r="910" spans="1:14">
      <c r="A910" s="28">
        <v>764</v>
      </c>
      <c r="B910" t="s">
        <v>1751</v>
      </c>
      <c r="C910" t="s">
        <v>347</v>
      </c>
      <c r="D910">
        <v>57.94</v>
      </c>
      <c r="E910">
        <v>3000.21</v>
      </c>
      <c r="F910">
        <v>15.09</v>
      </c>
      <c r="G910">
        <v>-32.14</v>
      </c>
      <c r="H910">
        <v>2.14</v>
      </c>
      <c r="I910">
        <v>3.3</v>
      </c>
      <c r="J910">
        <v>493.44</v>
      </c>
      <c r="K910">
        <v>15501.03</v>
      </c>
      <c r="L910">
        <v>99.91</v>
      </c>
      <c r="M910">
        <v>3.18</v>
      </c>
      <c r="N910">
        <v>125.39</v>
      </c>
    </row>
    <row r="911" spans="1:14">
      <c r="A911" s="28">
        <v>1112</v>
      </c>
      <c r="B911" t="s">
        <v>162</v>
      </c>
      <c r="C911" t="s">
        <v>347</v>
      </c>
      <c r="D911">
        <v>58.24</v>
      </c>
      <c r="E911">
        <v>1980</v>
      </c>
      <c r="F911">
        <v>6.6</v>
      </c>
      <c r="G911">
        <v>-13.68</v>
      </c>
      <c r="H911">
        <v>4.58</v>
      </c>
      <c r="I911">
        <v>6.99</v>
      </c>
      <c r="J911">
        <v>1360.13</v>
      </c>
      <c r="K911">
        <v>20799.96</v>
      </c>
      <c r="L911">
        <v>15.88</v>
      </c>
      <c r="M911">
        <v>1.04</v>
      </c>
      <c r="N911">
        <v>11.18</v>
      </c>
    </row>
    <row r="912" spans="1:14">
      <c r="A912" s="28">
        <v>618</v>
      </c>
      <c r="B912" t="s">
        <v>1787</v>
      </c>
      <c r="C912" t="s">
        <v>348</v>
      </c>
      <c r="D912">
        <v>58.46</v>
      </c>
      <c r="E912">
        <v>786.9</v>
      </c>
      <c r="F912">
        <v>19.95</v>
      </c>
      <c r="G912" t="s">
        <v>2788</v>
      </c>
      <c r="H912">
        <v>-15.6</v>
      </c>
      <c r="I912">
        <v>-22.1</v>
      </c>
      <c r="J912">
        <v>-1099.99</v>
      </c>
      <c r="K912">
        <v>4434.49</v>
      </c>
      <c r="M912">
        <v>2.93</v>
      </c>
      <c r="N912">
        <v>272.95</v>
      </c>
    </row>
    <row r="913" spans="1:14">
      <c r="A913" s="28">
        <v>913</v>
      </c>
      <c r="B913" t="s">
        <v>1886</v>
      </c>
      <c r="C913" t="s">
        <v>348</v>
      </c>
      <c r="D913">
        <v>58.51</v>
      </c>
      <c r="E913">
        <v>80.62</v>
      </c>
      <c r="F913">
        <v>11.01</v>
      </c>
      <c r="G913">
        <v>-67.97</v>
      </c>
      <c r="H913">
        <v>2.79</v>
      </c>
      <c r="I913">
        <v>4.7300000000000004</v>
      </c>
      <c r="J913">
        <v>45.76</v>
      </c>
      <c r="K913">
        <v>903.12</v>
      </c>
      <c r="L913">
        <v>53.87</v>
      </c>
      <c r="M913">
        <v>2.73</v>
      </c>
    </row>
    <row r="914" spans="1:14">
      <c r="A914" s="28">
        <v>228</v>
      </c>
      <c r="B914" t="s">
        <v>462</v>
      </c>
      <c r="C914" t="s">
        <v>347</v>
      </c>
      <c r="D914">
        <v>58.67</v>
      </c>
      <c r="E914">
        <v>629.36</v>
      </c>
      <c r="F914">
        <v>49.6</v>
      </c>
      <c r="G914">
        <v>74.819999999999993</v>
      </c>
      <c r="H914">
        <v>0.98</v>
      </c>
      <c r="I914">
        <v>1.46</v>
      </c>
      <c r="J914">
        <v>98.9</v>
      </c>
      <c r="K914">
        <v>7293.57</v>
      </c>
      <c r="L914">
        <v>24.01</v>
      </c>
      <c r="M914">
        <v>0.33</v>
      </c>
    </row>
    <row r="915" spans="1:14">
      <c r="A915" s="28">
        <v>195</v>
      </c>
      <c r="B915" t="s">
        <v>2576</v>
      </c>
      <c r="C915" t="s">
        <v>348</v>
      </c>
      <c r="D915">
        <v>58.75</v>
      </c>
      <c r="E915">
        <v>570.45000000000005</v>
      </c>
      <c r="F915">
        <v>57.39</v>
      </c>
      <c r="G915" t="s">
        <v>350</v>
      </c>
      <c r="H915">
        <v>2.1800000000000002</v>
      </c>
      <c r="I915">
        <v>3.54</v>
      </c>
      <c r="J915">
        <v>22.21</v>
      </c>
      <c r="K915">
        <v>670.45</v>
      </c>
      <c r="L915">
        <v>65.5</v>
      </c>
      <c r="M915">
        <v>2.17</v>
      </c>
      <c r="N915">
        <v>265.66000000000003</v>
      </c>
    </row>
    <row r="916" spans="1:14">
      <c r="A916" s="28">
        <v>517</v>
      </c>
      <c r="B916" t="s">
        <v>661</v>
      </c>
      <c r="C916" t="s">
        <v>348</v>
      </c>
      <c r="D916">
        <v>58.76</v>
      </c>
      <c r="E916">
        <v>2748.78</v>
      </c>
      <c r="F916">
        <v>24.81</v>
      </c>
      <c r="G916">
        <v>55.68</v>
      </c>
      <c r="H916">
        <v>4.49</v>
      </c>
      <c r="I916">
        <v>7.1</v>
      </c>
      <c r="J916">
        <v>194.56</v>
      </c>
      <c r="K916">
        <v>2848.78</v>
      </c>
      <c r="L916">
        <v>7.53</v>
      </c>
      <c r="M916">
        <v>0.51</v>
      </c>
      <c r="N916">
        <v>3.26</v>
      </c>
    </row>
    <row r="917" spans="1:14">
      <c r="A917" s="28">
        <v>93</v>
      </c>
      <c r="B917" t="s">
        <v>1974</v>
      </c>
      <c r="C917" t="s">
        <v>348</v>
      </c>
      <c r="D917">
        <v>58.8</v>
      </c>
      <c r="E917">
        <v>5.87</v>
      </c>
      <c r="F917">
        <v>116.69</v>
      </c>
      <c r="G917" t="s">
        <v>2788</v>
      </c>
      <c r="H917">
        <v>-25.97</v>
      </c>
      <c r="I917">
        <v>-36.28</v>
      </c>
      <c r="J917">
        <v>-181.34</v>
      </c>
      <c r="K917">
        <v>529.35</v>
      </c>
      <c r="M917">
        <v>0.8</v>
      </c>
      <c r="N917">
        <v>14.14</v>
      </c>
    </row>
    <row r="918" spans="1:14">
      <c r="A918" s="28">
        <v>973</v>
      </c>
      <c r="B918" t="s">
        <v>1562</v>
      </c>
      <c r="C918" t="s">
        <v>347</v>
      </c>
      <c r="D918">
        <v>58.91</v>
      </c>
      <c r="E918">
        <v>11058.09</v>
      </c>
      <c r="F918">
        <v>9.69</v>
      </c>
      <c r="G918" t="s">
        <v>349</v>
      </c>
      <c r="H918">
        <v>-5.22</v>
      </c>
      <c r="I918">
        <v>-7.97</v>
      </c>
      <c r="J918">
        <v>-4570.47</v>
      </c>
      <c r="K918">
        <v>55790.45</v>
      </c>
      <c r="M918">
        <v>4.1900000000000004</v>
      </c>
      <c r="N918">
        <v>158.46</v>
      </c>
    </row>
    <row r="919" spans="1:14">
      <c r="A919" s="28">
        <v>217</v>
      </c>
      <c r="B919" t="s">
        <v>2424</v>
      </c>
      <c r="C919" t="s">
        <v>348</v>
      </c>
      <c r="D919">
        <v>58.97</v>
      </c>
      <c r="E919">
        <v>60.26</v>
      </c>
      <c r="F919">
        <v>52.98</v>
      </c>
      <c r="G919" t="s">
        <v>2788</v>
      </c>
      <c r="H919">
        <v>-58.16</v>
      </c>
      <c r="I919">
        <v>-84.43</v>
      </c>
      <c r="J919">
        <v>-1058.79</v>
      </c>
      <c r="K919">
        <v>801.28</v>
      </c>
      <c r="M919">
        <v>8.4</v>
      </c>
    </row>
    <row r="920" spans="1:14">
      <c r="A920" s="28">
        <v>489</v>
      </c>
      <c r="B920" t="s">
        <v>620</v>
      </c>
      <c r="C920" t="s">
        <v>347</v>
      </c>
      <c r="D920">
        <v>59.07</v>
      </c>
      <c r="E920">
        <v>1446.23</v>
      </c>
      <c r="F920">
        <v>26.09</v>
      </c>
      <c r="G920">
        <v>312.99</v>
      </c>
      <c r="H920">
        <v>16.260000000000002</v>
      </c>
      <c r="I920">
        <v>27.13</v>
      </c>
      <c r="J920">
        <v>19902.61</v>
      </c>
      <c r="K920">
        <v>82276.52</v>
      </c>
      <c r="L920">
        <v>5.0199999999999996</v>
      </c>
      <c r="M920">
        <v>1.22</v>
      </c>
      <c r="N920">
        <v>5.1100000000000003</v>
      </c>
    </row>
    <row r="921" spans="1:14">
      <c r="A921" s="28">
        <v>91</v>
      </c>
      <c r="B921" t="s">
        <v>981</v>
      </c>
      <c r="C921" t="s">
        <v>348</v>
      </c>
      <c r="D921">
        <v>59.31</v>
      </c>
      <c r="E921">
        <v>1160.77</v>
      </c>
      <c r="F921">
        <v>120.82</v>
      </c>
      <c r="G921">
        <v>90.06</v>
      </c>
      <c r="H921">
        <v>21.04</v>
      </c>
      <c r="I921">
        <v>39.17</v>
      </c>
      <c r="J921">
        <v>2132.3000000000002</v>
      </c>
      <c r="K921">
        <v>6303.84</v>
      </c>
      <c r="N921">
        <v>0</v>
      </c>
    </row>
    <row r="922" spans="1:14">
      <c r="A922" s="28">
        <v>119</v>
      </c>
      <c r="B922" t="s">
        <v>1848</v>
      </c>
      <c r="C922" t="s">
        <v>348</v>
      </c>
      <c r="D922">
        <v>59.41</v>
      </c>
      <c r="E922">
        <v>0.72</v>
      </c>
      <c r="F922">
        <v>88.6</v>
      </c>
      <c r="G922" t="s">
        <v>2788</v>
      </c>
      <c r="H922">
        <v>-68.349999999999994</v>
      </c>
      <c r="I922">
        <v>-90.68</v>
      </c>
      <c r="J922">
        <v>-741.47</v>
      </c>
      <c r="K922">
        <v>467.69</v>
      </c>
    </row>
    <row r="923" spans="1:14">
      <c r="A923" s="28">
        <v>46</v>
      </c>
      <c r="B923" t="s">
        <v>1770</v>
      </c>
      <c r="C923" t="s">
        <v>348</v>
      </c>
      <c r="D923">
        <v>59.62</v>
      </c>
      <c r="E923">
        <v>22.25</v>
      </c>
      <c r="F923">
        <v>208.49</v>
      </c>
      <c r="G923" t="s">
        <v>2788</v>
      </c>
      <c r="H923">
        <v>-41.43</v>
      </c>
      <c r="I923">
        <v>-60.27</v>
      </c>
      <c r="J923">
        <v>-500.69</v>
      </c>
      <c r="K923">
        <v>619.57000000000005</v>
      </c>
      <c r="M923">
        <v>2.13</v>
      </c>
    </row>
    <row r="924" spans="1:14">
      <c r="A924" s="28">
        <v>759</v>
      </c>
      <c r="B924" t="s">
        <v>1171</v>
      </c>
      <c r="C924" t="s">
        <v>348</v>
      </c>
      <c r="D924">
        <v>59.74</v>
      </c>
      <c r="E924">
        <v>2360.1799999999998</v>
      </c>
      <c r="F924">
        <v>15.22</v>
      </c>
      <c r="G924">
        <v>19.54</v>
      </c>
      <c r="H924">
        <v>5.21</v>
      </c>
      <c r="I924">
        <v>8.44</v>
      </c>
      <c r="J924">
        <v>996.98</v>
      </c>
      <c r="K924">
        <v>12300.89</v>
      </c>
      <c r="L924">
        <v>6.62</v>
      </c>
      <c r="M924">
        <v>0.54</v>
      </c>
      <c r="N924">
        <v>2.39</v>
      </c>
    </row>
    <row r="925" spans="1:14">
      <c r="A925" s="28">
        <v>831</v>
      </c>
      <c r="B925" t="s">
        <v>1920</v>
      </c>
      <c r="C925" t="s">
        <v>348</v>
      </c>
      <c r="D925">
        <v>59.83</v>
      </c>
      <c r="E925">
        <v>733.58</v>
      </c>
      <c r="F925">
        <v>13.27</v>
      </c>
      <c r="G925" t="s">
        <v>350</v>
      </c>
      <c r="H925">
        <v>1.98</v>
      </c>
      <c r="I925">
        <v>3.16</v>
      </c>
      <c r="J925">
        <v>130.07</v>
      </c>
      <c r="K925">
        <v>4167.8900000000003</v>
      </c>
      <c r="L925">
        <v>23.49</v>
      </c>
      <c r="M925">
        <v>0.73</v>
      </c>
      <c r="N925">
        <v>9.43</v>
      </c>
    </row>
    <row r="926" spans="1:14">
      <c r="A926" s="28">
        <v>546</v>
      </c>
      <c r="B926" t="s">
        <v>1976</v>
      </c>
      <c r="C926" t="s">
        <v>348</v>
      </c>
      <c r="D926">
        <v>59.89</v>
      </c>
      <c r="E926">
        <v>1161.6300000000001</v>
      </c>
      <c r="F926">
        <v>23.71</v>
      </c>
      <c r="G926">
        <v>4.5199999999999996</v>
      </c>
      <c r="H926">
        <v>13.12</v>
      </c>
      <c r="I926">
        <v>21.53</v>
      </c>
      <c r="J926">
        <v>210.99</v>
      </c>
      <c r="K926">
        <v>1109.8599999999999</v>
      </c>
      <c r="N926">
        <v>0</v>
      </c>
    </row>
    <row r="927" spans="1:14">
      <c r="A927" s="28">
        <v>168</v>
      </c>
      <c r="B927" t="s">
        <v>1370</v>
      </c>
      <c r="C927" t="s">
        <v>347</v>
      </c>
      <c r="D927">
        <v>591.42999999999995</v>
      </c>
      <c r="E927">
        <v>139.76</v>
      </c>
      <c r="F927">
        <v>64.62</v>
      </c>
      <c r="G927">
        <v>18.28</v>
      </c>
      <c r="H927">
        <v>0.7</v>
      </c>
      <c r="I927">
        <v>4.68</v>
      </c>
      <c r="J927">
        <v>552.53</v>
      </c>
      <c r="K927">
        <v>11988.13</v>
      </c>
      <c r="L927">
        <v>43.98</v>
      </c>
      <c r="M927">
        <v>2.0299999999999998</v>
      </c>
    </row>
    <row r="928" spans="1:14">
      <c r="A928" s="28">
        <v>1083</v>
      </c>
      <c r="B928" t="s">
        <v>1737</v>
      </c>
      <c r="C928" t="s">
        <v>348</v>
      </c>
      <c r="D928">
        <v>6.04</v>
      </c>
      <c r="E928">
        <v>222.38</v>
      </c>
      <c r="F928">
        <v>7.37</v>
      </c>
      <c r="G928">
        <v>-48.52</v>
      </c>
      <c r="H928">
        <v>6.11</v>
      </c>
      <c r="I928">
        <v>6.47</v>
      </c>
      <c r="J928">
        <v>101</v>
      </c>
      <c r="K928">
        <v>1611.9</v>
      </c>
      <c r="L928">
        <v>17.73</v>
      </c>
      <c r="M928">
        <v>1.1100000000000001</v>
      </c>
      <c r="N928">
        <v>20.23</v>
      </c>
    </row>
    <row r="929" spans="1:14">
      <c r="A929" s="28">
        <v>927</v>
      </c>
      <c r="B929" t="s">
        <v>2361</v>
      </c>
      <c r="C929" t="s">
        <v>348</v>
      </c>
      <c r="D929">
        <v>6.15</v>
      </c>
      <c r="E929">
        <v>69.52</v>
      </c>
      <c r="F929">
        <v>10.6</v>
      </c>
      <c r="G929">
        <v>-68.599999999999994</v>
      </c>
      <c r="H929">
        <v>3.39</v>
      </c>
      <c r="I929">
        <v>3.63</v>
      </c>
      <c r="J929">
        <v>30.26</v>
      </c>
      <c r="K929">
        <v>847.58</v>
      </c>
      <c r="L929">
        <v>42.97</v>
      </c>
      <c r="M929">
        <v>1.53</v>
      </c>
      <c r="N929">
        <v>31.78</v>
      </c>
    </row>
    <row r="930" spans="1:14">
      <c r="A930" s="28">
        <v>1032</v>
      </c>
      <c r="B930" t="s">
        <v>1603</v>
      </c>
      <c r="C930" t="s">
        <v>348</v>
      </c>
      <c r="D930">
        <v>6.24</v>
      </c>
      <c r="E930">
        <v>512.42999999999995</v>
      </c>
      <c r="F930">
        <v>8.39</v>
      </c>
      <c r="G930" t="s">
        <v>2788</v>
      </c>
      <c r="H930">
        <v>-9.27</v>
      </c>
      <c r="I930">
        <v>-9.91</v>
      </c>
      <c r="J930">
        <v>-318.10000000000002</v>
      </c>
      <c r="K930">
        <v>3062.16</v>
      </c>
      <c r="M930">
        <v>3.45</v>
      </c>
    </row>
    <row r="931" spans="1:14">
      <c r="A931" s="28">
        <v>539</v>
      </c>
      <c r="B931" t="s">
        <v>572</v>
      </c>
      <c r="C931" t="s">
        <v>348</v>
      </c>
      <c r="D931">
        <v>6.58</v>
      </c>
      <c r="E931">
        <v>2563.42</v>
      </c>
      <c r="F931">
        <v>24.02</v>
      </c>
      <c r="G931">
        <v>-5.32</v>
      </c>
      <c r="H931">
        <v>23.91</v>
      </c>
      <c r="I931">
        <v>26.22</v>
      </c>
      <c r="J931">
        <v>549.1</v>
      </c>
      <c r="K931">
        <v>2663.42</v>
      </c>
      <c r="L931">
        <v>21.67</v>
      </c>
      <c r="M931">
        <v>4.47</v>
      </c>
      <c r="N931">
        <v>19.87</v>
      </c>
    </row>
    <row r="932" spans="1:14">
      <c r="A932" s="28">
        <v>588</v>
      </c>
      <c r="B932" t="s">
        <v>1808</v>
      </c>
      <c r="C932" t="s">
        <v>348</v>
      </c>
      <c r="D932">
        <v>6.72</v>
      </c>
      <c r="E932">
        <v>8277.7099999999991</v>
      </c>
      <c r="F932">
        <v>21.49</v>
      </c>
      <c r="G932">
        <v>20.100000000000001</v>
      </c>
      <c r="H932">
        <v>14.56</v>
      </c>
      <c r="I932">
        <v>15.59</v>
      </c>
      <c r="J932">
        <v>1088.2</v>
      </c>
      <c r="K932">
        <v>8377.7099999999991</v>
      </c>
      <c r="L932">
        <v>10.86</v>
      </c>
      <c r="M932">
        <v>1.41</v>
      </c>
      <c r="N932">
        <v>10.73</v>
      </c>
    </row>
    <row r="933" spans="1:14">
      <c r="A933" s="28">
        <v>1072</v>
      </c>
      <c r="B933" t="s">
        <v>1601</v>
      </c>
      <c r="C933" t="s">
        <v>348</v>
      </c>
      <c r="D933">
        <v>6.84</v>
      </c>
      <c r="E933">
        <v>265.48</v>
      </c>
      <c r="F933">
        <v>7.64</v>
      </c>
      <c r="G933">
        <v>-65.819999999999993</v>
      </c>
      <c r="H933">
        <v>2.1800000000000002</v>
      </c>
      <c r="I933">
        <v>2.34</v>
      </c>
      <c r="J933">
        <v>38.14</v>
      </c>
      <c r="K933">
        <v>1827.4</v>
      </c>
      <c r="L933">
        <v>85.74</v>
      </c>
      <c r="M933">
        <v>1.79</v>
      </c>
      <c r="N933">
        <v>68.89</v>
      </c>
    </row>
    <row r="934" spans="1:14">
      <c r="A934" s="28">
        <v>861</v>
      </c>
      <c r="B934" t="s">
        <v>1877</v>
      </c>
      <c r="C934" t="s">
        <v>348</v>
      </c>
      <c r="D934">
        <v>6.91</v>
      </c>
      <c r="E934">
        <v>390.42</v>
      </c>
      <c r="F934">
        <v>12.14</v>
      </c>
      <c r="G934" t="s">
        <v>2788</v>
      </c>
      <c r="H934">
        <v>-4.72</v>
      </c>
      <c r="I934">
        <v>-5.33</v>
      </c>
      <c r="J934">
        <v>-118.57</v>
      </c>
      <c r="K934">
        <v>2452.11</v>
      </c>
      <c r="M934">
        <v>7.59</v>
      </c>
      <c r="N934">
        <v>279.45</v>
      </c>
    </row>
    <row r="935" spans="1:14">
      <c r="A935" s="28">
        <v>643</v>
      </c>
      <c r="B935" t="s">
        <v>883</v>
      </c>
      <c r="C935" t="s">
        <v>347</v>
      </c>
      <c r="D935">
        <v>6.96</v>
      </c>
      <c r="E935">
        <v>3775.89</v>
      </c>
      <c r="F935">
        <v>19.11</v>
      </c>
      <c r="G935">
        <v>41.87</v>
      </c>
      <c r="H935">
        <v>3.92</v>
      </c>
      <c r="I935">
        <v>4.21</v>
      </c>
      <c r="J935">
        <v>7790.12</v>
      </c>
      <c r="K935">
        <v>198786.45</v>
      </c>
      <c r="L935">
        <v>24</v>
      </c>
      <c r="M935">
        <v>0.94</v>
      </c>
      <c r="N935">
        <v>20.84</v>
      </c>
    </row>
    <row r="936" spans="1:14">
      <c r="A936" s="28">
        <v>744</v>
      </c>
      <c r="B936" t="s">
        <v>1800</v>
      </c>
      <c r="C936" t="s">
        <v>348</v>
      </c>
      <c r="D936">
        <v>60.05</v>
      </c>
      <c r="E936">
        <v>410.66</v>
      </c>
      <c r="F936">
        <v>15.68</v>
      </c>
      <c r="G936">
        <v>43.01</v>
      </c>
      <c r="H936">
        <v>11.87</v>
      </c>
      <c r="I936">
        <v>18.579999999999998</v>
      </c>
      <c r="J936">
        <v>441.54</v>
      </c>
      <c r="K936">
        <v>2553.2800000000002</v>
      </c>
      <c r="L936">
        <v>10.01</v>
      </c>
      <c r="M936">
        <v>1.73</v>
      </c>
      <c r="N936">
        <v>9.66</v>
      </c>
    </row>
    <row r="937" spans="1:14">
      <c r="A937" s="28">
        <v>877</v>
      </c>
      <c r="B937" t="s">
        <v>1102</v>
      </c>
      <c r="C937" t="s">
        <v>348</v>
      </c>
      <c r="D937">
        <v>60.12</v>
      </c>
      <c r="E937">
        <v>2278.1999999999998</v>
      </c>
      <c r="F937">
        <v>11.66</v>
      </c>
      <c r="G937">
        <v>261.77</v>
      </c>
      <c r="H937">
        <v>17.54</v>
      </c>
      <c r="I937">
        <v>28.03</v>
      </c>
      <c r="J937">
        <v>587.52</v>
      </c>
      <c r="K937">
        <v>2378.1999999999998</v>
      </c>
      <c r="L937">
        <v>3.37</v>
      </c>
      <c r="M937">
        <v>0.83</v>
      </c>
      <c r="N937">
        <v>2.86</v>
      </c>
    </row>
    <row r="938" spans="1:14">
      <c r="A938" s="28">
        <v>478</v>
      </c>
      <c r="B938" t="s">
        <v>2205</v>
      </c>
      <c r="C938" t="s">
        <v>348</v>
      </c>
      <c r="D938">
        <v>60.35</v>
      </c>
      <c r="E938">
        <v>481.66</v>
      </c>
      <c r="F938">
        <v>26.49</v>
      </c>
      <c r="G938" t="s">
        <v>2788</v>
      </c>
      <c r="H938">
        <v>-13.7</v>
      </c>
      <c r="I938">
        <v>-22.32</v>
      </c>
      <c r="J938">
        <v>-641.87</v>
      </c>
      <c r="K938">
        <v>2908.31</v>
      </c>
      <c r="M938">
        <v>5.23</v>
      </c>
    </row>
    <row r="939" spans="1:14">
      <c r="A939" s="28">
        <v>887</v>
      </c>
      <c r="B939" t="s">
        <v>619</v>
      </c>
      <c r="C939" t="s">
        <v>348</v>
      </c>
      <c r="D939">
        <v>60.38</v>
      </c>
      <c r="E939">
        <v>5499.24</v>
      </c>
      <c r="F939">
        <v>11.46</v>
      </c>
      <c r="G939">
        <v>69.86</v>
      </c>
      <c r="H939">
        <v>11.74</v>
      </c>
      <c r="I939">
        <v>20.420000000000002</v>
      </c>
      <c r="J939">
        <v>4365.8599999999997</v>
      </c>
      <c r="K939">
        <v>27996.22</v>
      </c>
      <c r="L939">
        <v>3.27</v>
      </c>
      <c r="M939">
        <v>0.51</v>
      </c>
      <c r="N939">
        <v>2.86</v>
      </c>
    </row>
    <row r="940" spans="1:14">
      <c r="A940" s="28">
        <v>293</v>
      </c>
      <c r="B940" t="s">
        <v>2052</v>
      </c>
      <c r="C940" t="s">
        <v>348</v>
      </c>
      <c r="D940">
        <v>60.43</v>
      </c>
      <c r="E940">
        <v>6951.99</v>
      </c>
      <c r="F940">
        <v>41.68</v>
      </c>
      <c r="G940" t="s">
        <v>2788</v>
      </c>
      <c r="H940">
        <v>-19.72</v>
      </c>
      <c r="I940">
        <v>-69.849999999999994</v>
      </c>
      <c r="J940">
        <v>-1634.83</v>
      </c>
      <c r="K940">
        <v>2712.31</v>
      </c>
    </row>
    <row r="941" spans="1:14">
      <c r="A941" s="28">
        <v>814</v>
      </c>
      <c r="B941" t="s">
        <v>2705</v>
      </c>
      <c r="C941" t="s">
        <v>348</v>
      </c>
      <c r="D941">
        <v>60.43</v>
      </c>
      <c r="E941">
        <v>265.75</v>
      </c>
      <c r="F941">
        <v>13.68</v>
      </c>
      <c r="G941" t="s">
        <v>2788</v>
      </c>
      <c r="H941">
        <v>-13.63</v>
      </c>
      <c r="I941">
        <v>-33.549999999999997</v>
      </c>
      <c r="J941">
        <v>-506.25</v>
      </c>
      <c r="K941">
        <v>1828.76</v>
      </c>
      <c r="M941">
        <v>3.6</v>
      </c>
    </row>
    <row r="942" spans="1:14">
      <c r="A942" s="28">
        <v>756</v>
      </c>
      <c r="B942" t="s">
        <v>1819</v>
      </c>
      <c r="C942" t="s">
        <v>348</v>
      </c>
      <c r="D942">
        <v>60.47</v>
      </c>
      <c r="E942">
        <v>142.88999999999999</v>
      </c>
      <c r="F942">
        <v>15.26</v>
      </c>
      <c r="G942">
        <v>-98</v>
      </c>
      <c r="H942">
        <v>0.18</v>
      </c>
      <c r="I942">
        <v>0.28999999999999998</v>
      </c>
      <c r="J942">
        <v>3.15</v>
      </c>
      <c r="K942">
        <v>1246.67</v>
      </c>
      <c r="L942">
        <v>910.88</v>
      </c>
      <c r="M942">
        <v>2.2999999999999998</v>
      </c>
      <c r="N942">
        <v>57.13</v>
      </c>
    </row>
    <row r="943" spans="1:14">
      <c r="A943" s="28">
        <v>969</v>
      </c>
      <c r="B943" t="s">
        <v>2865</v>
      </c>
      <c r="C943" t="s">
        <v>348</v>
      </c>
      <c r="D943">
        <v>60.55</v>
      </c>
      <c r="E943">
        <v>3467.19</v>
      </c>
      <c r="F943">
        <v>9.75</v>
      </c>
      <c r="H943">
        <v>13.11</v>
      </c>
      <c r="I943">
        <v>22.26</v>
      </c>
      <c r="N943">
        <v>0</v>
      </c>
    </row>
    <row r="944" spans="1:14">
      <c r="A944" s="28">
        <v>353</v>
      </c>
      <c r="B944" t="s">
        <v>195</v>
      </c>
      <c r="C944" t="s">
        <v>347</v>
      </c>
      <c r="D944">
        <v>60.55</v>
      </c>
      <c r="E944">
        <v>857.4</v>
      </c>
      <c r="F944">
        <v>35.33</v>
      </c>
      <c r="G944">
        <v>46.22</v>
      </c>
      <c r="H944">
        <v>11.21</v>
      </c>
      <c r="I944">
        <v>18.75</v>
      </c>
      <c r="J944">
        <v>1514.6</v>
      </c>
      <c r="K944">
        <v>9574.02</v>
      </c>
      <c r="L944">
        <v>3.98</v>
      </c>
      <c r="M944">
        <v>0.63</v>
      </c>
      <c r="N944">
        <v>2.34</v>
      </c>
    </row>
    <row r="945" spans="1:14">
      <c r="A945" s="28">
        <v>1010</v>
      </c>
      <c r="B945" t="s">
        <v>1289</v>
      </c>
      <c r="C945" t="s">
        <v>348</v>
      </c>
      <c r="D945">
        <v>60.66</v>
      </c>
      <c r="E945">
        <v>2530.8200000000002</v>
      </c>
      <c r="F945">
        <v>8.94</v>
      </c>
      <c r="G945">
        <v>80.94</v>
      </c>
      <c r="H945">
        <v>4.5599999999999996</v>
      </c>
      <c r="I945">
        <v>6.87</v>
      </c>
      <c r="J945">
        <v>876.64</v>
      </c>
      <c r="K945">
        <v>13154.12</v>
      </c>
      <c r="L945">
        <v>22.99</v>
      </c>
      <c r="M945">
        <v>1.53</v>
      </c>
      <c r="N945">
        <v>9.51</v>
      </c>
    </row>
    <row r="946" spans="1:14">
      <c r="A946" s="28">
        <v>952</v>
      </c>
      <c r="B946" t="s">
        <v>104</v>
      </c>
      <c r="C946" t="s">
        <v>347</v>
      </c>
      <c r="D946">
        <v>60.93</v>
      </c>
      <c r="E946">
        <v>1532.9</v>
      </c>
      <c r="F946">
        <v>10.14</v>
      </c>
      <c r="G946" t="s">
        <v>349</v>
      </c>
      <c r="H946">
        <v>-1.43</v>
      </c>
      <c r="I946">
        <v>-2.19</v>
      </c>
      <c r="J946">
        <v>-179.43</v>
      </c>
      <c r="K946">
        <v>8164.49</v>
      </c>
      <c r="M946">
        <v>1.58</v>
      </c>
      <c r="N946">
        <v>21.23</v>
      </c>
    </row>
    <row r="947" spans="1:14">
      <c r="A947" s="28">
        <v>475</v>
      </c>
      <c r="B947" t="s">
        <v>1039</v>
      </c>
      <c r="C947" t="s">
        <v>348</v>
      </c>
      <c r="D947">
        <v>61.28</v>
      </c>
      <c r="E947">
        <v>1360.12</v>
      </c>
      <c r="F947">
        <v>26.66</v>
      </c>
      <c r="G947">
        <v>8.99</v>
      </c>
      <c r="H947">
        <v>9.4499999999999993</v>
      </c>
      <c r="I947">
        <v>15.27</v>
      </c>
      <c r="J947">
        <v>1037.3399999999999</v>
      </c>
      <c r="K947">
        <v>7300.61</v>
      </c>
      <c r="L947">
        <v>5.98</v>
      </c>
      <c r="M947">
        <v>0.85</v>
      </c>
      <c r="N947">
        <v>4.3499999999999996</v>
      </c>
    </row>
    <row r="948" spans="1:14">
      <c r="A948" s="28">
        <v>616</v>
      </c>
      <c r="B948" t="s">
        <v>1675</v>
      </c>
      <c r="C948" t="s">
        <v>347</v>
      </c>
      <c r="D948">
        <v>61.38</v>
      </c>
      <c r="E948">
        <v>442.83</v>
      </c>
      <c r="F948">
        <v>20</v>
      </c>
      <c r="G948" t="s">
        <v>350</v>
      </c>
      <c r="H948">
        <v>3.5</v>
      </c>
      <c r="I948">
        <v>5.95</v>
      </c>
      <c r="J948">
        <v>152.22</v>
      </c>
      <c r="K948">
        <v>2714.14</v>
      </c>
      <c r="L948">
        <v>16.82</v>
      </c>
      <c r="M948">
        <v>0.94</v>
      </c>
      <c r="N948">
        <v>31.62</v>
      </c>
    </row>
    <row r="949" spans="1:14">
      <c r="A949" s="28">
        <v>583</v>
      </c>
      <c r="B949" t="s">
        <v>636</v>
      </c>
      <c r="C949" t="s">
        <v>348</v>
      </c>
      <c r="D949">
        <v>61.38</v>
      </c>
      <c r="E949">
        <v>391.6</v>
      </c>
      <c r="F949">
        <v>21.66</v>
      </c>
      <c r="G949">
        <v>11.45</v>
      </c>
      <c r="H949">
        <v>7.88</v>
      </c>
      <c r="I949">
        <v>12.91</v>
      </c>
      <c r="J949">
        <v>308.48</v>
      </c>
      <c r="K949">
        <v>2458.0100000000002</v>
      </c>
      <c r="L949">
        <v>18.41</v>
      </c>
      <c r="M949">
        <v>2.31</v>
      </c>
      <c r="N949">
        <v>8.6300000000000008</v>
      </c>
    </row>
    <row r="950" spans="1:14">
      <c r="A950" s="28">
        <v>450</v>
      </c>
      <c r="B950" t="s">
        <v>2561</v>
      </c>
      <c r="C950" t="s">
        <v>348</v>
      </c>
      <c r="D950">
        <v>61.46</v>
      </c>
      <c r="E950">
        <v>249.06</v>
      </c>
      <c r="F950">
        <v>28.28</v>
      </c>
      <c r="G950" t="s">
        <v>350</v>
      </c>
      <c r="H950">
        <v>24.61</v>
      </c>
      <c r="I950">
        <v>59.74</v>
      </c>
      <c r="J950">
        <v>268.86</v>
      </c>
      <c r="K950">
        <v>698.13</v>
      </c>
      <c r="L950">
        <v>4.97</v>
      </c>
      <c r="M950">
        <v>1.91</v>
      </c>
      <c r="N950">
        <v>14.81</v>
      </c>
    </row>
    <row r="951" spans="1:14">
      <c r="A951" s="28">
        <v>133</v>
      </c>
      <c r="B951" t="s">
        <v>1577</v>
      </c>
      <c r="C951" t="s">
        <v>348</v>
      </c>
      <c r="D951">
        <v>61.52</v>
      </c>
      <c r="E951">
        <v>1619.14</v>
      </c>
      <c r="F951">
        <v>80.53</v>
      </c>
      <c r="G951">
        <v>106.05</v>
      </c>
      <c r="H951">
        <v>25.95</v>
      </c>
      <c r="I951">
        <v>56.02</v>
      </c>
      <c r="J951">
        <v>599.05999999999995</v>
      </c>
      <c r="K951">
        <v>1565.84</v>
      </c>
      <c r="N951">
        <v>0</v>
      </c>
    </row>
    <row r="952" spans="1:14">
      <c r="A952" s="28">
        <v>774</v>
      </c>
      <c r="B952" t="s">
        <v>218</v>
      </c>
      <c r="C952" t="s">
        <v>347</v>
      </c>
      <c r="D952">
        <v>61.63</v>
      </c>
      <c r="E952">
        <v>820.47</v>
      </c>
      <c r="F952">
        <v>14.86</v>
      </c>
      <c r="G952">
        <v>-9.9499999999999993</v>
      </c>
      <c r="H952">
        <v>0.45</v>
      </c>
      <c r="I952">
        <v>0.72</v>
      </c>
      <c r="J952">
        <v>308.81</v>
      </c>
      <c r="K952">
        <v>46023.48</v>
      </c>
      <c r="L952">
        <v>28.24</v>
      </c>
      <c r="M952">
        <v>0.19</v>
      </c>
      <c r="N952">
        <v>23.21</v>
      </c>
    </row>
    <row r="953" spans="1:14">
      <c r="A953" s="28">
        <v>589</v>
      </c>
      <c r="B953" t="s">
        <v>1680</v>
      </c>
      <c r="C953" t="s">
        <v>348</v>
      </c>
      <c r="D953">
        <v>61.74</v>
      </c>
      <c r="E953">
        <v>1359.67</v>
      </c>
      <c r="F953">
        <v>21.43</v>
      </c>
      <c r="G953">
        <v>36.21</v>
      </c>
      <c r="H953">
        <v>7.63</v>
      </c>
      <c r="I953">
        <v>12.34</v>
      </c>
      <c r="J953">
        <v>843.3</v>
      </c>
      <c r="K953">
        <v>7565.09</v>
      </c>
      <c r="L953">
        <v>11.25</v>
      </c>
      <c r="M953">
        <v>1.25</v>
      </c>
      <c r="N953">
        <v>7.54</v>
      </c>
    </row>
    <row r="954" spans="1:14">
      <c r="A954" s="28">
        <v>746</v>
      </c>
      <c r="B954" t="s">
        <v>1895</v>
      </c>
      <c r="C954" t="s">
        <v>348</v>
      </c>
      <c r="D954">
        <v>61.95</v>
      </c>
      <c r="E954">
        <v>371.34</v>
      </c>
      <c r="F954">
        <v>15.65</v>
      </c>
      <c r="G954" t="s">
        <v>350</v>
      </c>
      <c r="H954">
        <v>0.33</v>
      </c>
      <c r="I954">
        <v>0.5</v>
      </c>
      <c r="J954">
        <v>10.3</v>
      </c>
      <c r="K954">
        <v>2356.7199999999998</v>
      </c>
      <c r="L954">
        <v>275.64</v>
      </c>
      <c r="M954">
        <v>1.21</v>
      </c>
      <c r="N954">
        <v>16.12</v>
      </c>
    </row>
    <row r="955" spans="1:14">
      <c r="A955" s="28">
        <v>920</v>
      </c>
      <c r="B955" t="s">
        <v>608</v>
      </c>
      <c r="C955" t="s">
        <v>348</v>
      </c>
      <c r="D955">
        <v>62.24</v>
      </c>
      <c r="E955">
        <v>855.34</v>
      </c>
      <c r="F955">
        <v>10.88</v>
      </c>
      <c r="G955">
        <v>22.22</v>
      </c>
      <c r="H955">
        <v>7.28</v>
      </c>
      <c r="I955">
        <v>12.8</v>
      </c>
      <c r="J955">
        <v>572.19000000000005</v>
      </c>
      <c r="K955">
        <v>4899.1899999999996</v>
      </c>
      <c r="L955">
        <v>7.01</v>
      </c>
      <c r="M955">
        <v>0.82</v>
      </c>
      <c r="N955">
        <v>14.27</v>
      </c>
    </row>
    <row r="956" spans="1:14">
      <c r="A956" s="28">
        <v>867</v>
      </c>
      <c r="B956" t="s">
        <v>727</v>
      </c>
      <c r="C956" t="s">
        <v>347</v>
      </c>
      <c r="D956">
        <v>62.27</v>
      </c>
      <c r="E956">
        <v>4111.07</v>
      </c>
      <c r="F956">
        <v>12.03</v>
      </c>
      <c r="G956" t="s">
        <v>2788</v>
      </c>
      <c r="H956">
        <v>-7.77</v>
      </c>
      <c r="I956">
        <v>-11.65</v>
      </c>
      <c r="J956">
        <v>-5202.5200000000004</v>
      </c>
      <c r="K956">
        <v>42110.720000000001</v>
      </c>
      <c r="M956">
        <v>0.49</v>
      </c>
    </row>
    <row r="957" spans="1:14">
      <c r="A957" s="28">
        <v>1067</v>
      </c>
      <c r="B957" t="s">
        <v>974</v>
      </c>
      <c r="C957" t="s">
        <v>347</v>
      </c>
      <c r="D957">
        <v>62.68</v>
      </c>
      <c r="E957">
        <v>1004.2</v>
      </c>
      <c r="F957">
        <v>7.82</v>
      </c>
      <c r="G957">
        <v>34.75</v>
      </c>
      <c r="H957">
        <v>3.94</v>
      </c>
      <c r="I957">
        <v>6.2</v>
      </c>
      <c r="J957">
        <v>610.24</v>
      </c>
      <c r="K957">
        <v>11041.99</v>
      </c>
      <c r="L957">
        <v>12.18</v>
      </c>
      <c r="M957">
        <v>0.67</v>
      </c>
      <c r="N957">
        <v>9.3800000000000008</v>
      </c>
    </row>
    <row r="958" spans="1:14">
      <c r="A958" s="28">
        <v>792</v>
      </c>
      <c r="B958" t="s">
        <v>2714</v>
      </c>
      <c r="C958" t="s">
        <v>348</v>
      </c>
      <c r="D958">
        <v>62.74</v>
      </c>
      <c r="E958">
        <v>818.55</v>
      </c>
      <c r="F958">
        <v>14.4</v>
      </c>
      <c r="G958">
        <v>9.77</v>
      </c>
      <c r="H958">
        <v>6.83</v>
      </c>
      <c r="I958">
        <v>12.33</v>
      </c>
      <c r="J958">
        <v>452.15</v>
      </c>
      <c r="K958">
        <v>4592.75</v>
      </c>
      <c r="L958">
        <v>21.79</v>
      </c>
      <c r="M958">
        <v>2.14</v>
      </c>
      <c r="N958">
        <v>24.95</v>
      </c>
    </row>
    <row r="959" spans="1:14">
      <c r="A959" s="28">
        <v>767</v>
      </c>
      <c r="B959" t="s">
        <v>2460</v>
      </c>
      <c r="C959" t="s">
        <v>348</v>
      </c>
      <c r="D959">
        <v>62.8</v>
      </c>
      <c r="E959">
        <v>1212.48</v>
      </c>
      <c r="F959">
        <v>15.05</v>
      </c>
      <c r="G959">
        <v>242.47</v>
      </c>
      <c r="H959">
        <v>3.8</v>
      </c>
      <c r="I959">
        <v>5.93</v>
      </c>
      <c r="J959">
        <v>377.65</v>
      </c>
      <c r="K959">
        <v>6562.4</v>
      </c>
      <c r="L959">
        <v>10.49</v>
      </c>
      <c r="M959">
        <v>0.6</v>
      </c>
      <c r="N959">
        <v>16.489999999999998</v>
      </c>
    </row>
    <row r="960" spans="1:14">
      <c r="A960" s="28">
        <v>452</v>
      </c>
      <c r="B960" t="s">
        <v>1712</v>
      </c>
      <c r="C960" t="s">
        <v>348</v>
      </c>
      <c r="D960">
        <v>62.82</v>
      </c>
      <c r="E960">
        <v>158.77000000000001</v>
      </c>
      <c r="F960">
        <v>28.21</v>
      </c>
      <c r="G960">
        <v>222.13</v>
      </c>
      <c r="H960">
        <v>18.82</v>
      </c>
      <c r="I960">
        <v>31.81</v>
      </c>
      <c r="J960">
        <v>344.45</v>
      </c>
      <c r="K960">
        <v>1263.17</v>
      </c>
      <c r="L960">
        <v>8.57</v>
      </c>
      <c r="M960">
        <v>2.34</v>
      </c>
      <c r="N960">
        <v>9.52</v>
      </c>
    </row>
    <row r="961" spans="1:14">
      <c r="A961" s="28">
        <v>850</v>
      </c>
      <c r="B961" t="s">
        <v>2843</v>
      </c>
      <c r="C961" t="s">
        <v>348</v>
      </c>
      <c r="D961">
        <v>629.44000000000005</v>
      </c>
      <c r="F961">
        <v>12.61</v>
      </c>
      <c r="G961" t="s">
        <v>2788</v>
      </c>
      <c r="H961">
        <v>-35.590000000000003</v>
      </c>
      <c r="I961">
        <v>-183.13</v>
      </c>
      <c r="J961">
        <v>-491.31</v>
      </c>
      <c r="K961">
        <v>174.58</v>
      </c>
      <c r="M961">
        <v>22.54</v>
      </c>
    </row>
    <row r="962" spans="1:14">
      <c r="A962" s="28">
        <v>718</v>
      </c>
      <c r="B962" t="s">
        <v>1311</v>
      </c>
      <c r="C962" t="s">
        <v>347</v>
      </c>
      <c r="D962">
        <v>63.19</v>
      </c>
      <c r="E962">
        <v>312.01</v>
      </c>
      <c r="F962">
        <v>16.190000000000001</v>
      </c>
      <c r="G962">
        <v>101.67</v>
      </c>
      <c r="H962">
        <v>3.39</v>
      </c>
      <c r="I962">
        <v>5.49</v>
      </c>
      <c r="J962">
        <v>110.02</v>
      </c>
      <c r="K962">
        <v>2060.04</v>
      </c>
      <c r="L962">
        <v>24.22</v>
      </c>
      <c r="M962">
        <v>1.29</v>
      </c>
      <c r="N962">
        <v>16.100000000000001</v>
      </c>
    </row>
    <row r="963" spans="1:14">
      <c r="A963" s="28">
        <v>865</v>
      </c>
      <c r="B963" t="s">
        <v>1131</v>
      </c>
      <c r="C963" t="s">
        <v>347</v>
      </c>
      <c r="D963">
        <v>63.41</v>
      </c>
      <c r="E963">
        <v>722.8</v>
      </c>
      <c r="F963">
        <v>12.11</v>
      </c>
      <c r="G963">
        <v>-24.85</v>
      </c>
      <c r="H963">
        <v>3.35</v>
      </c>
      <c r="I963">
        <v>5.53</v>
      </c>
      <c r="J963">
        <v>259.68</v>
      </c>
      <c r="K963">
        <v>5014.8500000000004</v>
      </c>
      <c r="L963">
        <v>24.26</v>
      </c>
      <c r="M963">
        <v>1.26</v>
      </c>
      <c r="N963">
        <v>16.739999999999998</v>
      </c>
    </row>
    <row r="964" spans="1:14">
      <c r="A964" s="28">
        <v>966</v>
      </c>
      <c r="B964" t="s">
        <v>501</v>
      </c>
      <c r="C964" t="s">
        <v>347</v>
      </c>
      <c r="D964">
        <v>63.59</v>
      </c>
      <c r="E964">
        <v>306.8</v>
      </c>
      <c r="F964">
        <v>9.83</v>
      </c>
      <c r="G964">
        <v>13.6</v>
      </c>
      <c r="H964">
        <v>8.59</v>
      </c>
      <c r="I964">
        <v>14.74</v>
      </c>
      <c r="J964">
        <v>1374.84</v>
      </c>
      <c r="K964">
        <v>10169.92</v>
      </c>
      <c r="L964">
        <v>9.36</v>
      </c>
      <c r="M964">
        <v>1.27</v>
      </c>
      <c r="N964">
        <v>5.0599999999999996</v>
      </c>
    </row>
    <row r="965" spans="1:14">
      <c r="A965" s="28">
        <v>1118</v>
      </c>
      <c r="B965" t="s">
        <v>1699</v>
      </c>
      <c r="C965" t="s">
        <v>348</v>
      </c>
      <c r="D965">
        <v>63.77</v>
      </c>
      <c r="E965">
        <v>137.78</v>
      </c>
      <c r="F965">
        <v>6.48</v>
      </c>
      <c r="G965" t="s">
        <v>350</v>
      </c>
      <c r="H965">
        <v>3.41</v>
      </c>
      <c r="I965">
        <v>6.35</v>
      </c>
      <c r="J965">
        <v>73.37</v>
      </c>
      <c r="K965">
        <v>1188.92</v>
      </c>
      <c r="L965">
        <v>59.9</v>
      </c>
      <c r="M965">
        <v>3.7</v>
      </c>
      <c r="N965">
        <v>40.36</v>
      </c>
    </row>
    <row r="966" spans="1:14">
      <c r="A966" s="28">
        <v>296</v>
      </c>
      <c r="B966" t="s">
        <v>612</v>
      </c>
      <c r="C966" t="s">
        <v>347</v>
      </c>
      <c r="D966">
        <v>64</v>
      </c>
      <c r="E966">
        <v>5390.35</v>
      </c>
      <c r="F966">
        <v>41.45</v>
      </c>
      <c r="G966">
        <v>19.3</v>
      </c>
      <c r="H966">
        <v>4.59</v>
      </c>
      <c r="I966">
        <v>7.99</v>
      </c>
      <c r="J966">
        <v>4961.21</v>
      </c>
      <c r="K966">
        <v>54903.47</v>
      </c>
      <c r="L966">
        <v>9.9499999999999993</v>
      </c>
      <c r="M966">
        <v>0.9</v>
      </c>
      <c r="N966">
        <v>16.2</v>
      </c>
    </row>
    <row r="967" spans="1:14">
      <c r="A967" s="28">
        <v>264</v>
      </c>
      <c r="B967" t="s">
        <v>2696</v>
      </c>
      <c r="C967" t="s">
        <v>348</v>
      </c>
      <c r="D967">
        <v>64.36</v>
      </c>
      <c r="E967">
        <v>1605.22</v>
      </c>
      <c r="F967">
        <v>44.85</v>
      </c>
      <c r="G967">
        <v>-79.91</v>
      </c>
      <c r="H967">
        <v>4.51</v>
      </c>
      <c r="I967">
        <v>8.24</v>
      </c>
      <c r="J967">
        <v>116</v>
      </c>
      <c r="K967">
        <v>1705.22</v>
      </c>
      <c r="L967">
        <v>40.86</v>
      </c>
      <c r="M967">
        <v>2.78</v>
      </c>
      <c r="N967">
        <v>14.41</v>
      </c>
    </row>
    <row r="968" spans="1:14">
      <c r="A968" s="28">
        <v>1057</v>
      </c>
      <c r="B968" t="s">
        <v>594</v>
      </c>
      <c r="C968" t="s">
        <v>347</v>
      </c>
      <c r="D968">
        <v>64.92</v>
      </c>
      <c r="E968">
        <v>465.45</v>
      </c>
      <c r="F968">
        <v>7.96</v>
      </c>
      <c r="G968">
        <v>104.71</v>
      </c>
      <c r="H968">
        <v>9.57</v>
      </c>
      <c r="I968">
        <v>17.03</v>
      </c>
      <c r="J968">
        <v>456.49</v>
      </c>
      <c r="K968">
        <v>2827.23</v>
      </c>
      <c r="L968">
        <v>18.64</v>
      </c>
      <c r="M968">
        <v>3.01</v>
      </c>
      <c r="N968">
        <v>13.36</v>
      </c>
    </row>
    <row r="969" spans="1:14">
      <c r="A969" s="28">
        <v>526</v>
      </c>
      <c r="B969" t="s">
        <v>1663</v>
      </c>
      <c r="C969" t="s">
        <v>347</v>
      </c>
      <c r="D969">
        <v>644.16</v>
      </c>
      <c r="E969">
        <v>481.25</v>
      </c>
      <c r="F969">
        <v>24.47</v>
      </c>
      <c r="G969" t="s">
        <v>2788</v>
      </c>
      <c r="H969">
        <v>-2.41</v>
      </c>
      <c r="I969">
        <v>-15.96</v>
      </c>
      <c r="J969">
        <v>-5061.3900000000003</v>
      </c>
      <c r="K969">
        <v>29062.52</v>
      </c>
      <c r="M969">
        <v>0.65</v>
      </c>
    </row>
    <row r="970" spans="1:14">
      <c r="A970" s="28">
        <v>853</v>
      </c>
      <c r="B970" t="s">
        <v>1578</v>
      </c>
      <c r="C970" t="s">
        <v>348</v>
      </c>
      <c r="D970">
        <v>65.06</v>
      </c>
      <c r="E970">
        <v>135.37</v>
      </c>
      <c r="F970">
        <v>12.53</v>
      </c>
      <c r="G970" t="s">
        <v>2788</v>
      </c>
      <c r="H970">
        <v>-21.68</v>
      </c>
      <c r="I970">
        <v>-30.14</v>
      </c>
      <c r="J970">
        <v>-420.4</v>
      </c>
      <c r="K970">
        <v>1176.8499999999999</v>
      </c>
      <c r="M970">
        <v>5.85</v>
      </c>
    </row>
    <row r="971" spans="1:14">
      <c r="A971" s="28">
        <v>1037</v>
      </c>
      <c r="B971" t="s">
        <v>1030</v>
      </c>
      <c r="C971" t="s">
        <v>347</v>
      </c>
      <c r="D971">
        <v>65.25</v>
      </c>
      <c r="E971">
        <v>2318.87</v>
      </c>
      <c r="F971">
        <v>8.2899999999999991</v>
      </c>
      <c r="G971" t="s">
        <v>350</v>
      </c>
      <c r="H971">
        <v>2</v>
      </c>
      <c r="I971">
        <v>3.46</v>
      </c>
      <c r="J971">
        <v>4018.85</v>
      </c>
      <c r="K971">
        <v>120943.22</v>
      </c>
      <c r="L971">
        <v>16.2</v>
      </c>
      <c r="M971">
        <v>0.54</v>
      </c>
      <c r="N971">
        <v>5.9</v>
      </c>
    </row>
    <row r="972" spans="1:14">
      <c r="A972" s="28">
        <v>795</v>
      </c>
      <c r="B972" t="s">
        <v>2844</v>
      </c>
      <c r="C972" t="s">
        <v>348</v>
      </c>
      <c r="D972">
        <v>65.28</v>
      </c>
      <c r="E972">
        <v>655.52</v>
      </c>
      <c r="F972">
        <v>14.36</v>
      </c>
      <c r="G972">
        <v>-16.43</v>
      </c>
      <c r="H972">
        <v>4.9400000000000004</v>
      </c>
      <c r="I972">
        <v>8.4499999999999993</v>
      </c>
      <c r="J972">
        <v>310.05</v>
      </c>
      <c r="K972">
        <v>3777.61</v>
      </c>
      <c r="L972">
        <v>64.989999999999995</v>
      </c>
      <c r="M972">
        <v>5.33</v>
      </c>
      <c r="N972">
        <v>23.14</v>
      </c>
    </row>
    <row r="973" spans="1:14">
      <c r="A973" s="28">
        <v>625</v>
      </c>
      <c r="B973" t="s">
        <v>2578</v>
      </c>
      <c r="C973" t="s">
        <v>348</v>
      </c>
      <c r="D973">
        <v>65.290000000000006</v>
      </c>
      <c r="E973">
        <v>1058.74</v>
      </c>
      <c r="F973">
        <v>19.690000000000001</v>
      </c>
      <c r="G973" t="s">
        <v>350</v>
      </c>
      <c r="H973">
        <v>1.85</v>
      </c>
      <c r="I973">
        <v>3.17</v>
      </c>
      <c r="J973">
        <v>35.71</v>
      </c>
      <c r="K973">
        <v>1158.74</v>
      </c>
      <c r="L973">
        <v>23.44</v>
      </c>
      <c r="M973">
        <v>0.72</v>
      </c>
      <c r="N973">
        <v>13.83</v>
      </c>
    </row>
    <row r="974" spans="1:14">
      <c r="A974" s="28">
        <v>647</v>
      </c>
      <c r="B974" t="s">
        <v>1911</v>
      </c>
      <c r="C974" t="s">
        <v>348</v>
      </c>
      <c r="D974">
        <v>65.31</v>
      </c>
      <c r="E974">
        <v>1691.43</v>
      </c>
      <c r="F974">
        <v>19.04</v>
      </c>
      <c r="G974">
        <v>-64.48</v>
      </c>
      <c r="H974">
        <v>1.71</v>
      </c>
      <c r="I974">
        <v>2.8</v>
      </c>
      <c r="J974">
        <v>232.09</v>
      </c>
      <c r="K974">
        <v>8957.15</v>
      </c>
      <c r="L974">
        <v>98.45</v>
      </c>
      <c r="M974">
        <v>2.5499999999999998</v>
      </c>
      <c r="N974">
        <v>29.68</v>
      </c>
    </row>
    <row r="975" spans="1:14">
      <c r="A975" s="28">
        <v>944</v>
      </c>
      <c r="B975" t="s">
        <v>1796</v>
      </c>
      <c r="C975" t="s">
        <v>348</v>
      </c>
      <c r="D975">
        <v>65.319999999999993</v>
      </c>
      <c r="E975">
        <v>1028.44</v>
      </c>
      <c r="F975">
        <v>10.29</v>
      </c>
      <c r="G975" t="s">
        <v>2788</v>
      </c>
      <c r="H975">
        <v>-3.41</v>
      </c>
      <c r="I975">
        <v>-5.5</v>
      </c>
      <c r="J975">
        <v>-56.21</v>
      </c>
      <c r="K975">
        <v>1025.8499999999999</v>
      </c>
      <c r="M975">
        <v>6.2</v>
      </c>
      <c r="N975">
        <v>142.65</v>
      </c>
    </row>
    <row r="976" spans="1:14">
      <c r="A976" s="28">
        <v>798</v>
      </c>
      <c r="B976" t="s">
        <v>733</v>
      </c>
      <c r="C976" t="s">
        <v>348</v>
      </c>
      <c r="D976">
        <v>65.42</v>
      </c>
      <c r="E976">
        <v>3400.41</v>
      </c>
      <c r="F976">
        <v>14.21</v>
      </c>
      <c r="G976">
        <v>61.04</v>
      </c>
      <c r="H976">
        <v>2.31</v>
      </c>
      <c r="I976">
        <v>3.83</v>
      </c>
      <c r="J976">
        <v>599.27</v>
      </c>
      <c r="K976">
        <v>17502.03</v>
      </c>
      <c r="L976">
        <v>18.86</v>
      </c>
      <c r="M976">
        <v>0.65</v>
      </c>
      <c r="N976">
        <v>45.55</v>
      </c>
    </row>
    <row r="977" spans="1:14">
      <c r="A977" s="28">
        <v>417</v>
      </c>
      <c r="B977" t="s">
        <v>2411</v>
      </c>
      <c r="C977" t="s">
        <v>348</v>
      </c>
      <c r="D977">
        <v>65.540000000000006</v>
      </c>
      <c r="E977">
        <v>465.01</v>
      </c>
      <c r="F977">
        <v>30.47</v>
      </c>
      <c r="G977" t="s">
        <v>2788</v>
      </c>
      <c r="H977">
        <v>-7.02</v>
      </c>
      <c r="I977">
        <v>-12.83</v>
      </c>
      <c r="J977">
        <v>-128.81</v>
      </c>
      <c r="K977">
        <v>1130.02</v>
      </c>
      <c r="M977">
        <v>1.49</v>
      </c>
      <c r="N977">
        <v>30.41</v>
      </c>
    </row>
    <row r="978" spans="1:14">
      <c r="A978" s="28">
        <v>116</v>
      </c>
      <c r="B978" t="s">
        <v>2344</v>
      </c>
      <c r="C978" t="s">
        <v>348</v>
      </c>
      <c r="D978">
        <v>65.62</v>
      </c>
      <c r="E978">
        <v>2151.5</v>
      </c>
      <c r="F978">
        <v>92.21</v>
      </c>
      <c r="G978">
        <v>237.99</v>
      </c>
      <c r="H978">
        <v>17.690000000000001</v>
      </c>
      <c r="I978">
        <v>32.590000000000003</v>
      </c>
      <c r="J978">
        <v>3019.88</v>
      </c>
      <c r="K978">
        <v>11257.49</v>
      </c>
      <c r="L978">
        <v>12.25</v>
      </c>
      <c r="M978">
        <v>3.29</v>
      </c>
      <c r="N978">
        <v>7.91</v>
      </c>
    </row>
    <row r="979" spans="1:14">
      <c r="A979" s="28">
        <v>846</v>
      </c>
      <c r="B979" t="s">
        <v>1187</v>
      </c>
      <c r="C979" t="s">
        <v>347</v>
      </c>
      <c r="D979">
        <v>65.83</v>
      </c>
      <c r="E979">
        <v>1545.53</v>
      </c>
      <c r="F979">
        <v>12.75</v>
      </c>
      <c r="G979">
        <v>-17.68</v>
      </c>
      <c r="H979">
        <v>4.67</v>
      </c>
      <c r="I979">
        <v>7.88</v>
      </c>
      <c r="J979">
        <v>599.20000000000005</v>
      </c>
      <c r="K979">
        <v>8227.6299999999992</v>
      </c>
      <c r="L979">
        <v>19.84</v>
      </c>
      <c r="M979">
        <v>1.45</v>
      </c>
      <c r="N979">
        <v>9.2100000000000009</v>
      </c>
    </row>
    <row r="980" spans="1:14">
      <c r="A980" s="28">
        <v>670</v>
      </c>
      <c r="B980" t="s">
        <v>103</v>
      </c>
      <c r="C980" t="s">
        <v>347</v>
      </c>
      <c r="D980">
        <v>652.17999999999995</v>
      </c>
      <c r="E980">
        <v>299.49</v>
      </c>
      <c r="F980">
        <v>18.03</v>
      </c>
      <c r="G980">
        <v>26.11</v>
      </c>
      <c r="H980">
        <v>0.84</v>
      </c>
      <c r="I980">
        <v>6.23</v>
      </c>
      <c r="J980">
        <v>1240.95</v>
      </c>
      <c r="K980">
        <v>20314.89</v>
      </c>
      <c r="L980">
        <v>8.32</v>
      </c>
      <c r="M980">
        <v>0.51</v>
      </c>
    </row>
    <row r="981" spans="1:14">
      <c r="A981" s="28">
        <v>747</v>
      </c>
      <c r="B981" t="s">
        <v>291</v>
      </c>
      <c r="C981" t="s">
        <v>348</v>
      </c>
      <c r="D981">
        <v>659.52</v>
      </c>
      <c r="E981">
        <v>190.45</v>
      </c>
      <c r="F981">
        <v>15.63</v>
      </c>
      <c r="G981">
        <v>22.5</v>
      </c>
      <c r="H981">
        <v>1.92</v>
      </c>
      <c r="I981">
        <v>15.12</v>
      </c>
      <c r="J981">
        <v>206.25</v>
      </c>
      <c r="K981">
        <v>1452.23</v>
      </c>
      <c r="L981">
        <v>3.62</v>
      </c>
      <c r="M981">
        <v>0.51</v>
      </c>
    </row>
    <row r="982" spans="1:14">
      <c r="A982" s="28">
        <v>15</v>
      </c>
      <c r="B982" t="s">
        <v>1409</v>
      </c>
      <c r="C982" t="s">
        <v>347</v>
      </c>
      <c r="D982">
        <v>66.05</v>
      </c>
      <c r="E982">
        <v>2406.23</v>
      </c>
      <c r="F982">
        <v>639.20000000000005</v>
      </c>
      <c r="G982">
        <v>-49.33</v>
      </c>
      <c r="H982">
        <v>4.3099999999999996</v>
      </c>
      <c r="I982">
        <v>6.72</v>
      </c>
      <c r="J982">
        <v>831.04</v>
      </c>
      <c r="K982">
        <v>14035.43</v>
      </c>
      <c r="L982">
        <v>51.38</v>
      </c>
      <c r="M982">
        <v>3.04</v>
      </c>
    </row>
    <row r="983" spans="1:14">
      <c r="A983" s="28">
        <v>653</v>
      </c>
      <c r="B983" t="s">
        <v>1940</v>
      </c>
      <c r="C983" t="s">
        <v>348</v>
      </c>
      <c r="D983">
        <v>66.11</v>
      </c>
      <c r="E983">
        <v>18.7</v>
      </c>
      <c r="F983">
        <v>18.809999999999999</v>
      </c>
      <c r="G983" t="s">
        <v>2788</v>
      </c>
      <c r="H983">
        <v>-18.059999999999999</v>
      </c>
      <c r="I983">
        <v>-29.08</v>
      </c>
      <c r="J983">
        <v>-186.46</v>
      </c>
      <c r="K983">
        <v>593.52</v>
      </c>
      <c r="M983">
        <v>5.53</v>
      </c>
    </row>
    <row r="984" spans="1:14">
      <c r="A984" s="28">
        <v>55</v>
      </c>
      <c r="B984" t="s">
        <v>1879</v>
      </c>
      <c r="C984" t="s">
        <v>348</v>
      </c>
      <c r="D984">
        <v>66.69</v>
      </c>
      <c r="E984">
        <v>504.29</v>
      </c>
      <c r="F984">
        <v>187.32</v>
      </c>
      <c r="G984" t="s">
        <v>2788</v>
      </c>
      <c r="H984">
        <v>-18.47</v>
      </c>
      <c r="I984">
        <v>-26.32</v>
      </c>
      <c r="J984">
        <v>-836.4</v>
      </c>
      <c r="K984">
        <v>3021.45</v>
      </c>
      <c r="M984">
        <v>3.85</v>
      </c>
    </row>
    <row r="985" spans="1:14">
      <c r="A985" s="28">
        <v>563</v>
      </c>
      <c r="B985" t="s">
        <v>899</v>
      </c>
      <c r="C985" t="s">
        <v>347</v>
      </c>
      <c r="D985">
        <v>67.33</v>
      </c>
      <c r="E985">
        <v>208.95</v>
      </c>
      <c r="F985">
        <v>22.56</v>
      </c>
      <c r="G985">
        <v>34.4</v>
      </c>
      <c r="H985">
        <v>5.5</v>
      </c>
      <c r="I985">
        <v>8.93</v>
      </c>
      <c r="J985">
        <v>276.38</v>
      </c>
      <c r="K985">
        <v>3192.33</v>
      </c>
      <c r="L985">
        <v>14.87</v>
      </c>
      <c r="M985">
        <v>1.29</v>
      </c>
      <c r="N985">
        <v>16.010000000000002</v>
      </c>
    </row>
    <row r="986" spans="1:14">
      <c r="A986" s="28">
        <v>937</v>
      </c>
      <c r="B986" t="s">
        <v>2186</v>
      </c>
      <c r="C986" t="s">
        <v>348</v>
      </c>
      <c r="D986">
        <v>67.41</v>
      </c>
      <c r="F986">
        <v>10.4</v>
      </c>
      <c r="G986" t="s">
        <v>2788</v>
      </c>
      <c r="H986">
        <v>-11.32</v>
      </c>
      <c r="I986">
        <v>-18.05</v>
      </c>
      <c r="J986">
        <v>-1237.01</v>
      </c>
      <c r="K986">
        <v>6251.03</v>
      </c>
      <c r="M986">
        <v>1.57</v>
      </c>
    </row>
    <row r="987" spans="1:14">
      <c r="A987" s="28">
        <v>510</v>
      </c>
      <c r="B987" t="s">
        <v>802</v>
      </c>
      <c r="C987" t="s">
        <v>348</v>
      </c>
      <c r="D987">
        <v>67.48</v>
      </c>
      <c r="E987">
        <v>667</v>
      </c>
      <c r="F987">
        <v>25.34</v>
      </c>
      <c r="G987">
        <v>-29.09</v>
      </c>
      <c r="H987">
        <v>4.07</v>
      </c>
      <c r="I987">
        <v>6.54</v>
      </c>
      <c r="J987">
        <v>232.35</v>
      </c>
      <c r="K987">
        <v>3835</v>
      </c>
      <c r="L987">
        <v>26.43</v>
      </c>
      <c r="M987">
        <v>1.6</v>
      </c>
      <c r="N987">
        <v>7.62</v>
      </c>
    </row>
    <row r="988" spans="1:14">
      <c r="A988" s="28">
        <v>497</v>
      </c>
      <c r="B988" t="s">
        <v>2502</v>
      </c>
      <c r="C988" t="s">
        <v>348</v>
      </c>
      <c r="D988">
        <v>67.84</v>
      </c>
      <c r="E988">
        <v>345.08</v>
      </c>
      <c r="F988">
        <v>25.64</v>
      </c>
      <c r="G988" t="s">
        <v>350</v>
      </c>
      <c r="H988">
        <v>1.48</v>
      </c>
      <c r="I988">
        <v>2.57</v>
      </c>
      <c r="J988">
        <v>53.25</v>
      </c>
      <c r="K988">
        <v>2225.41</v>
      </c>
      <c r="L988">
        <v>59.43</v>
      </c>
      <c r="M988">
        <v>1.42</v>
      </c>
      <c r="N988">
        <v>10.92</v>
      </c>
    </row>
    <row r="989" spans="1:14">
      <c r="A989" s="28">
        <v>185</v>
      </c>
      <c r="B989" t="s">
        <v>2606</v>
      </c>
      <c r="C989" t="s">
        <v>347</v>
      </c>
      <c r="D989">
        <v>67.87</v>
      </c>
      <c r="E989">
        <v>55.91</v>
      </c>
      <c r="F989">
        <v>59.76</v>
      </c>
      <c r="G989" t="s">
        <v>2788</v>
      </c>
      <c r="H989">
        <v>-29.82</v>
      </c>
      <c r="I989">
        <v>-50.62</v>
      </c>
      <c r="J989">
        <v>-2013.45</v>
      </c>
      <c r="K989">
        <v>3897.77</v>
      </c>
      <c r="M989">
        <v>0.72</v>
      </c>
      <c r="N989">
        <v>26.56</v>
      </c>
    </row>
    <row r="990" spans="1:14">
      <c r="A990" s="28">
        <v>278</v>
      </c>
      <c r="B990" t="s">
        <v>1495</v>
      </c>
      <c r="C990" t="s">
        <v>348</v>
      </c>
      <c r="D990">
        <v>67.88</v>
      </c>
      <c r="E990">
        <v>414.88</v>
      </c>
      <c r="F990">
        <v>43.26</v>
      </c>
      <c r="G990">
        <v>146.97999999999999</v>
      </c>
      <c r="H990">
        <v>11.22</v>
      </c>
      <c r="I990">
        <v>20.41</v>
      </c>
      <c r="J990">
        <v>455.7</v>
      </c>
      <c r="K990">
        <v>2574.4</v>
      </c>
      <c r="L990">
        <v>13.82</v>
      </c>
      <c r="M990">
        <v>2.4500000000000002</v>
      </c>
      <c r="N990">
        <v>11.79</v>
      </c>
    </row>
    <row r="991" spans="1:14">
      <c r="A991" s="28">
        <v>348</v>
      </c>
      <c r="B991" t="s">
        <v>292</v>
      </c>
      <c r="C991" t="s">
        <v>348</v>
      </c>
      <c r="D991">
        <v>67.91</v>
      </c>
      <c r="E991">
        <v>5036.1099999999997</v>
      </c>
      <c r="F991">
        <v>35.82</v>
      </c>
      <c r="G991">
        <v>37.479999999999997</v>
      </c>
      <c r="H991">
        <v>27.34</v>
      </c>
      <c r="I991">
        <v>53.87</v>
      </c>
      <c r="J991">
        <v>2164.33</v>
      </c>
      <c r="K991">
        <v>5136.1099999999997</v>
      </c>
      <c r="L991">
        <v>2.0299999999999998</v>
      </c>
      <c r="M991">
        <v>0.85</v>
      </c>
      <c r="N991">
        <v>1.58</v>
      </c>
    </row>
    <row r="992" spans="1:14">
      <c r="A992" s="28">
        <v>626</v>
      </c>
      <c r="B992" t="s">
        <v>318</v>
      </c>
      <c r="C992" t="s">
        <v>348</v>
      </c>
      <c r="D992">
        <v>68.06</v>
      </c>
      <c r="E992">
        <v>6092.36</v>
      </c>
      <c r="F992">
        <v>19.64</v>
      </c>
      <c r="G992">
        <v>-51.83</v>
      </c>
      <c r="H992">
        <v>2.42</v>
      </c>
      <c r="I992">
        <v>3.59</v>
      </c>
      <c r="J992">
        <v>1016.55</v>
      </c>
      <c r="K992">
        <v>30961.79</v>
      </c>
      <c r="L992">
        <v>29.91</v>
      </c>
      <c r="M992">
        <v>0.98</v>
      </c>
      <c r="N992">
        <v>17.399999999999999</v>
      </c>
    </row>
    <row r="993" spans="1:14">
      <c r="A993" s="28">
        <v>329</v>
      </c>
      <c r="B993" t="s">
        <v>2543</v>
      </c>
      <c r="C993" t="s">
        <v>348</v>
      </c>
      <c r="D993">
        <v>68.069999999999993</v>
      </c>
      <c r="E993">
        <v>82.14</v>
      </c>
      <c r="F993">
        <v>37.86</v>
      </c>
      <c r="G993" t="s">
        <v>349</v>
      </c>
      <c r="H993">
        <v>-1.47</v>
      </c>
      <c r="I993">
        <v>-2.88</v>
      </c>
      <c r="J993">
        <v>-25.69</v>
      </c>
      <c r="K993">
        <v>910.7</v>
      </c>
      <c r="N993">
        <v>0</v>
      </c>
    </row>
    <row r="994" spans="1:14">
      <c r="A994" s="28">
        <v>888</v>
      </c>
      <c r="B994" t="s">
        <v>699</v>
      </c>
      <c r="C994" t="s">
        <v>347</v>
      </c>
      <c r="D994">
        <v>68.09</v>
      </c>
      <c r="E994">
        <v>1346.92</v>
      </c>
      <c r="F994">
        <v>11.44</v>
      </c>
      <c r="G994" t="s">
        <v>349</v>
      </c>
      <c r="H994">
        <v>-4.7699999999999996</v>
      </c>
      <c r="I994">
        <v>-7.88</v>
      </c>
      <c r="J994">
        <v>-595.29</v>
      </c>
      <c r="K994">
        <v>7234.58</v>
      </c>
      <c r="M994">
        <v>0.65</v>
      </c>
      <c r="N994">
        <v>27.85</v>
      </c>
    </row>
    <row r="995" spans="1:14">
      <c r="A995" s="28">
        <v>522</v>
      </c>
      <c r="B995" t="s">
        <v>2535</v>
      </c>
      <c r="C995" t="s">
        <v>348</v>
      </c>
      <c r="D995">
        <v>68.13</v>
      </c>
      <c r="E995">
        <v>392.44</v>
      </c>
      <c r="F995">
        <v>24.55</v>
      </c>
      <c r="G995" t="s">
        <v>350</v>
      </c>
      <c r="H995">
        <v>15.02</v>
      </c>
      <c r="I995">
        <v>26.65</v>
      </c>
      <c r="J995">
        <v>502.21</v>
      </c>
      <c r="K995">
        <v>2462.21</v>
      </c>
      <c r="L995">
        <v>5.68</v>
      </c>
      <c r="M995">
        <v>1.1599999999999999</v>
      </c>
      <c r="N995">
        <v>17.77</v>
      </c>
    </row>
    <row r="996" spans="1:14">
      <c r="A996" s="28">
        <v>799</v>
      </c>
      <c r="B996" t="s">
        <v>1909</v>
      </c>
      <c r="C996" t="s">
        <v>348</v>
      </c>
      <c r="D996">
        <v>68.58</v>
      </c>
      <c r="E996">
        <v>2813.96</v>
      </c>
      <c r="F996">
        <v>14.16</v>
      </c>
      <c r="G996" t="s">
        <v>350</v>
      </c>
      <c r="H996">
        <v>0.57999999999999996</v>
      </c>
      <c r="I996">
        <v>0.99</v>
      </c>
      <c r="J996">
        <v>109.54</v>
      </c>
      <c r="K996">
        <v>14569.81</v>
      </c>
      <c r="L996">
        <v>204.5</v>
      </c>
      <c r="M996">
        <v>1.54</v>
      </c>
      <c r="N996">
        <v>9.8800000000000008</v>
      </c>
    </row>
    <row r="997" spans="1:14">
      <c r="A997" s="28">
        <v>154</v>
      </c>
      <c r="B997" t="s">
        <v>2207</v>
      </c>
      <c r="C997" t="s">
        <v>348</v>
      </c>
      <c r="D997">
        <v>68.67</v>
      </c>
      <c r="E997">
        <v>391.96</v>
      </c>
      <c r="F997">
        <v>68.73</v>
      </c>
      <c r="G997" t="s">
        <v>2788</v>
      </c>
      <c r="H997">
        <v>-17.03</v>
      </c>
      <c r="I997">
        <v>-23.14</v>
      </c>
      <c r="J997">
        <v>-570.5</v>
      </c>
      <c r="K997">
        <v>2361.7800000000002</v>
      </c>
      <c r="M997">
        <v>4.49</v>
      </c>
    </row>
    <row r="998" spans="1:14">
      <c r="A998" s="28">
        <v>933</v>
      </c>
      <c r="B998" t="s">
        <v>2006</v>
      </c>
      <c r="C998" t="s">
        <v>348</v>
      </c>
      <c r="D998">
        <v>68.819999999999993</v>
      </c>
      <c r="E998">
        <v>559.5</v>
      </c>
      <c r="F998">
        <v>10.48</v>
      </c>
      <c r="G998">
        <v>-66.86</v>
      </c>
      <c r="H998">
        <v>2.09</v>
      </c>
      <c r="I998">
        <v>3.57</v>
      </c>
      <c r="J998">
        <v>97.68</v>
      </c>
      <c r="K998">
        <v>3297.52</v>
      </c>
      <c r="L998">
        <v>53.75</v>
      </c>
      <c r="M998">
        <v>1.59</v>
      </c>
      <c r="N998">
        <v>9.6</v>
      </c>
    </row>
    <row r="999" spans="1:14">
      <c r="A999" s="28">
        <v>462</v>
      </c>
      <c r="B999" t="s">
        <v>123</v>
      </c>
      <c r="C999" t="s">
        <v>347</v>
      </c>
      <c r="D999">
        <v>68.849999999999994</v>
      </c>
      <c r="E999">
        <v>998.03</v>
      </c>
      <c r="F999">
        <v>27.65</v>
      </c>
      <c r="G999">
        <v>47.12</v>
      </c>
      <c r="H999">
        <v>5.75</v>
      </c>
      <c r="I999">
        <v>9.73</v>
      </c>
      <c r="J999">
        <v>504.56</v>
      </c>
      <c r="K999">
        <v>5490.13</v>
      </c>
      <c r="L999">
        <v>7.19</v>
      </c>
      <c r="M999">
        <v>0.66</v>
      </c>
      <c r="N999">
        <v>6.83</v>
      </c>
    </row>
    <row r="1000" spans="1:14">
      <c r="A1000" s="28">
        <v>712</v>
      </c>
      <c r="B1000" t="s">
        <v>2077</v>
      </c>
      <c r="C1000" t="s">
        <v>348</v>
      </c>
      <c r="D1000">
        <v>68.89</v>
      </c>
      <c r="E1000">
        <v>398.41</v>
      </c>
      <c r="F1000">
        <v>16.32</v>
      </c>
      <c r="G1000" t="s">
        <v>2788</v>
      </c>
      <c r="H1000">
        <v>-40.21</v>
      </c>
      <c r="I1000">
        <v>-64.87</v>
      </c>
      <c r="J1000">
        <v>-1601.03</v>
      </c>
      <c r="K1000">
        <v>2492.0700000000002</v>
      </c>
      <c r="M1000">
        <v>1.35</v>
      </c>
    </row>
    <row r="1001" spans="1:14">
      <c r="A1001" s="28">
        <v>129</v>
      </c>
      <c r="B1001" t="s">
        <v>2318</v>
      </c>
      <c r="C1001" t="s">
        <v>348</v>
      </c>
      <c r="D1001">
        <v>68.97</v>
      </c>
      <c r="E1001">
        <v>1338.03</v>
      </c>
      <c r="F1001">
        <v>81.47</v>
      </c>
      <c r="G1001" t="s">
        <v>350</v>
      </c>
      <c r="H1001">
        <v>0.4</v>
      </c>
      <c r="I1001">
        <v>0.67</v>
      </c>
      <c r="J1001">
        <v>47.94</v>
      </c>
      <c r="K1001">
        <v>7190.16</v>
      </c>
      <c r="L1001">
        <v>394.24</v>
      </c>
      <c r="M1001">
        <v>2.63</v>
      </c>
      <c r="N1001">
        <v>93.71</v>
      </c>
    </row>
    <row r="1002" spans="1:14">
      <c r="A1002" s="28">
        <v>911</v>
      </c>
      <c r="B1002" t="s">
        <v>2263</v>
      </c>
      <c r="C1002" t="s">
        <v>347</v>
      </c>
      <c r="D1002">
        <v>69.14</v>
      </c>
      <c r="E1002">
        <v>162.06</v>
      </c>
      <c r="F1002">
        <v>11.02</v>
      </c>
      <c r="G1002">
        <v>647.77</v>
      </c>
      <c r="H1002">
        <v>2.11</v>
      </c>
      <c r="I1002">
        <v>3.84</v>
      </c>
      <c r="J1002">
        <v>442.7</v>
      </c>
      <c r="K1002">
        <v>13103.01</v>
      </c>
      <c r="L1002">
        <v>8.6999999999999993</v>
      </c>
      <c r="M1002">
        <v>0.28999999999999998</v>
      </c>
      <c r="N1002">
        <v>18.010000000000002</v>
      </c>
    </row>
    <row r="1003" spans="1:14">
      <c r="A1003" s="28">
        <v>779</v>
      </c>
      <c r="B1003" t="s">
        <v>227</v>
      </c>
      <c r="C1003" t="s">
        <v>347</v>
      </c>
      <c r="D1003">
        <v>69.180000000000007</v>
      </c>
      <c r="E1003">
        <v>480.52</v>
      </c>
      <c r="F1003">
        <v>14.65</v>
      </c>
      <c r="G1003">
        <v>-25.93</v>
      </c>
      <c r="H1003">
        <v>6.38</v>
      </c>
      <c r="I1003">
        <v>10.8</v>
      </c>
      <c r="J1003">
        <v>292.18</v>
      </c>
      <c r="K1003">
        <v>2902.6</v>
      </c>
      <c r="L1003">
        <v>15.83</v>
      </c>
      <c r="M1003">
        <v>1.59</v>
      </c>
      <c r="N1003">
        <v>16.399999999999999</v>
      </c>
    </row>
    <row r="1004" spans="1:14">
      <c r="A1004" s="28">
        <v>538</v>
      </c>
      <c r="B1004" t="s">
        <v>976</v>
      </c>
      <c r="C1004" t="s">
        <v>348</v>
      </c>
      <c r="D1004">
        <v>69.19</v>
      </c>
      <c r="E1004">
        <v>1653.83</v>
      </c>
      <c r="F1004">
        <v>24.08</v>
      </c>
      <c r="G1004">
        <v>48.95</v>
      </c>
      <c r="H1004">
        <v>12.25</v>
      </c>
      <c r="I1004">
        <v>21.04</v>
      </c>
      <c r="J1004">
        <v>1508.51</v>
      </c>
      <c r="K1004">
        <v>8769.1299999999992</v>
      </c>
      <c r="L1004">
        <v>6.79</v>
      </c>
      <c r="M1004">
        <v>1.17</v>
      </c>
      <c r="N1004">
        <v>6.21</v>
      </c>
    </row>
    <row r="1005" spans="1:14">
      <c r="A1005" s="28">
        <v>695</v>
      </c>
      <c r="B1005" t="s">
        <v>1316</v>
      </c>
      <c r="C1005" t="s">
        <v>348</v>
      </c>
      <c r="D1005">
        <v>69.58</v>
      </c>
      <c r="E1005">
        <v>3503.1</v>
      </c>
      <c r="F1005">
        <v>16.93</v>
      </c>
      <c r="G1005">
        <v>-48.15</v>
      </c>
      <c r="H1005">
        <v>6.86</v>
      </c>
      <c r="I1005">
        <v>11.59</v>
      </c>
      <c r="J1005">
        <v>386.61</v>
      </c>
      <c r="K1005">
        <v>3603.1</v>
      </c>
      <c r="L1005">
        <v>11.03</v>
      </c>
      <c r="M1005">
        <v>1.18</v>
      </c>
      <c r="N1005">
        <v>9.09</v>
      </c>
    </row>
    <row r="1006" spans="1:14">
      <c r="A1006" s="28">
        <v>165</v>
      </c>
      <c r="B1006" t="s">
        <v>1277</v>
      </c>
      <c r="C1006" t="s">
        <v>348</v>
      </c>
      <c r="D1006">
        <v>69.59</v>
      </c>
      <c r="E1006">
        <v>360.22</v>
      </c>
      <c r="F1006">
        <v>65.650000000000006</v>
      </c>
      <c r="G1006">
        <v>409.84</v>
      </c>
      <c r="H1006">
        <v>10.17</v>
      </c>
      <c r="I1006">
        <v>17.739999999999998</v>
      </c>
      <c r="J1006">
        <v>374.12</v>
      </c>
      <c r="K1006">
        <v>2301.08</v>
      </c>
      <c r="L1006">
        <v>30.2</v>
      </c>
      <c r="M1006">
        <v>4.91</v>
      </c>
      <c r="N1006">
        <v>24.44</v>
      </c>
    </row>
    <row r="1007" spans="1:14">
      <c r="A1007" s="28">
        <v>1117</v>
      </c>
      <c r="B1007" t="s">
        <v>469</v>
      </c>
      <c r="C1007" t="s">
        <v>347</v>
      </c>
      <c r="D1007">
        <v>69.69</v>
      </c>
      <c r="E1007">
        <v>608.48</v>
      </c>
      <c r="F1007">
        <v>6.5</v>
      </c>
      <c r="G1007">
        <v>-84.19</v>
      </c>
      <c r="H1007">
        <v>1.03</v>
      </c>
      <c r="I1007">
        <v>1.72</v>
      </c>
      <c r="J1007">
        <v>59.81</v>
      </c>
      <c r="K1007">
        <v>3600.51</v>
      </c>
      <c r="L1007">
        <v>40.130000000000003</v>
      </c>
      <c r="M1007">
        <v>0.67</v>
      </c>
      <c r="N1007">
        <v>3.2</v>
      </c>
    </row>
    <row r="1008" spans="1:14">
      <c r="A1008" s="28">
        <v>196</v>
      </c>
      <c r="B1008" t="s">
        <v>2083</v>
      </c>
      <c r="C1008" t="s">
        <v>348</v>
      </c>
      <c r="D1008">
        <v>69.94</v>
      </c>
      <c r="E1008">
        <v>905.38</v>
      </c>
      <c r="F1008">
        <v>57.32</v>
      </c>
      <c r="G1008" t="s">
        <v>350</v>
      </c>
      <c r="H1008">
        <v>11.89</v>
      </c>
      <c r="I1008">
        <v>19.47</v>
      </c>
      <c r="J1008">
        <v>762.55</v>
      </c>
      <c r="K1008">
        <v>4295.3999999999996</v>
      </c>
      <c r="L1008">
        <v>10.1</v>
      </c>
      <c r="M1008">
        <v>1.79</v>
      </c>
      <c r="N1008">
        <v>6.03</v>
      </c>
    </row>
    <row r="1009" spans="1:14">
      <c r="A1009" s="28">
        <v>29</v>
      </c>
      <c r="B1009" t="s">
        <v>1768</v>
      </c>
      <c r="C1009" t="s">
        <v>348</v>
      </c>
      <c r="D1009">
        <v>7.07</v>
      </c>
      <c r="E1009">
        <v>1008.74</v>
      </c>
      <c r="F1009">
        <v>333.26</v>
      </c>
      <c r="G1009" t="s">
        <v>2788</v>
      </c>
      <c r="H1009">
        <v>-47.47</v>
      </c>
      <c r="I1009">
        <v>-51</v>
      </c>
      <c r="J1009">
        <v>-3087.85</v>
      </c>
      <c r="K1009">
        <v>5543.68</v>
      </c>
      <c r="M1009">
        <v>3.15</v>
      </c>
    </row>
    <row r="1010" spans="1:14">
      <c r="A1010" s="28">
        <v>258</v>
      </c>
      <c r="B1010" t="s">
        <v>1941</v>
      </c>
      <c r="C1010" t="s">
        <v>348</v>
      </c>
      <c r="D1010">
        <v>7.3</v>
      </c>
      <c r="E1010">
        <v>1112.27</v>
      </c>
      <c r="F1010">
        <v>45.49</v>
      </c>
      <c r="G1010">
        <v>216.36</v>
      </c>
      <c r="H1010">
        <v>1.55</v>
      </c>
      <c r="I1010">
        <v>1.74</v>
      </c>
      <c r="J1010">
        <v>99.65</v>
      </c>
      <c r="K1010">
        <v>6061.33</v>
      </c>
      <c r="L1010">
        <v>51.68</v>
      </c>
      <c r="M1010">
        <v>0.85</v>
      </c>
      <c r="N1010">
        <v>44.72</v>
      </c>
    </row>
    <row r="1011" spans="1:14">
      <c r="A1011" s="28">
        <v>930</v>
      </c>
      <c r="B1011" t="s">
        <v>1485</v>
      </c>
      <c r="C1011" t="s">
        <v>348</v>
      </c>
      <c r="D1011">
        <v>7.33</v>
      </c>
      <c r="E1011">
        <v>1232.19</v>
      </c>
      <c r="F1011">
        <v>10.52</v>
      </c>
      <c r="G1011">
        <v>-17.09</v>
      </c>
      <c r="H1011">
        <v>11.1</v>
      </c>
      <c r="I1011">
        <v>12.26</v>
      </c>
      <c r="J1011">
        <v>119.4</v>
      </c>
      <c r="K1011">
        <v>1332.19</v>
      </c>
      <c r="L1011">
        <v>22.95</v>
      </c>
      <c r="M1011">
        <v>2.06</v>
      </c>
      <c r="N1011">
        <v>22.63</v>
      </c>
    </row>
    <row r="1012" spans="1:14">
      <c r="A1012" s="28">
        <v>68</v>
      </c>
      <c r="B1012" t="s">
        <v>186</v>
      </c>
      <c r="C1012" t="s">
        <v>347</v>
      </c>
      <c r="D1012">
        <v>7.44</v>
      </c>
      <c r="E1012">
        <v>531.17999999999995</v>
      </c>
      <c r="F1012">
        <v>152.16999999999999</v>
      </c>
      <c r="G1012">
        <v>18.52</v>
      </c>
      <c r="H1012">
        <v>5.6</v>
      </c>
      <c r="I1012">
        <v>6.07</v>
      </c>
      <c r="J1012">
        <v>1926.13</v>
      </c>
      <c r="K1012">
        <v>31919.200000000001</v>
      </c>
      <c r="L1012">
        <v>6.75</v>
      </c>
      <c r="M1012">
        <v>0.41</v>
      </c>
    </row>
    <row r="1013" spans="1:14">
      <c r="A1013" s="28">
        <v>890</v>
      </c>
      <c r="B1013" t="s">
        <v>465</v>
      </c>
      <c r="C1013" t="s">
        <v>347</v>
      </c>
      <c r="D1013">
        <v>7.44</v>
      </c>
      <c r="E1013">
        <v>1545.35</v>
      </c>
      <c r="F1013">
        <v>11.37</v>
      </c>
      <c r="G1013" t="s">
        <v>349</v>
      </c>
      <c r="H1013">
        <v>-2.77</v>
      </c>
      <c r="I1013">
        <v>-2.97</v>
      </c>
      <c r="J1013">
        <v>-250.38</v>
      </c>
      <c r="K1013">
        <v>8226.77</v>
      </c>
      <c r="M1013">
        <v>0.43</v>
      </c>
      <c r="N1013">
        <v>8.1199999999999992</v>
      </c>
    </row>
    <row r="1014" spans="1:14">
      <c r="A1014" s="28">
        <v>1003</v>
      </c>
      <c r="B1014" t="s">
        <v>149</v>
      </c>
      <c r="C1014" t="s">
        <v>347</v>
      </c>
      <c r="D1014">
        <v>7.45</v>
      </c>
      <c r="E1014">
        <v>2744.69</v>
      </c>
      <c r="F1014">
        <v>9.11</v>
      </c>
      <c r="G1014">
        <v>52.09</v>
      </c>
      <c r="H1014">
        <v>5.73</v>
      </c>
      <c r="I1014">
        <v>6.17</v>
      </c>
      <c r="J1014">
        <v>819.89</v>
      </c>
      <c r="K1014">
        <v>14223.45</v>
      </c>
      <c r="L1014">
        <v>10.09</v>
      </c>
      <c r="M1014">
        <v>0.57999999999999996</v>
      </c>
      <c r="N1014">
        <v>12.79</v>
      </c>
    </row>
    <row r="1015" spans="1:14">
      <c r="A1015" s="28">
        <v>876</v>
      </c>
      <c r="B1015" t="s">
        <v>299</v>
      </c>
      <c r="C1015" t="s">
        <v>348</v>
      </c>
      <c r="D1015">
        <v>7.86</v>
      </c>
      <c r="E1015">
        <v>8162.93</v>
      </c>
      <c r="F1015">
        <v>11.69</v>
      </c>
      <c r="G1015">
        <v>18.920000000000002</v>
      </c>
      <c r="H1015">
        <v>6.36</v>
      </c>
      <c r="I1015">
        <v>6.85</v>
      </c>
      <c r="J1015">
        <v>2234.35</v>
      </c>
      <c r="K1015">
        <v>41314.629999999997</v>
      </c>
      <c r="L1015">
        <v>9.51</v>
      </c>
      <c r="M1015">
        <v>0.51</v>
      </c>
      <c r="N1015">
        <v>6.88</v>
      </c>
    </row>
    <row r="1016" spans="1:14">
      <c r="A1016" s="28">
        <v>207</v>
      </c>
      <c r="B1016" t="s">
        <v>2570</v>
      </c>
      <c r="C1016" t="s">
        <v>348</v>
      </c>
      <c r="D1016">
        <v>70.14</v>
      </c>
      <c r="E1016">
        <v>944.5</v>
      </c>
      <c r="F1016">
        <v>55.26</v>
      </c>
      <c r="G1016">
        <v>-36.9</v>
      </c>
      <c r="H1016">
        <v>2.2799999999999998</v>
      </c>
      <c r="I1016">
        <v>3.85</v>
      </c>
      <c r="J1016">
        <v>45.8</v>
      </c>
      <c r="K1016">
        <v>1220.1500000000001</v>
      </c>
      <c r="L1016">
        <v>69.66</v>
      </c>
      <c r="M1016">
        <v>2.61</v>
      </c>
      <c r="N1016">
        <v>26.97</v>
      </c>
    </row>
    <row r="1017" spans="1:14">
      <c r="A1017" s="28">
        <v>607</v>
      </c>
      <c r="B1017" t="s">
        <v>1244</v>
      </c>
      <c r="C1017" t="s">
        <v>348</v>
      </c>
      <c r="D1017">
        <v>70.180000000000007</v>
      </c>
      <c r="E1017">
        <v>4034.25</v>
      </c>
      <c r="F1017">
        <v>20.21</v>
      </c>
      <c r="G1017">
        <v>39.869999999999997</v>
      </c>
      <c r="H1017">
        <v>3.7</v>
      </c>
      <c r="I1017">
        <v>6.17</v>
      </c>
      <c r="J1017">
        <v>1196.5999999999999</v>
      </c>
      <c r="K1017">
        <v>20671.27</v>
      </c>
      <c r="L1017">
        <v>56.66</v>
      </c>
      <c r="M1017">
        <v>3.28</v>
      </c>
      <c r="N1017">
        <v>21.86</v>
      </c>
    </row>
    <row r="1018" spans="1:14">
      <c r="A1018" s="28">
        <v>590</v>
      </c>
      <c r="B1018" t="s">
        <v>2701</v>
      </c>
      <c r="C1018" t="s">
        <v>348</v>
      </c>
      <c r="D1018">
        <v>70.239999999999995</v>
      </c>
      <c r="E1018">
        <v>263.39999999999998</v>
      </c>
      <c r="F1018">
        <v>21.41</v>
      </c>
      <c r="G1018" t="s">
        <v>2788</v>
      </c>
      <c r="H1018">
        <v>-46.02</v>
      </c>
      <c r="I1018">
        <v>-78.5</v>
      </c>
      <c r="J1018">
        <v>-1741.79</v>
      </c>
      <c r="K1018">
        <v>1816.99</v>
      </c>
      <c r="M1018">
        <v>0.64</v>
      </c>
      <c r="N1018">
        <v>11.31</v>
      </c>
    </row>
    <row r="1019" spans="1:14">
      <c r="A1019" s="28">
        <v>783</v>
      </c>
      <c r="B1019" t="s">
        <v>2482</v>
      </c>
      <c r="C1019" t="s">
        <v>348</v>
      </c>
      <c r="D1019">
        <v>70.25</v>
      </c>
      <c r="E1019">
        <v>899.81</v>
      </c>
      <c r="F1019">
        <v>14.61</v>
      </c>
      <c r="G1019">
        <v>21.45</v>
      </c>
      <c r="H1019">
        <v>4.38</v>
      </c>
      <c r="I1019">
        <v>6.75</v>
      </c>
      <c r="J1019">
        <v>313.98</v>
      </c>
      <c r="K1019">
        <v>4999.03</v>
      </c>
      <c r="L1019">
        <v>13.12</v>
      </c>
      <c r="M1019">
        <v>0.82</v>
      </c>
      <c r="N1019">
        <v>8.93</v>
      </c>
    </row>
    <row r="1020" spans="1:14">
      <c r="A1020" s="28">
        <v>376</v>
      </c>
      <c r="B1020" t="s">
        <v>197</v>
      </c>
      <c r="C1020" t="s">
        <v>347</v>
      </c>
      <c r="D1020">
        <v>70.73</v>
      </c>
      <c r="E1020">
        <v>13995.63</v>
      </c>
      <c r="F1020">
        <v>32.979999999999997</v>
      </c>
      <c r="G1020">
        <v>25</v>
      </c>
      <c r="H1020">
        <v>6.96</v>
      </c>
      <c r="I1020">
        <v>11.67</v>
      </c>
      <c r="J1020">
        <v>1520.83</v>
      </c>
      <c r="K1020">
        <v>14095.63</v>
      </c>
      <c r="L1020">
        <v>8.81</v>
      </c>
      <c r="M1020">
        <v>0.95</v>
      </c>
      <c r="N1020">
        <v>7.51</v>
      </c>
    </row>
    <row r="1021" spans="1:14">
      <c r="A1021" s="28">
        <v>785</v>
      </c>
      <c r="B1021" t="s">
        <v>567</v>
      </c>
      <c r="C1021" t="s">
        <v>348</v>
      </c>
      <c r="D1021">
        <v>70.88</v>
      </c>
      <c r="E1021">
        <v>1538.62</v>
      </c>
      <c r="F1021">
        <v>14.55</v>
      </c>
      <c r="G1021" t="s">
        <v>2788</v>
      </c>
      <c r="H1021">
        <v>-13.7</v>
      </c>
      <c r="I1021">
        <v>-22.76</v>
      </c>
      <c r="J1021">
        <v>-1951.7</v>
      </c>
      <c r="K1021">
        <v>8193.08</v>
      </c>
      <c r="M1021">
        <v>0.69</v>
      </c>
      <c r="N1021">
        <v>80.319999999999993</v>
      </c>
    </row>
    <row r="1022" spans="1:14">
      <c r="A1022" s="28">
        <v>1035</v>
      </c>
      <c r="B1022" t="s">
        <v>2624</v>
      </c>
      <c r="C1022" t="s">
        <v>348</v>
      </c>
      <c r="D1022">
        <v>70.94</v>
      </c>
      <c r="E1022">
        <v>291.91000000000003</v>
      </c>
      <c r="F1022">
        <v>8.36</v>
      </c>
      <c r="G1022">
        <v>129.53</v>
      </c>
      <c r="H1022">
        <v>2.71</v>
      </c>
      <c r="I1022">
        <v>4.6100000000000003</v>
      </c>
      <c r="J1022">
        <v>174.42</v>
      </c>
      <c r="K1022">
        <v>3919.07</v>
      </c>
      <c r="L1022">
        <v>11.15</v>
      </c>
      <c r="M1022">
        <v>0.5</v>
      </c>
      <c r="N1022">
        <v>12.04</v>
      </c>
    </row>
    <row r="1023" spans="1:14">
      <c r="A1023" s="28">
        <v>171</v>
      </c>
      <c r="B1023" t="s">
        <v>1574</v>
      </c>
      <c r="C1023" t="s">
        <v>348</v>
      </c>
      <c r="D1023">
        <v>70.97</v>
      </c>
      <c r="E1023">
        <v>4.82</v>
      </c>
      <c r="F1023">
        <v>64.45</v>
      </c>
      <c r="G1023" t="s">
        <v>2788</v>
      </c>
      <c r="H1023">
        <v>-24.68</v>
      </c>
      <c r="I1023">
        <v>-39.96</v>
      </c>
      <c r="J1023">
        <v>-209</v>
      </c>
      <c r="K1023">
        <v>524.09</v>
      </c>
      <c r="M1023">
        <v>2.12</v>
      </c>
    </row>
    <row r="1024" spans="1:14">
      <c r="A1024" s="28">
        <v>905</v>
      </c>
      <c r="B1024" t="s">
        <v>1656</v>
      </c>
      <c r="C1024" t="s">
        <v>348</v>
      </c>
      <c r="D1024">
        <v>71.19</v>
      </c>
      <c r="E1024">
        <v>840.97</v>
      </c>
      <c r="F1024">
        <v>11.09</v>
      </c>
      <c r="G1024" t="s">
        <v>350</v>
      </c>
      <c r="H1024">
        <v>3.55</v>
      </c>
      <c r="I1024">
        <v>5.93</v>
      </c>
      <c r="J1024">
        <v>53.51</v>
      </c>
      <c r="K1024">
        <v>940.97</v>
      </c>
      <c r="L1024">
        <v>21.1</v>
      </c>
      <c r="M1024">
        <v>1.2</v>
      </c>
      <c r="N1024">
        <v>20.83</v>
      </c>
    </row>
    <row r="1025" spans="1:14">
      <c r="A1025" s="28">
        <v>387</v>
      </c>
      <c r="B1025" t="s">
        <v>1755</v>
      </c>
      <c r="C1025" t="s">
        <v>348</v>
      </c>
      <c r="D1025">
        <v>71.33</v>
      </c>
      <c r="E1025">
        <v>246.48</v>
      </c>
      <c r="F1025">
        <v>32.200000000000003</v>
      </c>
      <c r="G1025">
        <v>-0.67</v>
      </c>
      <c r="H1025">
        <v>1.55</v>
      </c>
      <c r="I1025">
        <v>2.4500000000000002</v>
      </c>
      <c r="J1025">
        <v>42.14</v>
      </c>
      <c r="K1025">
        <v>1735.76</v>
      </c>
      <c r="L1025">
        <v>191.75</v>
      </c>
      <c r="M1025">
        <v>4.66</v>
      </c>
    </row>
    <row r="1026" spans="1:14">
      <c r="A1026" s="28">
        <v>771</v>
      </c>
      <c r="B1026" t="s">
        <v>2468</v>
      </c>
      <c r="C1026" t="s">
        <v>348</v>
      </c>
      <c r="D1026">
        <v>71.36</v>
      </c>
      <c r="E1026">
        <v>2308.25</v>
      </c>
      <c r="F1026">
        <v>14.94</v>
      </c>
      <c r="G1026">
        <v>-36.659999999999997</v>
      </c>
      <c r="H1026">
        <v>3.14</v>
      </c>
      <c r="I1026">
        <v>5.2</v>
      </c>
      <c r="J1026">
        <v>681.45</v>
      </c>
      <c r="K1026">
        <v>12041.24</v>
      </c>
      <c r="L1026">
        <v>17.32</v>
      </c>
      <c r="M1026">
        <v>0.98</v>
      </c>
      <c r="N1026">
        <v>8.31</v>
      </c>
    </row>
    <row r="1027" spans="1:14">
      <c r="A1027" s="28">
        <v>971</v>
      </c>
      <c r="B1027" t="s">
        <v>1183</v>
      </c>
      <c r="C1027" t="s">
        <v>347</v>
      </c>
      <c r="D1027">
        <v>71.510000000000005</v>
      </c>
      <c r="E1027">
        <v>10951.7</v>
      </c>
      <c r="F1027">
        <v>9.73</v>
      </c>
      <c r="G1027">
        <v>26.57</v>
      </c>
      <c r="H1027">
        <v>5.39</v>
      </c>
      <c r="I1027">
        <v>9.19</v>
      </c>
      <c r="J1027">
        <v>4921.1499999999996</v>
      </c>
      <c r="K1027">
        <v>55258.52</v>
      </c>
      <c r="L1027">
        <v>42.98</v>
      </c>
      <c r="M1027">
        <v>3.83</v>
      </c>
      <c r="N1027">
        <v>22.92</v>
      </c>
    </row>
    <row r="1028" spans="1:14">
      <c r="A1028" s="28">
        <v>383</v>
      </c>
      <c r="B1028" t="s">
        <v>1463</v>
      </c>
      <c r="C1028" t="s">
        <v>348</v>
      </c>
      <c r="D1028">
        <v>71.650000000000006</v>
      </c>
      <c r="E1028">
        <v>299.57</v>
      </c>
      <c r="F1028">
        <v>32.44</v>
      </c>
      <c r="G1028">
        <v>-2.66</v>
      </c>
      <c r="H1028">
        <v>1.02</v>
      </c>
      <c r="I1028">
        <v>1.69</v>
      </c>
      <c r="J1028">
        <v>31.57</v>
      </c>
      <c r="K1028">
        <v>1997.84</v>
      </c>
      <c r="L1028">
        <v>67.459999999999994</v>
      </c>
      <c r="M1028">
        <v>1.07</v>
      </c>
      <c r="N1028">
        <v>24.66</v>
      </c>
    </row>
    <row r="1029" spans="1:14">
      <c r="A1029" s="28">
        <v>1030</v>
      </c>
      <c r="B1029" t="s">
        <v>208</v>
      </c>
      <c r="C1029" t="s">
        <v>347</v>
      </c>
      <c r="D1029">
        <v>71.72</v>
      </c>
      <c r="E1029">
        <v>7302.14</v>
      </c>
      <c r="F1029">
        <v>8.51</v>
      </c>
      <c r="G1029">
        <v>106.57</v>
      </c>
      <c r="H1029">
        <v>8.27</v>
      </c>
      <c r="I1029">
        <v>15.34</v>
      </c>
      <c r="J1029">
        <v>2034.77</v>
      </c>
      <c r="K1029">
        <v>14804.29</v>
      </c>
      <c r="L1029">
        <v>4.18</v>
      </c>
      <c r="M1029">
        <v>0.56999999999999995</v>
      </c>
      <c r="N1029">
        <v>3.9</v>
      </c>
    </row>
    <row r="1030" spans="1:14">
      <c r="A1030" s="28">
        <v>541</v>
      </c>
      <c r="B1030" t="s">
        <v>1231</v>
      </c>
      <c r="C1030" t="s">
        <v>348</v>
      </c>
      <c r="D1030">
        <v>71.86</v>
      </c>
      <c r="E1030">
        <v>568.08000000000004</v>
      </c>
      <c r="F1030">
        <v>23.97</v>
      </c>
      <c r="G1030" t="s">
        <v>350</v>
      </c>
      <c r="H1030">
        <v>4.21</v>
      </c>
      <c r="I1030">
        <v>8.74</v>
      </c>
      <c r="J1030">
        <v>460.04</v>
      </c>
      <c r="K1030">
        <v>6680.84</v>
      </c>
      <c r="L1030">
        <v>24.89</v>
      </c>
      <c r="M1030">
        <v>1.71</v>
      </c>
      <c r="N1030">
        <v>12.86</v>
      </c>
    </row>
    <row r="1031" spans="1:14">
      <c r="A1031" s="28">
        <v>535</v>
      </c>
      <c r="B1031" t="s">
        <v>919</v>
      </c>
      <c r="C1031" t="s">
        <v>348</v>
      </c>
      <c r="D1031">
        <v>72.17</v>
      </c>
      <c r="E1031">
        <v>2388.35</v>
      </c>
      <c r="F1031">
        <v>24.13</v>
      </c>
      <c r="G1031">
        <v>123.53</v>
      </c>
      <c r="H1031">
        <v>13.48</v>
      </c>
      <c r="I1031">
        <v>25.95</v>
      </c>
      <c r="J1031">
        <v>2749.24</v>
      </c>
      <c r="K1031">
        <v>12441.74</v>
      </c>
      <c r="L1031">
        <v>3.08</v>
      </c>
      <c r="M1031">
        <v>0.68</v>
      </c>
      <c r="N1031">
        <v>2.0099999999999998</v>
      </c>
    </row>
    <row r="1032" spans="1:14">
      <c r="A1032" s="28">
        <v>683</v>
      </c>
      <c r="B1032" t="s">
        <v>1670</v>
      </c>
      <c r="C1032" t="s">
        <v>348</v>
      </c>
      <c r="D1032">
        <v>72.53</v>
      </c>
      <c r="E1032">
        <v>675.06</v>
      </c>
      <c r="F1032">
        <v>17.37</v>
      </c>
      <c r="G1032">
        <v>19.64</v>
      </c>
      <c r="H1032">
        <v>9.36</v>
      </c>
      <c r="I1032">
        <v>16.25</v>
      </c>
      <c r="J1032">
        <v>105.94</v>
      </c>
      <c r="K1032">
        <v>724.31</v>
      </c>
      <c r="N1032">
        <v>1.48</v>
      </c>
    </row>
    <row r="1033" spans="1:14">
      <c r="A1033" s="28">
        <v>84</v>
      </c>
      <c r="B1033" t="s">
        <v>2226</v>
      </c>
      <c r="C1033" t="s">
        <v>348</v>
      </c>
      <c r="D1033">
        <v>72.569999999999993</v>
      </c>
      <c r="E1033">
        <v>1232.6500000000001</v>
      </c>
      <c r="F1033">
        <v>126.9</v>
      </c>
      <c r="G1033">
        <v>52.97</v>
      </c>
      <c r="H1033">
        <v>4.7300000000000004</v>
      </c>
      <c r="I1033">
        <v>8.6199999999999992</v>
      </c>
      <c r="J1033">
        <v>521.26</v>
      </c>
      <c r="K1033">
        <v>6663.26</v>
      </c>
      <c r="L1033">
        <v>9.1300000000000008</v>
      </c>
      <c r="M1033">
        <v>0.71</v>
      </c>
      <c r="N1033">
        <v>14.57</v>
      </c>
    </row>
    <row r="1034" spans="1:14">
      <c r="A1034" s="28">
        <v>1042</v>
      </c>
      <c r="B1034" t="s">
        <v>2595</v>
      </c>
      <c r="C1034" t="s">
        <v>348</v>
      </c>
      <c r="D1034">
        <v>72.58</v>
      </c>
      <c r="E1034">
        <v>966.22</v>
      </c>
      <c r="F1034">
        <v>8.1999999999999993</v>
      </c>
      <c r="G1034" t="s">
        <v>350</v>
      </c>
      <c r="H1034">
        <v>0.35</v>
      </c>
      <c r="I1034">
        <v>0.63</v>
      </c>
      <c r="J1034">
        <v>32.700000000000003</v>
      </c>
      <c r="K1034">
        <v>5331.08</v>
      </c>
      <c r="L1034">
        <v>152.61000000000001</v>
      </c>
      <c r="M1034">
        <v>0.94</v>
      </c>
      <c r="N1034">
        <v>9.6</v>
      </c>
    </row>
    <row r="1035" spans="1:14">
      <c r="A1035" s="28">
        <v>259</v>
      </c>
      <c r="B1035" t="s">
        <v>2532</v>
      </c>
      <c r="C1035" t="s">
        <v>348</v>
      </c>
      <c r="D1035">
        <v>73.14</v>
      </c>
      <c r="E1035">
        <v>31.56</v>
      </c>
      <c r="F1035">
        <v>45.37</v>
      </c>
      <c r="G1035">
        <v>55.48</v>
      </c>
      <c r="H1035">
        <v>3.01</v>
      </c>
      <c r="I1035">
        <v>5</v>
      </c>
      <c r="J1035">
        <v>31.63</v>
      </c>
      <c r="K1035">
        <v>657.78</v>
      </c>
      <c r="L1035">
        <v>40.630000000000003</v>
      </c>
      <c r="M1035">
        <v>1.95</v>
      </c>
      <c r="N1035">
        <v>25.08</v>
      </c>
    </row>
    <row r="1036" spans="1:14">
      <c r="A1036" s="28">
        <v>895</v>
      </c>
      <c r="B1036" t="s">
        <v>105</v>
      </c>
      <c r="C1036" t="s">
        <v>347</v>
      </c>
      <c r="D1036">
        <v>73.23</v>
      </c>
      <c r="E1036">
        <v>690.51</v>
      </c>
      <c r="F1036">
        <v>11.3</v>
      </c>
      <c r="G1036">
        <v>11.79</v>
      </c>
      <c r="H1036">
        <v>9.9499999999999993</v>
      </c>
      <c r="I1036">
        <v>18.510000000000002</v>
      </c>
      <c r="J1036">
        <v>6594.83</v>
      </c>
      <c r="K1036">
        <v>39525.58</v>
      </c>
      <c r="L1036">
        <v>5.24</v>
      </c>
      <c r="M1036">
        <v>0.87</v>
      </c>
      <c r="N1036">
        <v>4.24</v>
      </c>
    </row>
    <row r="1037" spans="1:14">
      <c r="A1037" s="28">
        <v>457</v>
      </c>
      <c r="B1037" t="s">
        <v>2360</v>
      </c>
      <c r="C1037" t="s">
        <v>348</v>
      </c>
      <c r="D1037">
        <v>73.36</v>
      </c>
      <c r="E1037">
        <v>2048.21</v>
      </c>
      <c r="F1037">
        <v>27.73</v>
      </c>
      <c r="G1037" t="s">
        <v>350</v>
      </c>
      <c r="H1037">
        <v>1.17</v>
      </c>
      <c r="I1037">
        <v>1.88</v>
      </c>
      <c r="J1037">
        <v>189.58</v>
      </c>
      <c r="K1037">
        <v>10741.04</v>
      </c>
      <c r="L1037">
        <v>52.75</v>
      </c>
      <c r="M1037">
        <v>0.93</v>
      </c>
      <c r="N1037">
        <v>20.170000000000002</v>
      </c>
    </row>
    <row r="1038" spans="1:14">
      <c r="A1038" s="28">
        <v>709</v>
      </c>
      <c r="B1038" t="s">
        <v>2421</v>
      </c>
      <c r="C1038" t="s">
        <v>348</v>
      </c>
      <c r="D1038">
        <v>73.52</v>
      </c>
      <c r="E1038">
        <v>1266.6099999999999</v>
      </c>
      <c r="F1038">
        <v>16.41</v>
      </c>
      <c r="G1038">
        <v>-81.36</v>
      </c>
      <c r="H1038">
        <v>3.21</v>
      </c>
      <c r="I1038">
        <v>6.03</v>
      </c>
      <c r="J1038">
        <v>331.63</v>
      </c>
      <c r="K1038">
        <v>6833.03</v>
      </c>
      <c r="L1038">
        <v>76.44</v>
      </c>
      <c r="M1038">
        <v>3.71</v>
      </c>
      <c r="N1038">
        <v>30.48</v>
      </c>
    </row>
    <row r="1039" spans="1:14">
      <c r="A1039" s="28">
        <v>701</v>
      </c>
      <c r="B1039" t="s">
        <v>1149</v>
      </c>
      <c r="C1039" t="s">
        <v>348</v>
      </c>
      <c r="D1039">
        <v>74.41</v>
      </c>
      <c r="E1039">
        <v>1156.48</v>
      </c>
      <c r="F1039">
        <v>16.7</v>
      </c>
      <c r="G1039">
        <v>34.79</v>
      </c>
      <c r="H1039">
        <v>6.2</v>
      </c>
      <c r="I1039">
        <v>10.7</v>
      </c>
      <c r="J1039">
        <v>652.47</v>
      </c>
      <c r="K1039">
        <v>6339.54</v>
      </c>
      <c r="L1039">
        <v>10.5</v>
      </c>
      <c r="M1039">
        <v>1.08</v>
      </c>
      <c r="N1039">
        <v>4.29</v>
      </c>
    </row>
    <row r="1040" spans="1:14">
      <c r="A1040" s="28">
        <v>696</v>
      </c>
      <c r="B1040" t="s">
        <v>2592</v>
      </c>
      <c r="C1040" t="s">
        <v>348</v>
      </c>
      <c r="D1040">
        <v>74.73</v>
      </c>
      <c r="E1040">
        <v>1012.86</v>
      </c>
      <c r="F1040">
        <v>16.899999999999999</v>
      </c>
      <c r="G1040">
        <v>18.62</v>
      </c>
      <c r="H1040">
        <v>10.48</v>
      </c>
      <c r="I1040">
        <v>17.72</v>
      </c>
      <c r="J1040">
        <v>179.67</v>
      </c>
      <c r="K1040">
        <v>1078.92</v>
      </c>
      <c r="N1040">
        <v>0</v>
      </c>
    </row>
    <row r="1041" spans="1:14">
      <c r="A1041" s="28">
        <v>117</v>
      </c>
      <c r="B1041" t="s">
        <v>2011</v>
      </c>
      <c r="C1041" t="s">
        <v>348</v>
      </c>
      <c r="D1041">
        <v>74.930000000000007</v>
      </c>
      <c r="F1041">
        <v>90.63</v>
      </c>
      <c r="G1041" t="s">
        <v>2788</v>
      </c>
      <c r="H1041">
        <v>-21.59</v>
      </c>
      <c r="I1041">
        <v>-37.520000000000003</v>
      </c>
      <c r="J1041">
        <v>-811.43</v>
      </c>
      <c r="K1041">
        <v>2262.7800000000002</v>
      </c>
      <c r="M1041">
        <v>1.41</v>
      </c>
    </row>
    <row r="1042" spans="1:14">
      <c r="A1042" s="28">
        <v>216</v>
      </c>
      <c r="B1042" t="s">
        <v>1334</v>
      </c>
      <c r="C1042" t="s">
        <v>347</v>
      </c>
      <c r="D1042">
        <v>74.98</v>
      </c>
      <c r="E1042">
        <v>2049.4299999999998</v>
      </c>
      <c r="F1042">
        <v>53.19</v>
      </c>
      <c r="G1042" t="s">
        <v>350</v>
      </c>
      <c r="H1042">
        <v>5.07</v>
      </c>
      <c r="I1042">
        <v>8.94</v>
      </c>
      <c r="J1042">
        <v>889.9</v>
      </c>
      <c r="K1042">
        <v>10747.17</v>
      </c>
      <c r="L1042">
        <v>32.08</v>
      </c>
      <c r="M1042">
        <v>2.66</v>
      </c>
      <c r="N1042">
        <v>18.78</v>
      </c>
    </row>
    <row r="1043" spans="1:14">
      <c r="A1043" s="28">
        <v>1094</v>
      </c>
      <c r="B1043" t="s">
        <v>102</v>
      </c>
      <c r="C1043" t="s">
        <v>347</v>
      </c>
      <c r="D1043">
        <v>74.989999999999995</v>
      </c>
      <c r="E1043">
        <v>1492.67</v>
      </c>
      <c r="F1043">
        <v>7.24</v>
      </c>
      <c r="G1043">
        <v>9.1199999999999992</v>
      </c>
      <c r="H1043">
        <v>5.44</v>
      </c>
      <c r="I1043">
        <v>9.56</v>
      </c>
      <c r="J1043">
        <v>840.76</v>
      </c>
      <c r="K1043">
        <v>9922.2199999999993</v>
      </c>
      <c r="L1043">
        <v>8.1199999999999992</v>
      </c>
      <c r="M1043">
        <v>0.69</v>
      </c>
      <c r="N1043">
        <v>12.69</v>
      </c>
    </row>
    <row r="1044" spans="1:14">
      <c r="A1044" s="28">
        <v>410</v>
      </c>
      <c r="B1044" t="s">
        <v>2128</v>
      </c>
      <c r="C1044" t="s">
        <v>347</v>
      </c>
      <c r="D1044">
        <v>75.45</v>
      </c>
      <c r="F1044">
        <v>30.94</v>
      </c>
      <c r="G1044" t="s">
        <v>350</v>
      </c>
      <c r="H1044">
        <v>6.29</v>
      </c>
      <c r="I1044">
        <v>10.85</v>
      </c>
      <c r="J1044">
        <v>48.78</v>
      </c>
      <c r="K1044">
        <v>475.01</v>
      </c>
      <c r="L1044">
        <v>7.03</v>
      </c>
      <c r="M1044">
        <v>0.72</v>
      </c>
      <c r="N1044">
        <v>5.27</v>
      </c>
    </row>
    <row r="1045" spans="1:14">
      <c r="A1045" s="28">
        <v>356</v>
      </c>
      <c r="B1045" t="s">
        <v>1160</v>
      </c>
      <c r="C1045" t="s">
        <v>348</v>
      </c>
      <c r="D1045">
        <v>75.849999999999994</v>
      </c>
      <c r="E1045">
        <v>664.19</v>
      </c>
      <c r="F1045">
        <v>35</v>
      </c>
      <c r="G1045">
        <v>9.98</v>
      </c>
      <c r="H1045">
        <v>7.52</v>
      </c>
      <c r="I1045">
        <v>13.07</v>
      </c>
      <c r="J1045">
        <v>462.35</v>
      </c>
      <c r="K1045">
        <v>3820.96</v>
      </c>
      <c r="L1045">
        <v>12.54</v>
      </c>
      <c r="M1045">
        <v>1.52</v>
      </c>
      <c r="N1045">
        <v>9.86</v>
      </c>
    </row>
    <row r="1046" spans="1:14">
      <c r="A1046" s="28">
        <v>537</v>
      </c>
      <c r="B1046" t="s">
        <v>2758</v>
      </c>
      <c r="C1046" t="s">
        <v>348</v>
      </c>
      <c r="D1046">
        <v>75.989999999999995</v>
      </c>
      <c r="E1046">
        <v>724.79</v>
      </c>
      <c r="F1046">
        <v>24.1</v>
      </c>
      <c r="G1046" t="s">
        <v>2788</v>
      </c>
      <c r="H1046">
        <v>-2.69</v>
      </c>
      <c r="I1046">
        <v>-4.49</v>
      </c>
      <c r="J1046">
        <v>-181.48</v>
      </c>
      <c r="K1046">
        <v>4123.93</v>
      </c>
      <c r="M1046">
        <v>1.53</v>
      </c>
      <c r="N1046">
        <v>8.32</v>
      </c>
    </row>
    <row r="1047" spans="1:14">
      <c r="A1047" s="28">
        <v>1050</v>
      </c>
      <c r="B1047" t="s">
        <v>1528</v>
      </c>
      <c r="C1047" t="s">
        <v>347</v>
      </c>
      <c r="D1047">
        <v>76.12</v>
      </c>
      <c r="E1047">
        <v>119.13</v>
      </c>
      <c r="F1047">
        <v>8.02</v>
      </c>
      <c r="G1047" t="s">
        <v>349</v>
      </c>
      <c r="H1047">
        <v>-6.2</v>
      </c>
      <c r="I1047">
        <v>-10.5</v>
      </c>
      <c r="J1047">
        <v>-117.19</v>
      </c>
      <c r="K1047">
        <v>1095.6300000000001</v>
      </c>
      <c r="M1047">
        <v>0.75</v>
      </c>
    </row>
    <row r="1048" spans="1:14">
      <c r="A1048" s="28">
        <v>624</v>
      </c>
      <c r="B1048" t="s">
        <v>1765</v>
      </c>
      <c r="C1048" t="s">
        <v>348</v>
      </c>
      <c r="D1048">
        <v>76.13</v>
      </c>
      <c r="E1048">
        <v>353.8</v>
      </c>
      <c r="F1048">
        <v>19.760000000000002</v>
      </c>
      <c r="G1048" t="s">
        <v>2788</v>
      </c>
      <c r="H1048">
        <v>-19.77</v>
      </c>
      <c r="I1048">
        <v>-30.88</v>
      </c>
      <c r="J1048">
        <v>-164.43</v>
      </c>
      <c r="K1048">
        <v>453.8</v>
      </c>
      <c r="M1048">
        <v>3.51</v>
      </c>
    </row>
    <row r="1049" spans="1:14">
      <c r="A1049" s="28">
        <v>546</v>
      </c>
      <c r="B1049" t="s">
        <v>2653</v>
      </c>
      <c r="C1049" t="s">
        <v>348</v>
      </c>
      <c r="D1049">
        <v>76.239999999999995</v>
      </c>
      <c r="E1049">
        <v>507.61</v>
      </c>
      <c r="F1049">
        <v>23.71</v>
      </c>
      <c r="G1049" t="s">
        <v>350</v>
      </c>
      <c r="H1049">
        <v>1.37</v>
      </c>
      <c r="I1049">
        <v>3.14</v>
      </c>
      <c r="J1049">
        <v>73.34</v>
      </c>
      <c r="K1049">
        <v>3038.06</v>
      </c>
      <c r="L1049">
        <v>68.58</v>
      </c>
      <c r="M1049">
        <v>1.66</v>
      </c>
      <c r="N1049">
        <v>14.22</v>
      </c>
    </row>
    <row r="1050" spans="1:14">
      <c r="A1050" s="28">
        <v>923</v>
      </c>
      <c r="B1050" t="s">
        <v>1748</v>
      </c>
      <c r="C1050" t="s">
        <v>348</v>
      </c>
      <c r="D1050">
        <v>76.44</v>
      </c>
      <c r="E1050">
        <v>371.55</v>
      </c>
      <c r="F1050">
        <v>10.84</v>
      </c>
      <c r="G1050" t="s">
        <v>350</v>
      </c>
      <c r="H1050">
        <v>3.05</v>
      </c>
      <c r="I1050">
        <v>5.42</v>
      </c>
      <c r="J1050">
        <v>248.49</v>
      </c>
      <c r="K1050">
        <v>4715.5</v>
      </c>
      <c r="L1050">
        <v>21.85</v>
      </c>
      <c r="M1050">
        <v>1.1499999999999999</v>
      </c>
      <c r="N1050">
        <v>6.79</v>
      </c>
    </row>
    <row r="1051" spans="1:14">
      <c r="A1051" s="28">
        <v>287</v>
      </c>
      <c r="B1051" t="s">
        <v>2067</v>
      </c>
      <c r="C1051" t="s">
        <v>348</v>
      </c>
      <c r="D1051">
        <v>76.48</v>
      </c>
      <c r="E1051">
        <v>389.93</v>
      </c>
      <c r="F1051">
        <v>42.18</v>
      </c>
      <c r="G1051">
        <v>168.99</v>
      </c>
      <c r="H1051">
        <v>5.2</v>
      </c>
      <c r="I1051">
        <v>9.19</v>
      </c>
      <c r="J1051">
        <v>215.83</v>
      </c>
      <c r="K1051">
        <v>2449.65</v>
      </c>
      <c r="L1051">
        <v>14.36</v>
      </c>
      <c r="M1051">
        <v>1.27</v>
      </c>
      <c r="N1051">
        <v>9.16</v>
      </c>
    </row>
    <row r="1052" spans="1:14">
      <c r="A1052" s="28">
        <v>16</v>
      </c>
      <c r="B1052" t="s">
        <v>2161</v>
      </c>
      <c r="C1052" t="s">
        <v>348</v>
      </c>
      <c r="D1052">
        <v>767.47</v>
      </c>
      <c r="E1052">
        <v>168.82</v>
      </c>
      <c r="F1052">
        <v>631.76</v>
      </c>
      <c r="G1052" t="s">
        <v>2788</v>
      </c>
      <c r="H1052">
        <v>-1.53</v>
      </c>
      <c r="I1052">
        <v>-10.79</v>
      </c>
      <c r="J1052">
        <v>-148.29</v>
      </c>
      <c r="K1052">
        <v>1344.12</v>
      </c>
      <c r="M1052">
        <v>0.55000000000000004</v>
      </c>
    </row>
    <row r="1053" spans="1:14">
      <c r="A1053" s="28">
        <v>1059</v>
      </c>
      <c r="B1053" t="s">
        <v>576</v>
      </c>
      <c r="C1053" t="s">
        <v>348</v>
      </c>
      <c r="D1053">
        <v>77.319999999999993</v>
      </c>
      <c r="E1053">
        <v>499.78</v>
      </c>
      <c r="F1053">
        <v>7.92</v>
      </c>
      <c r="G1053">
        <v>12.54</v>
      </c>
      <c r="H1053">
        <v>15.06</v>
      </c>
      <c r="I1053">
        <v>26.95</v>
      </c>
      <c r="J1053">
        <v>754.69</v>
      </c>
      <c r="K1053">
        <v>2998.9</v>
      </c>
      <c r="L1053">
        <v>12.61</v>
      </c>
      <c r="M1053">
        <v>3.17</v>
      </c>
      <c r="N1053">
        <v>7.4</v>
      </c>
    </row>
    <row r="1054" spans="1:14">
      <c r="A1054" s="28">
        <v>203</v>
      </c>
      <c r="B1054" t="s">
        <v>2134</v>
      </c>
      <c r="C1054" t="s">
        <v>348</v>
      </c>
      <c r="D1054">
        <v>77.33</v>
      </c>
      <c r="E1054">
        <v>133.13999999999999</v>
      </c>
      <c r="F1054">
        <v>55.78</v>
      </c>
      <c r="G1054">
        <v>-78.69</v>
      </c>
      <c r="H1054">
        <v>3.33</v>
      </c>
      <c r="I1054">
        <v>5.38</v>
      </c>
      <c r="J1054">
        <v>60.84</v>
      </c>
      <c r="K1054">
        <v>1165.68</v>
      </c>
      <c r="L1054">
        <v>144.63</v>
      </c>
      <c r="M1054">
        <v>7.55</v>
      </c>
      <c r="N1054">
        <v>61.55</v>
      </c>
    </row>
    <row r="1055" spans="1:14">
      <c r="A1055" s="28">
        <v>614</v>
      </c>
      <c r="B1055" t="s">
        <v>381</v>
      </c>
      <c r="C1055" t="s">
        <v>348</v>
      </c>
      <c r="D1055">
        <v>77.650000000000006</v>
      </c>
      <c r="E1055">
        <v>606.91</v>
      </c>
      <c r="F1055">
        <v>20.059999999999999</v>
      </c>
      <c r="G1055">
        <v>280.69</v>
      </c>
      <c r="H1055">
        <v>6.45</v>
      </c>
      <c r="I1055">
        <v>11.74</v>
      </c>
      <c r="J1055">
        <v>789.76</v>
      </c>
      <c r="K1055">
        <v>7069.09</v>
      </c>
      <c r="L1055">
        <v>19.5</v>
      </c>
      <c r="M1055">
        <v>2.1800000000000002</v>
      </c>
      <c r="N1055">
        <v>14.31</v>
      </c>
    </row>
    <row r="1056" spans="1:14">
      <c r="A1056" s="28">
        <v>558</v>
      </c>
      <c r="B1056" t="s">
        <v>1444</v>
      </c>
      <c r="C1056" t="s">
        <v>348</v>
      </c>
      <c r="D1056">
        <v>77.97</v>
      </c>
      <c r="E1056">
        <v>971.37</v>
      </c>
      <c r="F1056">
        <v>22.96</v>
      </c>
      <c r="G1056" t="s">
        <v>350</v>
      </c>
      <c r="H1056">
        <v>3.87</v>
      </c>
      <c r="I1056">
        <v>6.52</v>
      </c>
      <c r="J1056">
        <v>67.599999999999994</v>
      </c>
      <c r="K1056">
        <v>1071.3699999999999</v>
      </c>
      <c r="L1056">
        <v>45.41</v>
      </c>
      <c r="M1056">
        <v>2.87</v>
      </c>
      <c r="N1056">
        <v>38.049999999999997</v>
      </c>
    </row>
    <row r="1057" spans="1:14">
      <c r="A1057" s="28">
        <v>211</v>
      </c>
      <c r="B1057" t="s">
        <v>2560</v>
      </c>
      <c r="C1057" t="s">
        <v>348</v>
      </c>
      <c r="D1057">
        <v>78.02</v>
      </c>
      <c r="E1057">
        <v>47.31</v>
      </c>
      <c r="F1057">
        <v>54.82</v>
      </c>
      <c r="G1057" t="s">
        <v>2788</v>
      </c>
      <c r="H1057">
        <v>-8.42</v>
      </c>
      <c r="I1057">
        <v>-16</v>
      </c>
      <c r="J1057">
        <v>-557.44000000000005</v>
      </c>
      <c r="K1057">
        <v>3682.7</v>
      </c>
      <c r="M1057">
        <v>0.86</v>
      </c>
      <c r="N1057">
        <v>26.8</v>
      </c>
    </row>
    <row r="1058" spans="1:14">
      <c r="A1058" s="28">
        <v>459</v>
      </c>
      <c r="B1058" t="s">
        <v>635</v>
      </c>
      <c r="C1058" t="s">
        <v>348</v>
      </c>
      <c r="D1058">
        <v>78.28</v>
      </c>
      <c r="E1058">
        <v>3877.39</v>
      </c>
      <c r="F1058">
        <v>27.72</v>
      </c>
      <c r="G1058">
        <v>17.88</v>
      </c>
      <c r="H1058">
        <v>15.73</v>
      </c>
      <c r="I1058">
        <v>27.53</v>
      </c>
      <c r="J1058">
        <v>4750</v>
      </c>
      <c r="K1058">
        <v>19144.59</v>
      </c>
      <c r="L1058">
        <v>6.73</v>
      </c>
      <c r="M1058">
        <v>1.67</v>
      </c>
      <c r="N1058">
        <v>6.07</v>
      </c>
    </row>
    <row r="1059" spans="1:14">
      <c r="A1059" s="28">
        <v>665</v>
      </c>
      <c r="B1059" t="s">
        <v>1962</v>
      </c>
      <c r="C1059" t="s">
        <v>347</v>
      </c>
      <c r="D1059">
        <v>78.38</v>
      </c>
      <c r="E1059">
        <v>602.35</v>
      </c>
      <c r="F1059">
        <v>18.18</v>
      </c>
      <c r="G1059">
        <v>-69.989999999999995</v>
      </c>
      <c r="H1059">
        <v>0.57999999999999996</v>
      </c>
      <c r="I1059">
        <v>1.34</v>
      </c>
      <c r="J1059">
        <v>65.25</v>
      </c>
      <c r="K1059">
        <v>6363.23</v>
      </c>
      <c r="L1059">
        <v>208.15</v>
      </c>
      <c r="M1059">
        <v>2.13</v>
      </c>
      <c r="N1059">
        <v>33.26</v>
      </c>
    </row>
    <row r="1060" spans="1:14">
      <c r="A1060" s="28">
        <v>557</v>
      </c>
      <c r="B1060" t="s">
        <v>1451</v>
      </c>
      <c r="C1060" t="s">
        <v>348</v>
      </c>
      <c r="D1060">
        <v>78.650000000000006</v>
      </c>
      <c r="E1060">
        <v>337.81</v>
      </c>
      <c r="F1060">
        <v>23.11</v>
      </c>
      <c r="G1060" t="s">
        <v>2788</v>
      </c>
      <c r="H1060">
        <v>-57.79</v>
      </c>
      <c r="I1060">
        <v>-82.37</v>
      </c>
      <c r="J1060">
        <v>-611.39</v>
      </c>
      <c r="K1060">
        <v>437.81</v>
      </c>
      <c r="M1060">
        <v>13.36</v>
      </c>
    </row>
    <row r="1061" spans="1:14">
      <c r="A1061" s="28">
        <v>1091</v>
      </c>
      <c r="B1061" t="s">
        <v>535</v>
      </c>
      <c r="C1061" t="s">
        <v>348</v>
      </c>
      <c r="D1061">
        <v>78.709999999999994</v>
      </c>
      <c r="E1061">
        <v>520.73</v>
      </c>
      <c r="F1061">
        <v>7.25</v>
      </c>
      <c r="G1061">
        <v>198.05</v>
      </c>
      <c r="H1061">
        <v>9.07</v>
      </c>
      <c r="I1061">
        <v>16.84</v>
      </c>
      <c r="J1061">
        <v>476.79</v>
      </c>
      <c r="K1061">
        <v>3103.66</v>
      </c>
      <c r="L1061">
        <v>7.05</v>
      </c>
      <c r="M1061">
        <v>1.08</v>
      </c>
      <c r="N1061">
        <v>6.01</v>
      </c>
    </row>
    <row r="1062" spans="1:14">
      <c r="A1062" s="28">
        <v>349</v>
      </c>
      <c r="B1062" t="s">
        <v>2149</v>
      </c>
      <c r="C1062" t="s">
        <v>347</v>
      </c>
      <c r="D1062">
        <v>784.41</v>
      </c>
      <c r="F1062">
        <v>35.799999999999997</v>
      </c>
      <c r="G1062" t="s">
        <v>2788</v>
      </c>
      <c r="H1062">
        <v>-3.91</v>
      </c>
      <c r="I1062">
        <v>-29.15</v>
      </c>
      <c r="J1062">
        <v>-502.79</v>
      </c>
      <c r="K1062">
        <v>1439.99</v>
      </c>
      <c r="M1062">
        <v>3.96</v>
      </c>
      <c r="N1062">
        <v>40.82</v>
      </c>
    </row>
    <row r="1063" spans="1:14">
      <c r="A1063" s="28">
        <v>142</v>
      </c>
      <c r="B1063" t="s">
        <v>2346</v>
      </c>
      <c r="C1063" t="s">
        <v>347</v>
      </c>
      <c r="D1063">
        <v>79.87</v>
      </c>
      <c r="E1063">
        <v>2690.03</v>
      </c>
      <c r="F1063">
        <v>74.16</v>
      </c>
      <c r="G1063">
        <v>112.99</v>
      </c>
      <c r="H1063">
        <v>17.670000000000002</v>
      </c>
      <c r="I1063">
        <v>32.33</v>
      </c>
      <c r="J1063">
        <v>3847.85</v>
      </c>
      <c r="K1063">
        <v>13950.13</v>
      </c>
      <c r="N1063">
        <v>0</v>
      </c>
    </row>
    <row r="1064" spans="1:14">
      <c r="A1064" s="28">
        <v>559</v>
      </c>
      <c r="B1064" t="s">
        <v>646</v>
      </c>
      <c r="C1064" t="s">
        <v>347</v>
      </c>
      <c r="D1064">
        <v>79.91</v>
      </c>
      <c r="E1064">
        <v>110648.46</v>
      </c>
      <c r="F1064">
        <v>22.77</v>
      </c>
      <c r="G1064">
        <v>-32.69</v>
      </c>
      <c r="H1064">
        <v>1.27</v>
      </c>
      <c r="I1064">
        <v>2.2799999999999998</v>
      </c>
      <c r="J1064">
        <v>4904.43</v>
      </c>
      <c r="K1064">
        <v>242367.71</v>
      </c>
      <c r="L1064">
        <v>36.29</v>
      </c>
      <c r="M1064">
        <v>0.73</v>
      </c>
      <c r="N1064">
        <v>14.25</v>
      </c>
    </row>
    <row r="1065" spans="1:14">
      <c r="A1065" s="28">
        <v>523</v>
      </c>
      <c r="B1065" t="s">
        <v>2063</v>
      </c>
      <c r="C1065" t="s">
        <v>348</v>
      </c>
      <c r="D1065">
        <v>8.06</v>
      </c>
      <c r="E1065">
        <v>8245.15</v>
      </c>
      <c r="F1065">
        <v>24.53</v>
      </c>
      <c r="G1065">
        <v>-42.67</v>
      </c>
      <c r="H1065">
        <v>7.13</v>
      </c>
      <c r="I1065">
        <v>7.75</v>
      </c>
      <c r="J1065">
        <v>620.84</v>
      </c>
      <c r="K1065">
        <v>8345.15</v>
      </c>
      <c r="L1065">
        <v>18.28</v>
      </c>
      <c r="M1065">
        <v>1.36</v>
      </c>
      <c r="N1065">
        <v>13.37</v>
      </c>
    </row>
    <row r="1066" spans="1:14">
      <c r="A1066" s="28">
        <v>1044</v>
      </c>
      <c r="B1066" t="s">
        <v>206</v>
      </c>
      <c r="C1066" t="s">
        <v>347</v>
      </c>
      <c r="D1066">
        <v>8.07</v>
      </c>
      <c r="E1066">
        <v>17682.009999999998</v>
      </c>
      <c r="F1066">
        <v>8.14</v>
      </c>
      <c r="G1066">
        <v>-2.76</v>
      </c>
      <c r="H1066">
        <v>6.08</v>
      </c>
      <c r="I1066">
        <v>6.63</v>
      </c>
      <c r="J1066">
        <v>1093.74</v>
      </c>
      <c r="K1066">
        <v>17782.009999999998</v>
      </c>
      <c r="L1066">
        <v>14.98</v>
      </c>
      <c r="M1066">
        <v>0.92</v>
      </c>
      <c r="N1066">
        <v>14.21</v>
      </c>
    </row>
    <row r="1067" spans="1:14">
      <c r="A1067" s="28">
        <v>626</v>
      </c>
      <c r="B1067" t="s">
        <v>2747</v>
      </c>
      <c r="C1067" t="s">
        <v>348</v>
      </c>
      <c r="D1067">
        <v>8.1199999999999992</v>
      </c>
      <c r="E1067">
        <v>485.33</v>
      </c>
      <c r="F1067">
        <v>19.64</v>
      </c>
      <c r="G1067" t="s">
        <v>349</v>
      </c>
      <c r="H1067">
        <v>-12.05</v>
      </c>
      <c r="I1067">
        <v>-13.14</v>
      </c>
      <c r="J1067">
        <v>-82.91</v>
      </c>
      <c r="K1067">
        <v>585.33000000000004</v>
      </c>
      <c r="M1067">
        <v>3.13</v>
      </c>
      <c r="N1067">
        <v>21.76</v>
      </c>
    </row>
    <row r="1068" spans="1:14">
      <c r="A1068" s="28">
        <v>775</v>
      </c>
      <c r="B1068" t="s">
        <v>406</v>
      </c>
      <c r="C1068" t="s">
        <v>348</v>
      </c>
      <c r="D1068">
        <v>8.43</v>
      </c>
      <c r="E1068">
        <v>3598.48</v>
      </c>
      <c r="F1068">
        <v>14.81</v>
      </c>
      <c r="G1068">
        <v>48.61</v>
      </c>
      <c r="H1068">
        <v>15.46</v>
      </c>
      <c r="I1068">
        <v>16.93</v>
      </c>
      <c r="J1068">
        <v>2925.28</v>
      </c>
      <c r="K1068">
        <v>18492.38</v>
      </c>
      <c r="L1068">
        <v>6.51</v>
      </c>
      <c r="M1068">
        <v>1.03</v>
      </c>
      <c r="N1068">
        <v>7.29</v>
      </c>
    </row>
    <row r="1069" spans="1:14">
      <c r="A1069" s="28">
        <v>320</v>
      </c>
      <c r="B1069" t="s">
        <v>2423</v>
      </c>
      <c r="C1069" t="s">
        <v>348</v>
      </c>
      <c r="D1069">
        <v>8.66</v>
      </c>
      <c r="E1069">
        <v>15.6</v>
      </c>
      <c r="F1069">
        <v>38.479999999999997</v>
      </c>
      <c r="G1069" t="s">
        <v>2788</v>
      </c>
      <c r="H1069">
        <v>-3.84</v>
      </c>
      <c r="I1069">
        <v>-4.3499999999999996</v>
      </c>
      <c r="J1069">
        <v>-24.92</v>
      </c>
      <c r="K1069">
        <v>577.99</v>
      </c>
      <c r="M1069">
        <v>0.73</v>
      </c>
    </row>
    <row r="1070" spans="1:14">
      <c r="A1070" s="28">
        <v>445</v>
      </c>
      <c r="B1070" t="s">
        <v>2165</v>
      </c>
      <c r="C1070" t="s">
        <v>348</v>
      </c>
      <c r="D1070">
        <v>8.7899999999999991</v>
      </c>
      <c r="E1070">
        <v>4.33</v>
      </c>
      <c r="F1070">
        <v>28.57</v>
      </c>
      <c r="G1070">
        <v>0.18</v>
      </c>
      <c r="H1070">
        <v>7.43</v>
      </c>
      <c r="I1070">
        <v>8.3699999999999992</v>
      </c>
      <c r="J1070">
        <v>420.62</v>
      </c>
      <c r="K1070">
        <v>5314.4</v>
      </c>
      <c r="L1070">
        <v>10.1</v>
      </c>
      <c r="M1070">
        <v>0.8</v>
      </c>
      <c r="N1070">
        <v>10.65</v>
      </c>
    </row>
    <row r="1071" spans="1:14">
      <c r="A1071" s="28">
        <v>781</v>
      </c>
      <c r="B1071" t="s">
        <v>736</v>
      </c>
      <c r="C1071" t="s">
        <v>348</v>
      </c>
      <c r="D1071">
        <v>8.7899999999999991</v>
      </c>
      <c r="E1071">
        <v>5382.82</v>
      </c>
      <c r="F1071">
        <v>14.63</v>
      </c>
      <c r="G1071">
        <v>46.06</v>
      </c>
      <c r="H1071">
        <v>16.59</v>
      </c>
      <c r="I1071">
        <v>18.02</v>
      </c>
      <c r="J1071">
        <v>743.37</v>
      </c>
      <c r="K1071">
        <v>5482.82</v>
      </c>
      <c r="L1071">
        <v>36.99</v>
      </c>
      <c r="M1071">
        <v>5.0199999999999996</v>
      </c>
      <c r="N1071">
        <v>32.56</v>
      </c>
    </row>
    <row r="1072" spans="1:14">
      <c r="A1072" s="28">
        <v>460</v>
      </c>
      <c r="B1072" t="s">
        <v>2269</v>
      </c>
      <c r="C1072" t="s">
        <v>347</v>
      </c>
      <c r="D1072">
        <v>80</v>
      </c>
      <c r="E1072">
        <v>480.57</v>
      </c>
      <c r="F1072">
        <v>27.67</v>
      </c>
      <c r="G1072" t="s">
        <v>2788</v>
      </c>
      <c r="H1072">
        <v>-39.159999999999997</v>
      </c>
      <c r="I1072">
        <v>-67.25</v>
      </c>
      <c r="J1072">
        <v>-1901.88</v>
      </c>
      <c r="K1072">
        <v>2902.85</v>
      </c>
      <c r="M1072">
        <v>1.93</v>
      </c>
    </row>
    <row r="1073" spans="1:14">
      <c r="A1073" s="28">
        <v>911</v>
      </c>
      <c r="B1073" t="s">
        <v>601</v>
      </c>
      <c r="C1073" t="s">
        <v>347</v>
      </c>
      <c r="D1073">
        <v>80.23</v>
      </c>
      <c r="E1073">
        <v>11677.42</v>
      </c>
      <c r="F1073">
        <v>11.02</v>
      </c>
      <c r="G1073">
        <v>7265.47</v>
      </c>
      <c r="H1073">
        <v>5.86</v>
      </c>
      <c r="I1073">
        <v>10.53</v>
      </c>
      <c r="J1073">
        <v>60859.87</v>
      </c>
      <c r="K1073">
        <v>637275.80000000005</v>
      </c>
      <c r="L1073">
        <v>3.75</v>
      </c>
      <c r="M1073">
        <v>0.36</v>
      </c>
      <c r="N1073">
        <v>7.41</v>
      </c>
    </row>
    <row r="1074" spans="1:14">
      <c r="A1074" s="28">
        <v>291</v>
      </c>
      <c r="B1074" t="s">
        <v>242</v>
      </c>
      <c r="C1074" t="s">
        <v>347</v>
      </c>
      <c r="D1074">
        <v>80.28</v>
      </c>
      <c r="E1074">
        <v>2204.89</v>
      </c>
      <c r="F1074">
        <v>41.79</v>
      </c>
      <c r="G1074">
        <v>515.54</v>
      </c>
      <c r="H1074">
        <v>8.77</v>
      </c>
      <c r="I1074">
        <v>16.239999999999998</v>
      </c>
      <c r="J1074">
        <v>1977.64</v>
      </c>
      <c r="K1074">
        <v>14813.86</v>
      </c>
      <c r="L1074">
        <v>4.0999999999999996</v>
      </c>
      <c r="M1074">
        <v>0.55000000000000004</v>
      </c>
      <c r="N1074">
        <v>4.45</v>
      </c>
    </row>
    <row r="1075" spans="1:14">
      <c r="A1075" s="28">
        <v>67</v>
      </c>
      <c r="B1075" t="s">
        <v>1583</v>
      </c>
      <c r="C1075" t="s">
        <v>348</v>
      </c>
      <c r="D1075">
        <v>80.59</v>
      </c>
      <c r="E1075">
        <v>303.18</v>
      </c>
      <c r="F1075">
        <v>152.29</v>
      </c>
      <c r="G1075" t="s">
        <v>2788</v>
      </c>
      <c r="H1075">
        <v>-21.28</v>
      </c>
      <c r="I1075">
        <v>-44.56</v>
      </c>
      <c r="J1075">
        <v>-140.94999999999999</v>
      </c>
      <c r="K1075">
        <v>403.18</v>
      </c>
      <c r="M1075">
        <v>1</v>
      </c>
    </row>
    <row r="1076" spans="1:14">
      <c r="A1076" s="28">
        <v>934</v>
      </c>
      <c r="B1076" t="s">
        <v>649</v>
      </c>
      <c r="C1076" t="s">
        <v>347</v>
      </c>
      <c r="D1076">
        <v>80.67</v>
      </c>
      <c r="E1076">
        <v>2762.25</v>
      </c>
      <c r="F1076">
        <v>10.45</v>
      </c>
      <c r="G1076">
        <v>21.32</v>
      </c>
      <c r="H1076">
        <v>6.8</v>
      </c>
      <c r="I1076">
        <v>12.14</v>
      </c>
      <c r="J1076">
        <v>1660.3</v>
      </c>
      <c r="K1076">
        <v>14311.24</v>
      </c>
      <c r="L1076">
        <v>11.56</v>
      </c>
      <c r="M1076">
        <v>1.34</v>
      </c>
      <c r="N1076">
        <v>15.35</v>
      </c>
    </row>
    <row r="1077" spans="1:14">
      <c r="A1077" s="28">
        <v>823</v>
      </c>
      <c r="B1077" t="s">
        <v>2763</v>
      </c>
      <c r="C1077" t="s">
        <v>348</v>
      </c>
      <c r="D1077">
        <v>81.03</v>
      </c>
      <c r="E1077">
        <v>690.15</v>
      </c>
      <c r="F1077">
        <v>13.52</v>
      </c>
      <c r="G1077">
        <v>50.96</v>
      </c>
      <c r="H1077">
        <v>7.69</v>
      </c>
      <c r="I1077">
        <v>14.34</v>
      </c>
      <c r="J1077">
        <v>105.46</v>
      </c>
      <c r="K1077">
        <v>790.15</v>
      </c>
      <c r="L1077">
        <v>11.28</v>
      </c>
      <c r="M1077">
        <v>1.51</v>
      </c>
      <c r="N1077">
        <v>8.33</v>
      </c>
    </row>
    <row r="1078" spans="1:14">
      <c r="A1078" s="28">
        <v>753</v>
      </c>
      <c r="B1078" t="s">
        <v>1389</v>
      </c>
      <c r="C1078" t="s">
        <v>348</v>
      </c>
      <c r="D1078">
        <v>81.09</v>
      </c>
      <c r="E1078">
        <v>671.81</v>
      </c>
      <c r="F1078">
        <v>15.41</v>
      </c>
      <c r="G1078">
        <v>-48.71</v>
      </c>
      <c r="H1078">
        <v>3.4</v>
      </c>
      <c r="I1078">
        <v>4.99</v>
      </c>
      <c r="J1078">
        <v>182.32</v>
      </c>
      <c r="K1078">
        <v>3874.7</v>
      </c>
      <c r="L1078">
        <v>126.7</v>
      </c>
      <c r="M1078">
        <v>5.96</v>
      </c>
      <c r="N1078">
        <v>61.48</v>
      </c>
    </row>
    <row r="1079" spans="1:14">
      <c r="A1079" s="28">
        <v>622</v>
      </c>
      <c r="B1079" t="s">
        <v>960</v>
      </c>
      <c r="C1079" t="s">
        <v>348</v>
      </c>
      <c r="D1079">
        <v>81.400000000000006</v>
      </c>
      <c r="E1079">
        <v>1136.45</v>
      </c>
      <c r="F1079">
        <v>19.82</v>
      </c>
      <c r="G1079">
        <v>22.67</v>
      </c>
      <c r="H1079">
        <v>4.41</v>
      </c>
      <c r="I1079">
        <v>8.07</v>
      </c>
      <c r="J1079">
        <v>479.45</v>
      </c>
      <c r="K1079">
        <v>6182.27</v>
      </c>
      <c r="L1079">
        <v>14.37</v>
      </c>
      <c r="M1079">
        <v>1.1100000000000001</v>
      </c>
      <c r="N1079">
        <v>8.2200000000000006</v>
      </c>
    </row>
    <row r="1080" spans="1:14">
      <c r="A1080" s="28">
        <v>770</v>
      </c>
      <c r="B1080" t="s">
        <v>2330</v>
      </c>
      <c r="C1080" t="s">
        <v>348</v>
      </c>
      <c r="D1080">
        <v>81.52</v>
      </c>
      <c r="E1080">
        <v>407.99</v>
      </c>
      <c r="F1080">
        <v>14.96</v>
      </c>
      <c r="G1080" t="s">
        <v>2788</v>
      </c>
      <c r="H1080">
        <v>-1.23</v>
      </c>
      <c r="I1080">
        <v>-2.34</v>
      </c>
      <c r="J1080">
        <v>-57.04</v>
      </c>
      <c r="K1080">
        <v>2539.9299999999998</v>
      </c>
      <c r="M1080">
        <v>2.06</v>
      </c>
      <c r="N1080">
        <v>1291.67</v>
      </c>
    </row>
    <row r="1081" spans="1:14">
      <c r="A1081" s="28">
        <v>949</v>
      </c>
      <c r="B1081" t="s">
        <v>1083</v>
      </c>
      <c r="C1081" t="s">
        <v>347</v>
      </c>
      <c r="D1081">
        <v>81.59</v>
      </c>
      <c r="E1081">
        <v>326.67</v>
      </c>
      <c r="F1081">
        <v>10.199999999999999</v>
      </c>
      <c r="G1081">
        <v>22.63</v>
      </c>
      <c r="H1081">
        <v>3.27</v>
      </c>
      <c r="I1081">
        <v>5.97</v>
      </c>
      <c r="J1081">
        <v>589.82000000000005</v>
      </c>
      <c r="K1081">
        <v>10666.69</v>
      </c>
      <c r="L1081">
        <v>26.53</v>
      </c>
      <c r="M1081">
        <v>1.47</v>
      </c>
      <c r="N1081">
        <v>14.89</v>
      </c>
    </row>
    <row r="1082" spans="1:14">
      <c r="A1082" s="28">
        <v>437</v>
      </c>
      <c r="B1082" t="s">
        <v>1874</v>
      </c>
      <c r="C1082" t="s">
        <v>348</v>
      </c>
      <c r="D1082">
        <v>81.86</v>
      </c>
      <c r="F1082">
        <v>28.85</v>
      </c>
      <c r="G1082" t="s">
        <v>2788</v>
      </c>
      <c r="H1082">
        <v>-12.08</v>
      </c>
      <c r="I1082">
        <v>-21.84</v>
      </c>
      <c r="J1082">
        <v>-60.8</v>
      </c>
      <c r="K1082">
        <v>286.83</v>
      </c>
      <c r="M1082">
        <v>1.24</v>
      </c>
      <c r="N1082">
        <v>228.78</v>
      </c>
    </row>
    <row r="1083" spans="1:14">
      <c r="A1083" s="28">
        <v>570</v>
      </c>
      <c r="B1083" t="s">
        <v>2666</v>
      </c>
      <c r="C1083" t="s">
        <v>348</v>
      </c>
      <c r="D1083">
        <v>82.13</v>
      </c>
      <c r="E1083">
        <v>479.83</v>
      </c>
      <c r="F1083">
        <v>22.24</v>
      </c>
      <c r="G1083" t="s">
        <v>350</v>
      </c>
      <c r="H1083">
        <v>6.1</v>
      </c>
      <c r="I1083">
        <v>12.2</v>
      </c>
      <c r="J1083">
        <v>273.06</v>
      </c>
      <c r="K1083">
        <v>2899.14</v>
      </c>
      <c r="L1083">
        <v>13.77</v>
      </c>
      <c r="M1083">
        <v>1.3</v>
      </c>
      <c r="N1083">
        <v>11.34</v>
      </c>
    </row>
    <row r="1084" spans="1:14">
      <c r="A1084" s="28">
        <v>482</v>
      </c>
      <c r="B1084" t="s">
        <v>1573</v>
      </c>
      <c r="C1084" t="s">
        <v>347</v>
      </c>
      <c r="D1084">
        <v>82.17</v>
      </c>
      <c r="E1084">
        <v>561.6</v>
      </c>
      <c r="F1084">
        <v>26.39</v>
      </c>
      <c r="G1084" t="s">
        <v>350</v>
      </c>
      <c r="H1084">
        <v>1.41</v>
      </c>
      <c r="I1084">
        <v>2.91</v>
      </c>
      <c r="J1084">
        <v>19.239999999999998</v>
      </c>
      <c r="K1084">
        <v>661.6</v>
      </c>
      <c r="L1084">
        <v>41.59</v>
      </c>
      <c r="M1084">
        <v>1.21</v>
      </c>
    </row>
    <row r="1085" spans="1:14">
      <c r="A1085" s="28">
        <v>83</v>
      </c>
      <c r="B1085" t="s">
        <v>1758</v>
      </c>
      <c r="C1085" t="s">
        <v>348</v>
      </c>
      <c r="D1085">
        <v>82.24</v>
      </c>
      <c r="E1085">
        <v>134.99</v>
      </c>
      <c r="F1085">
        <v>128.18</v>
      </c>
      <c r="G1085" t="s">
        <v>2788</v>
      </c>
      <c r="H1085">
        <v>-14.23</v>
      </c>
      <c r="I1085">
        <v>-22.88</v>
      </c>
      <c r="J1085">
        <v>-60.97</v>
      </c>
      <c r="K1085">
        <v>234.99</v>
      </c>
      <c r="M1085">
        <v>4.83</v>
      </c>
    </row>
    <row r="1086" spans="1:14">
      <c r="A1086" s="28">
        <v>928</v>
      </c>
      <c r="B1086" t="s">
        <v>719</v>
      </c>
      <c r="C1086" t="s">
        <v>347</v>
      </c>
      <c r="D1086">
        <v>82.35</v>
      </c>
      <c r="E1086">
        <v>2405.19</v>
      </c>
      <c r="F1086">
        <v>10.58</v>
      </c>
      <c r="G1086">
        <v>-24.51</v>
      </c>
      <c r="H1086">
        <v>5.31</v>
      </c>
      <c r="I1086">
        <v>9.43</v>
      </c>
      <c r="J1086">
        <v>1082.47</v>
      </c>
      <c r="K1086">
        <v>12525.95</v>
      </c>
      <c r="L1086">
        <v>14.47</v>
      </c>
      <c r="M1086">
        <v>1.25</v>
      </c>
      <c r="N1086">
        <v>9.01</v>
      </c>
    </row>
    <row r="1087" spans="1:14">
      <c r="A1087" s="28">
        <v>905</v>
      </c>
      <c r="B1087" t="s">
        <v>835</v>
      </c>
      <c r="C1087" t="s">
        <v>347</v>
      </c>
      <c r="D1087">
        <v>82.47</v>
      </c>
      <c r="E1087">
        <v>502.17</v>
      </c>
      <c r="F1087">
        <v>11.09</v>
      </c>
      <c r="G1087">
        <v>112.38</v>
      </c>
      <c r="H1087">
        <v>6.25</v>
      </c>
      <c r="I1087">
        <v>11.35</v>
      </c>
      <c r="J1087">
        <v>3289.02</v>
      </c>
      <c r="K1087">
        <v>30108.37</v>
      </c>
      <c r="L1087">
        <v>8.91</v>
      </c>
      <c r="M1087">
        <v>0.97</v>
      </c>
      <c r="N1087">
        <v>4.4800000000000004</v>
      </c>
    </row>
    <row r="1088" spans="1:14">
      <c r="A1088" s="28">
        <v>946</v>
      </c>
      <c r="B1088" t="s">
        <v>1321</v>
      </c>
      <c r="C1088" t="s">
        <v>348</v>
      </c>
      <c r="D1088">
        <v>82.6</v>
      </c>
      <c r="E1088">
        <v>2365.5100000000002</v>
      </c>
      <c r="F1088">
        <v>10.25</v>
      </c>
      <c r="G1088">
        <v>543.38</v>
      </c>
      <c r="H1088">
        <v>17.77</v>
      </c>
      <c r="I1088">
        <v>33.270000000000003</v>
      </c>
      <c r="J1088">
        <v>3349.57</v>
      </c>
      <c r="K1088">
        <v>12327.56</v>
      </c>
      <c r="L1088">
        <v>3.3</v>
      </c>
      <c r="M1088">
        <v>0.9</v>
      </c>
      <c r="N1088">
        <v>7.59</v>
      </c>
    </row>
    <row r="1089" spans="1:14">
      <c r="A1089" s="28">
        <v>904</v>
      </c>
      <c r="B1089" t="s">
        <v>1186</v>
      </c>
      <c r="C1089" t="s">
        <v>347</v>
      </c>
      <c r="D1089">
        <v>82.64</v>
      </c>
      <c r="E1089">
        <v>556.63</v>
      </c>
      <c r="F1089">
        <v>11.11</v>
      </c>
      <c r="G1089" t="s">
        <v>350</v>
      </c>
      <c r="H1089">
        <v>3.65</v>
      </c>
      <c r="I1089">
        <v>7.15</v>
      </c>
      <c r="J1089">
        <v>191.3</v>
      </c>
      <c r="K1089">
        <v>3283.16</v>
      </c>
      <c r="L1089">
        <v>20.65</v>
      </c>
      <c r="M1089">
        <v>1.2</v>
      </c>
      <c r="N1089">
        <v>14.36</v>
      </c>
    </row>
    <row r="1090" spans="1:14">
      <c r="A1090" s="28">
        <v>496</v>
      </c>
      <c r="B1090" t="s">
        <v>2028</v>
      </c>
      <c r="C1090" t="s">
        <v>348</v>
      </c>
      <c r="D1090">
        <v>826.56</v>
      </c>
      <c r="E1090">
        <v>388.31</v>
      </c>
      <c r="F1090">
        <v>25.7</v>
      </c>
      <c r="G1090" t="s">
        <v>2788</v>
      </c>
      <c r="H1090">
        <v>-6.19</v>
      </c>
      <c r="I1090">
        <v>-51.27</v>
      </c>
      <c r="J1090">
        <v>-283.48</v>
      </c>
      <c r="K1090">
        <v>488.31</v>
      </c>
      <c r="M1090">
        <v>1.77</v>
      </c>
      <c r="N1090">
        <v>40.89</v>
      </c>
    </row>
    <row r="1091" spans="1:14">
      <c r="A1091" s="28">
        <v>145</v>
      </c>
      <c r="B1091" t="s">
        <v>1621</v>
      </c>
      <c r="C1091" t="s">
        <v>347</v>
      </c>
      <c r="D1091">
        <v>83.06</v>
      </c>
      <c r="E1091">
        <v>329.72</v>
      </c>
      <c r="F1091">
        <v>73.2</v>
      </c>
      <c r="G1091">
        <v>-66.989999999999995</v>
      </c>
      <c r="H1091">
        <v>1.33</v>
      </c>
      <c r="I1091">
        <v>2.2999999999999998</v>
      </c>
      <c r="J1091">
        <v>48.12</v>
      </c>
      <c r="K1091">
        <v>2148.58</v>
      </c>
      <c r="L1091">
        <v>31.27</v>
      </c>
      <c r="M1091">
        <v>0.7</v>
      </c>
      <c r="N1091">
        <v>15.36</v>
      </c>
    </row>
    <row r="1092" spans="1:14">
      <c r="A1092" s="28">
        <v>643</v>
      </c>
      <c r="B1092" t="s">
        <v>1728</v>
      </c>
      <c r="C1092" t="s">
        <v>348</v>
      </c>
      <c r="D1092">
        <v>83.1</v>
      </c>
      <c r="E1092">
        <v>6598.83</v>
      </c>
      <c r="F1092">
        <v>19.11</v>
      </c>
      <c r="G1092">
        <v>18.53</v>
      </c>
      <c r="H1092">
        <v>15.05</v>
      </c>
      <c r="I1092">
        <v>25.43</v>
      </c>
      <c r="J1092">
        <v>1468.86</v>
      </c>
      <c r="K1092">
        <v>6698.83</v>
      </c>
      <c r="N1092">
        <v>0</v>
      </c>
    </row>
    <row r="1093" spans="1:14">
      <c r="A1093" s="28">
        <v>403</v>
      </c>
      <c r="B1093" t="s">
        <v>2490</v>
      </c>
      <c r="C1093" t="s">
        <v>348</v>
      </c>
      <c r="D1093">
        <v>83.15</v>
      </c>
      <c r="E1093">
        <v>1176.54</v>
      </c>
      <c r="F1093">
        <v>31.7</v>
      </c>
      <c r="G1093">
        <v>-3.47</v>
      </c>
      <c r="H1093">
        <v>5.08</v>
      </c>
      <c r="I1093">
        <v>9.65</v>
      </c>
      <c r="J1093">
        <v>584.07000000000005</v>
      </c>
      <c r="K1093">
        <v>6382.7</v>
      </c>
      <c r="L1093">
        <v>6.99</v>
      </c>
      <c r="M1093">
        <v>0.64</v>
      </c>
      <c r="N1093">
        <v>2.76</v>
      </c>
    </row>
    <row r="1094" spans="1:14">
      <c r="A1094" s="28">
        <v>75</v>
      </c>
      <c r="B1094" t="s">
        <v>1928</v>
      </c>
      <c r="C1094" t="s">
        <v>348</v>
      </c>
      <c r="D1094">
        <v>83.18</v>
      </c>
      <c r="E1094">
        <v>357.75</v>
      </c>
      <c r="F1094">
        <v>140.03</v>
      </c>
      <c r="G1094" t="s">
        <v>349</v>
      </c>
      <c r="H1094">
        <v>-0.34</v>
      </c>
      <c r="I1094">
        <v>-0.56000000000000005</v>
      </c>
      <c r="J1094">
        <v>-15.49</v>
      </c>
      <c r="K1094">
        <v>2288.77</v>
      </c>
      <c r="M1094">
        <v>1.38</v>
      </c>
      <c r="N1094">
        <v>16.73</v>
      </c>
    </row>
    <row r="1095" spans="1:14">
      <c r="A1095" s="28">
        <v>340</v>
      </c>
      <c r="B1095" t="s">
        <v>2362</v>
      </c>
      <c r="C1095" t="s">
        <v>348</v>
      </c>
      <c r="D1095">
        <v>83.8</v>
      </c>
      <c r="E1095">
        <v>457.71</v>
      </c>
      <c r="F1095">
        <v>36.68</v>
      </c>
      <c r="G1095" t="s">
        <v>2788</v>
      </c>
      <c r="H1095">
        <v>-12.61</v>
      </c>
      <c r="I1095">
        <v>-21.8</v>
      </c>
      <c r="J1095">
        <v>-595.16</v>
      </c>
      <c r="K1095">
        <v>2516.48</v>
      </c>
      <c r="M1095">
        <v>2.87</v>
      </c>
    </row>
    <row r="1096" spans="1:14">
      <c r="A1096" s="28">
        <v>338</v>
      </c>
      <c r="B1096" t="s">
        <v>1365</v>
      </c>
      <c r="C1096" t="s">
        <v>347</v>
      </c>
      <c r="D1096">
        <v>83.86</v>
      </c>
      <c r="E1096">
        <v>297.49</v>
      </c>
      <c r="F1096">
        <v>36.79</v>
      </c>
      <c r="G1096">
        <v>2143.23</v>
      </c>
      <c r="H1096">
        <v>20.67</v>
      </c>
      <c r="I1096">
        <v>40.69</v>
      </c>
      <c r="J1096">
        <v>1352.63</v>
      </c>
      <c r="K1096">
        <v>3974.89</v>
      </c>
      <c r="L1096">
        <v>4.16</v>
      </c>
      <c r="M1096">
        <v>1.42</v>
      </c>
      <c r="N1096">
        <v>4.12</v>
      </c>
    </row>
    <row r="1097" spans="1:14">
      <c r="A1097" s="28">
        <v>834</v>
      </c>
      <c r="B1097" t="s">
        <v>1313</v>
      </c>
      <c r="C1097" t="s">
        <v>348</v>
      </c>
      <c r="D1097">
        <v>84.07</v>
      </c>
      <c r="E1097">
        <v>2312.5700000000002</v>
      </c>
      <c r="F1097">
        <v>13.16</v>
      </c>
      <c r="G1097">
        <v>-68.55</v>
      </c>
      <c r="H1097">
        <v>2.74</v>
      </c>
      <c r="I1097">
        <v>5.91</v>
      </c>
      <c r="J1097">
        <v>614.69000000000005</v>
      </c>
      <c r="K1097">
        <v>12062.85</v>
      </c>
      <c r="L1097">
        <v>37.340000000000003</v>
      </c>
      <c r="M1097">
        <v>1.9</v>
      </c>
      <c r="N1097">
        <v>12.41</v>
      </c>
    </row>
    <row r="1098" spans="1:14">
      <c r="A1098" s="28">
        <v>947</v>
      </c>
      <c r="B1098" t="s">
        <v>1203</v>
      </c>
      <c r="C1098" t="s">
        <v>347</v>
      </c>
      <c r="D1098">
        <v>84.45</v>
      </c>
      <c r="E1098">
        <v>1107.8699999999999</v>
      </c>
      <c r="F1098">
        <v>10.24</v>
      </c>
      <c r="G1098">
        <v>387.14</v>
      </c>
      <c r="H1098">
        <v>1.17</v>
      </c>
      <c r="I1098">
        <v>2.06</v>
      </c>
      <c r="J1098">
        <v>124.42</v>
      </c>
      <c r="K1098">
        <v>6039.33</v>
      </c>
      <c r="L1098">
        <v>67.430000000000007</v>
      </c>
      <c r="M1098">
        <v>1.39</v>
      </c>
      <c r="N1098">
        <v>15.73</v>
      </c>
    </row>
    <row r="1099" spans="1:14">
      <c r="A1099" s="28">
        <v>666</v>
      </c>
      <c r="B1099" t="s">
        <v>892</v>
      </c>
      <c r="C1099" t="s">
        <v>347</v>
      </c>
      <c r="D1099">
        <v>84.55</v>
      </c>
      <c r="E1099">
        <v>2633.86</v>
      </c>
      <c r="F1099">
        <v>18.16</v>
      </c>
      <c r="G1099">
        <v>65.459999999999994</v>
      </c>
      <c r="H1099">
        <v>1.61</v>
      </c>
      <c r="I1099">
        <v>2.92</v>
      </c>
      <c r="J1099">
        <v>387.03</v>
      </c>
      <c r="K1099">
        <v>13669.28</v>
      </c>
      <c r="L1099">
        <v>15.35</v>
      </c>
      <c r="M1099">
        <v>0.43</v>
      </c>
      <c r="N1099">
        <v>5.84</v>
      </c>
    </row>
    <row r="1100" spans="1:14">
      <c r="A1100" s="28">
        <v>300</v>
      </c>
      <c r="B1100" t="s">
        <v>681</v>
      </c>
      <c r="C1100" t="s">
        <v>348</v>
      </c>
      <c r="D1100">
        <v>84.57</v>
      </c>
      <c r="E1100">
        <v>2582.62</v>
      </c>
      <c r="F1100">
        <v>41.04</v>
      </c>
      <c r="G1100">
        <v>-60.42</v>
      </c>
      <c r="H1100">
        <v>2.23</v>
      </c>
      <c r="I1100">
        <v>3.99</v>
      </c>
      <c r="J1100">
        <v>506.4</v>
      </c>
      <c r="K1100">
        <v>13413.08</v>
      </c>
      <c r="L1100">
        <v>8.81</v>
      </c>
      <c r="M1100">
        <v>0.33</v>
      </c>
      <c r="N1100">
        <v>6.53</v>
      </c>
    </row>
    <row r="1101" spans="1:14">
      <c r="A1101" s="28">
        <v>990</v>
      </c>
      <c r="B1101" t="s">
        <v>2487</v>
      </c>
      <c r="C1101" t="s">
        <v>348</v>
      </c>
      <c r="D1101">
        <v>84.88</v>
      </c>
      <c r="E1101">
        <v>1559.01</v>
      </c>
      <c r="F1101">
        <v>9.39</v>
      </c>
      <c r="G1101" t="s">
        <v>349</v>
      </c>
      <c r="H1101">
        <v>-38.049999999999997</v>
      </c>
      <c r="I1101">
        <v>-80.069999999999993</v>
      </c>
      <c r="J1101">
        <v>-1101.07</v>
      </c>
      <c r="K1101">
        <v>1659.01</v>
      </c>
      <c r="M1101">
        <v>1.89</v>
      </c>
      <c r="N1101">
        <v>11.33</v>
      </c>
    </row>
    <row r="1102" spans="1:14">
      <c r="A1102" s="28">
        <v>40</v>
      </c>
      <c r="B1102" t="s">
        <v>2010</v>
      </c>
      <c r="C1102" t="s">
        <v>348</v>
      </c>
      <c r="D1102">
        <v>84.91</v>
      </c>
      <c r="E1102">
        <v>1400</v>
      </c>
      <c r="F1102">
        <v>268.10000000000002</v>
      </c>
      <c r="G1102" t="s">
        <v>2788</v>
      </c>
      <c r="H1102">
        <v>-41.38</v>
      </c>
      <c r="I1102">
        <v>-70.34</v>
      </c>
      <c r="J1102">
        <v>-1303.4100000000001</v>
      </c>
      <c r="K1102">
        <v>1500</v>
      </c>
      <c r="M1102">
        <v>4.16</v>
      </c>
    </row>
    <row r="1103" spans="1:14">
      <c r="A1103" s="28">
        <v>100</v>
      </c>
      <c r="B1103" t="s">
        <v>1708</v>
      </c>
      <c r="C1103" t="s">
        <v>348</v>
      </c>
      <c r="D1103">
        <v>84.97</v>
      </c>
      <c r="E1103">
        <v>2240.86</v>
      </c>
      <c r="F1103">
        <v>112.16</v>
      </c>
      <c r="G1103">
        <v>20.190000000000001</v>
      </c>
      <c r="H1103">
        <v>1.66</v>
      </c>
      <c r="I1103">
        <v>2.95</v>
      </c>
      <c r="J1103">
        <v>345.41</v>
      </c>
      <c r="K1103">
        <v>12102.54</v>
      </c>
      <c r="L1103">
        <v>38.56</v>
      </c>
      <c r="M1103">
        <v>1.1000000000000001</v>
      </c>
      <c r="N1103">
        <v>14.27</v>
      </c>
    </row>
    <row r="1104" spans="1:14">
      <c r="A1104" s="28">
        <v>1081</v>
      </c>
      <c r="B1104" t="s">
        <v>2032</v>
      </c>
      <c r="C1104" t="s">
        <v>347</v>
      </c>
      <c r="D1104">
        <v>84.97</v>
      </c>
      <c r="E1104">
        <v>244.04</v>
      </c>
      <c r="F1104">
        <v>7.43</v>
      </c>
      <c r="G1104">
        <v>937.19</v>
      </c>
      <c r="H1104">
        <v>2.31</v>
      </c>
      <c r="I1104">
        <v>4.54</v>
      </c>
      <c r="J1104">
        <v>76.08</v>
      </c>
      <c r="K1104">
        <v>1720.21</v>
      </c>
      <c r="L1104">
        <v>12.55</v>
      </c>
      <c r="M1104">
        <v>0.56000000000000005</v>
      </c>
      <c r="N1104">
        <v>5.0999999999999996</v>
      </c>
    </row>
    <row r="1105" spans="1:14">
      <c r="A1105" s="28">
        <v>657</v>
      </c>
      <c r="B1105" t="s">
        <v>1323</v>
      </c>
      <c r="C1105" t="s">
        <v>348</v>
      </c>
      <c r="D1105">
        <v>85.22</v>
      </c>
      <c r="E1105">
        <v>439.8</v>
      </c>
      <c r="F1105">
        <v>18.61</v>
      </c>
      <c r="G1105">
        <v>-55.78</v>
      </c>
      <c r="H1105">
        <v>2.81</v>
      </c>
      <c r="I1105">
        <v>4.92</v>
      </c>
      <c r="J1105">
        <v>124.25</v>
      </c>
      <c r="K1105">
        <v>2698.98</v>
      </c>
      <c r="L1105">
        <v>18.59</v>
      </c>
      <c r="M1105">
        <v>0.86</v>
      </c>
      <c r="N1105">
        <v>10.050000000000001</v>
      </c>
    </row>
    <row r="1106" spans="1:14">
      <c r="A1106" s="28">
        <v>996</v>
      </c>
      <c r="B1106" t="s">
        <v>503</v>
      </c>
      <c r="C1106" t="s">
        <v>348</v>
      </c>
      <c r="D1106">
        <v>85.23</v>
      </c>
      <c r="E1106">
        <v>392.33</v>
      </c>
      <c r="F1106">
        <v>9.2899999999999991</v>
      </c>
      <c r="G1106">
        <v>-68.489999999999995</v>
      </c>
      <c r="H1106">
        <v>5.86</v>
      </c>
      <c r="I1106">
        <v>9.66</v>
      </c>
      <c r="J1106">
        <v>233.13</v>
      </c>
      <c r="K1106">
        <v>2461.64</v>
      </c>
      <c r="L1106">
        <v>14.11</v>
      </c>
      <c r="M1106">
        <v>1.34</v>
      </c>
      <c r="N1106">
        <v>9.99</v>
      </c>
    </row>
    <row r="1107" spans="1:14">
      <c r="A1107" s="28">
        <v>184</v>
      </c>
      <c r="B1107" t="s">
        <v>2866</v>
      </c>
      <c r="C1107" t="s">
        <v>348</v>
      </c>
      <c r="D1107">
        <v>85.75</v>
      </c>
      <c r="E1107">
        <v>1596.64</v>
      </c>
      <c r="F1107">
        <v>60.17</v>
      </c>
      <c r="G1107">
        <v>-68.97</v>
      </c>
      <c r="H1107">
        <v>3.76</v>
      </c>
      <c r="I1107">
        <v>8.19</v>
      </c>
      <c r="J1107">
        <v>568.48</v>
      </c>
      <c r="K1107">
        <v>8483.18</v>
      </c>
      <c r="L1107">
        <v>35.36</v>
      </c>
      <c r="M1107">
        <v>2.37</v>
      </c>
      <c r="N1107">
        <v>11.31</v>
      </c>
    </row>
    <row r="1108" spans="1:14">
      <c r="A1108" s="28">
        <v>737</v>
      </c>
      <c r="B1108" t="s">
        <v>1599</v>
      </c>
      <c r="C1108" t="s">
        <v>348</v>
      </c>
      <c r="D1108">
        <v>85.84</v>
      </c>
      <c r="E1108">
        <v>476.99</v>
      </c>
      <c r="F1108">
        <v>15.84</v>
      </c>
      <c r="G1108" t="s">
        <v>2788</v>
      </c>
      <c r="H1108">
        <v>-3.58</v>
      </c>
      <c r="I1108">
        <v>-6.41</v>
      </c>
      <c r="J1108">
        <v>-182.62</v>
      </c>
      <c r="K1108">
        <v>2884.97</v>
      </c>
      <c r="M1108">
        <v>1.65</v>
      </c>
    </row>
    <row r="1109" spans="1:14">
      <c r="A1109" s="28">
        <v>1108</v>
      </c>
      <c r="B1109" t="s">
        <v>1027</v>
      </c>
      <c r="C1109" t="s">
        <v>347</v>
      </c>
      <c r="D1109">
        <v>86.05</v>
      </c>
      <c r="E1109">
        <v>348.96</v>
      </c>
      <c r="F1109">
        <v>6.79</v>
      </c>
      <c r="G1109">
        <v>-8.3000000000000007</v>
      </c>
      <c r="H1109">
        <v>2.54</v>
      </c>
      <c r="I1109">
        <v>4.78</v>
      </c>
      <c r="J1109">
        <v>104.52</v>
      </c>
      <c r="K1109">
        <v>2244.8000000000002</v>
      </c>
      <c r="L1109">
        <v>23.54</v>
      </c>
      <c r="M1109">
        <v>1.1000000000000001</v>
      </c>
      <c r="N1109">
        <v>18</v>
      </c>
    </row>
    <row r="1110" spans="1:14">
      <c r="A1110" s="28">
        <v>436</v>
      </c>
      <c r="B1110" t="s">
        <v>2005</v>
      </c>
      <c r="C1110" t="s">
        <v>348</v>
      </c>
      <c r="D1110">
        <v>86.51</v>
      </c>
      <c r="E1110">
        <v>56.47</v>
      </c>
      <c r="F1110">
        <v>28.91</v>
      </c>
      <c r="G1110" t="s">
        <v>2788</v>
      </c>
      <c r="H1110">
        <v>-36.630000000000003</v>
      </c>
      <c r="I1110">
        <v>-59.16</v>
      </c>
      <c r="J1110">
        <v>-654.36</v>
      </c>
      <c r="K1110">
        <v>782.34</v>
      </c>
      <c r="M1110">
        <v>1.91</v>
      </c>
      <c r="N1110">
        <v>73.58</v>
      </c>
    </row>
    <row r="1111" spans="1:14">
      <c r="A1111" s="28">
        <v>202</v>
      </c>
      <c r="B1111" t="s">
        <v>2352</v>
      </c>
      <c r="C1111" t="s">
        <v>348</v>
      </c>
      <c r="D1111">
        <v>86.58</v>
      </c>
      <c r="E1111">
        <v>480.88</v>
      </c>
      <c r="F1111">
        <v>55.97</v>
      </c>
      <c r="G1111">
        <v>5.52</v>
      </c>
      <c r="H1111">
        <v>1.87</v>
      </c>
      <c r="I1111">
        <v>3.33</v>
      </c>
      <c r="J1111">
        <v>103.2</v>
      </c>
      <c r="K1111">
        <v>2904.38</v>
      </c>
      <c r="L1111">
        <v>23.98</v>
      </c>
      <c r="M1111">
        <v>0.85</v>
      </c>
      <c r="N1111">
        <v>8.59</v>
      </c>
    </row>
    <row r="1112" spans="1:14">
      <c r="A1112" s="28">
        <v>1051</v>
      </c>
      <c r="B1112" t="s">
        <v>2144</v>
      </c>
      <c r="C1112" t="s">
        <v>347</v>
      </c>
      <c r="D1112">
        <v>86.59</v>
      </c>
      <c r="E1112">
        <v>477.44</v>
      </c>
      <c r="F1112">
        <v>8.01</v>
      </c>
      <c r="G1112" t="s">
        <v>350</v>
      </c>
      <c r="H1112">
        <v>4.3</v>
      </c>
      <c r="I1112">
        <v>8.58</v>
      </c>
      <c r="J1112">
        <v>236.36</v>
      </c>
      <c r="K1112">
        <v>2887.18</v>
      </c>
      <c r="L1112">
        <v>6.94</v>
      </c>
      <c r="M1112">
        <v>0.56999999999999995</v>
      </c>
      <c r="N1112">
        <v>5.21</v>
      </c>
    </row>
    <row r="1113" spans="1:14">
      <c r="A1113" s="28">
        <v>41</v>
      </c>
      <c r="B1113" t="s">
        <v>2276</v>
      </c>
      <c r="C1113" t="s">
        <v>348</v>
      </c>
      <c r="D1113">
        <v>86.86</v>
      </c>
      <c r="F1113">
        <v>256.83999999999997</v>
      </c>
      <c r="G1113" t="s">
        <v>2788</v>
      </c>
      <c r="H1113">
        <v>-14.09</v>
      </c>
      <c r="I1113">
        <v>-39.03</v>
      </c>
      <c r="J1113">
        <v>-186.44</v>
      </c>
      <c r="K1113">
        <v>428.87</v>
      </c>
      <c r="M1113">
        <v>4.16</v>
      </c>
    </row>
    <row r="1114" spans="1:14">
      <c r="A1114" s="28">
        <v>474</v>
      </c>
      <c r="B1114" t="s">
        <v>1387</v>
      </c>
      <c r="C1114" t="s">
        <v>347</v>
      </c>
      <c r="D1114">
        <v>86.87</v>
      </c>
      <c r="E1114">
        <v>5448.5</v>
      </c>
      <c r="F1114">
        <v>26.67</v>
      </c>
      <c r="G1114">
        <v>30.83</v>
      </c>
      <c r="H1114">
        <v>10.86</v>
      </c>
      <c r="I1114">
        <v>20.88</v>
      </c>
      <c r="J1114">
        <v>5555.79</v>
      </c>
      <c r="K1114">
        <v>31000.79</v>
      </c>
      <c r="L1114">
        <v>18</v>
      </c>
      <c r="M1114">
        <v>3.23</v>
      </c>
      <c r="N1114">
        <v>10.55</v>
      </c>
    </row>
    <row r="1115" spans="1:14">
      <c r="A1115" s="28">
        <v>61</v>
      </c>
      <c r="B1115" t="s">
        <v>1744</v>
      </c>
      <c r="C1115" t="s">
        <v>348</v>
      </c>
      <c r="D1115">
        <v>86.95</v>
      </c>
      <c r="E1115">
        <v>418.81</v>
      </c>
      <c r="F1115">
        <v>165.77</v>
      </c>
      <c r="G1115" t="s">
        <v>2788</v>
      </c>
      <c r="H1115">
        <v>-17.89</v>
      </c>
      <c r="I1115">
        <v>-30.33</v>
      </c>
      <c r="J1115">
        <v>-738.22</v>
      </c>
      <c r="K1115">
        <v>1985.35</v>
      </c>
      <c r="M1115">
        <v>1.81</v>
      </c>
      <c r="N1115">
        <v>73.97</v>
      </c>
    </row>
    <row r="1116" spans="1:14">
      <c r="A1116" s="28">
        <v>9</v>
      </c>
      <c r="B1116" t="s">
        <v>1539</v>
      </c>
      <c r="C1116" t="s">
        <v>348</v>
      </c>
      <c r="D1116">
        <v>868.62</v>
      </c>
      <c r="F1116">
        <v>1850.37</v>
      </c>
      <c r="G1116" t="s">
        <v>2788</v>
      </c>
      <c r="H1116">
        <v>-32.69</v>
      </c>
      <c r="I1116">
        <v>-136.26</v>
      </c>
      <c r="J1116">
        <v>-922.58</v>
      </c>
      <c r="K1116">
        <v>261.10000000000002</v>
      </c>
      <c r="M1116">
        <v>46.25</v>
      </c>
    </row>
    <row r="1117" spans="1:14">
      <c r="A1117" s="28">
        <v>82</v>
      </c>
      <c r="B1117" t="s">
        <v>2431</v>
      </c>
      <c r="C1117" t="s">
        <v>347</v>
      </c>
      <c r="D1117">
        <v>869.44</v>
      </c>
      <c r="E1117">
        <v>9.19</v>
      </c>
      <c r="F1117">
        <v>129.46</v>
      </c>
      <c r="G1117" t="s">
        <v>2788</v>
      </c>
      <c r="H1117">
        <v>-13.44</v>
      </c>
      <c r="I1117">
        <v>-116.96</v>
      </c>
      <c r="J1117">
        <v>-1819.28</v>
      </c>
      <c r="K1117">
        <v>1091.9000000000001</v>
      </c>
      <c r="M1117">
        <v>2.5</v>
      </c>
      <c r="N1117">
        <v>15.11</v>
      </c>
    </row>
    <row r="1118" spans="1:14">
      <c r="A1118" s="28">
        <v>536</v>
      </c>
      <c r="B1118" t="s">
        <v>2113</v>
      </c>
      <c r="C1118" t="s">
        <v>348</v>
      </c>
      <c r="D1118">
        <v>87.01</v>
      </c>
      <c r="E1118">
        <v>1072.8599999999999</v>
      </c>
      <c r="F1118">
        <v>24.12</v>
      </c>
      <c r="G1118" t="s">
        <v>2788</v>
      </c>
      <c r="H1118">
        <v>-14.94</v>
      </c>
      <c r="I1118">
        <v>-26.02</v>
      </c>
      <c r="J1118">
        <v>-1483.7</v>
      </c>
      <c r="K1118">
        <v>5864.28</v>
      </c>
      <c r="M1118">
        <v>3.42</v>
      </c>
    </row>
    <row r="1119" spans="1:14">
      <c r="A1119" s="28">
        <v>397</v>
      </c>
      <c r="B1119" t="s">
        <v>2650</v>
      </c>
      <c r="C1119" t="s">
        <v>348</v>
      </c>
      <c r="D1119">
        <v>87.12</v>
      </c>
      <c r="E1119">
        <v>2003.96</v>
      </c>
      <c r="F1119">
        <v>31.8</v>
      </c>
      <c r="G1119">
        <v>99.07</v>
      </c>
      <c r="H1119">
        <v>4.3499999999999996</v>
      </c>
      <c r="I1119">
        <v>9.11</v>
      </c>
      <c r="J1119">
        <v>733.45</v>
      </c>
      <c r="K1119">
        <v>10519.81</v>
      </c>
      <c r="L1119">
        <v>23.86</v>
      </c>
      <c r="M1119">
        <v>1.66</v>
      </c>
      <c r="N1119">
        <v>150.15</v>
      </c>
    </row>
    <row r="1120" spans="1:14">
      <c r="A1120" s="28">
        <v>914</v>
      </c>
      <c r="B1120" t="s">
        <v>964</v>
      </c>
      <c r="C1120" t="s">
        <v>348</v>
      </c>
      <c r="D1120">
        <v>87.5</v>
      </c>
      <c r="E1120">
        <v>1622.45</v>
      </c>
      <c r="F1120">
        <v>11</v>
      </c>
      <c r="G1120">
        <v>366.82</v>
      </c>
      <c r="H1120">
        <v>3.42</v>
      </c>
      <c r="I1120">
        <v>5.31</v>
      </c>
      <c r="J1120">
        <v>215.05</v>
      </c>
      <c r="K1120">
        <v>4373.2700000000004</v>
      </c>
      <c r="L1120">
        <v>47.9</v>
      </c>
      <c r="M1120">
        <v>2.36</v>
      </c>
      <c r="N1120">
        <v>29.94</v>
      </c>
    </row>
    <row r="1121" spans="1:14">
      <c r="A1121" s="28">
        <v>242</v>
      </c>
      <c r="B1121" t="s">
        <v>2571</v>
      </c>
      <c r="C1121" t="s">
        <v>348</v>
      </c>
      <c r="D1121">
        <v>87.58</v>
      </c>
      <c r="E1121">
        <v>23.98</v>
      </c>
      <c r="F1121">
        <v>47.81</v>
      </c>
      <c r="G1121" t="s">
        <v>2788</v>
      </c>
      <c r="H1121">
        <v>-59.23</v>
      </c>
      <c r="I1121">
        <v>-108.9</v>
      </c>
      <c r="J1121">
        <v>-715.52</v>
      </c>
      <c r="K1121">
        <v>619.89</v>
      </c>
      <c r="M1121">
        <v>6.52</v>
      </c>
    </row>
    <row r="1122" spans="1:14">
      <c r="A1122" s="28">
        <v>369</v>
      </c>
      <c r="B1122" t="s">
        <v>269</v>
      </c>
      <c r="C1122" t="s">
        <v>348</v>
      </c>
      <c r="D1122">
        <v>87.75</v>
      </c>
      <c r="E1122">
        <v>963.34</v>
      </c>
      <c r="F1122">
        <v>33.5</v>
      </c>
      <c r="G1122">
        <v>495.21</v>
      </c>
      <c r="H1122">
        <v>12.08</v>
      </c>
      <c r="I1122">
        <v>26.68</v>
      </c>
      <c r="J1122">
        <v>1269.06</v>
      </c>
      <c r="K1122">
        <v>5316.7</v>
      </c>
      <c r="L1122">
        <v>2.25</v>
      </c>
      <c r="M1122">
        <v>0.54</v>
      </c>
      <c r="N1122">
        <v>20.73</v>
      </c>
    </row>
    <row r="1123" spans="1:14">
      <c r="A1123" s="28">
        <v>74</v>
      </c>
      <c r="B1123" t="s">
        <v>1522</v>
      </c>
      <c r="C1123" t="s">
        <v>348</v>
      </c>
      <c r="D1123">
        <v>87.91</v>
      </c>
      <c r="E1123">
        <v>178.02</v>
      </c>
      <c r="F1123">
        <v>142.47999999999999</v>
      </c>
      <c r="G1123" t="s">
        <v>2788</v>
      </c>
      <c r="H1123">
        <v>-14.78</v>
      </c>
      <c r="I1123">
        <v>-31.07</v>
      </c>
      <c r="J1123">
        <v>-479.26</v>
      </c>
      <c r="K1123">
        <v>1390.09</v>
      </c>
      <c r="M1123">
        <v>2.69</v>
      </c>
    </row>
    <row r="1124" spans="1:14">
      <c r="A1124" s="28">
        <v>354</v>
      </c>
      <c r="B1124" t="s">
        <v>812</v>
      </c>
      <c r="C1124" t="s">
        <v>347</v>
      </c>
      <c r="D1124">
        <v>88.03</v>
      </c>
      <c r="E1124">
        <v>43628.97</v>
      </c>
      <c r="F1124">
        <v>35.06</v>
      </c>
      <c r="G1124">
        <v>167.28</v>
      </c>
      <c r="H1124">
        <v>1.57</v>
      </c>
      <c r="I1124">
        <v>2.93</v>
      </c>
      <c r="J1124">
        <v>6305.7</v>
      </c>
      <c r="K1124">
        <v>218644.85</v>
      </c>
      <c r="L1124">
        <v>19.63</v>
      </c>
      <c r="M1124">
        <v>0.56999999999999995</v>
      </c>
      <c r="N1124">
        <v>7.61</v>
      </c>
    </row>
    <row r="1125" spans="1:14">
      <c r="A1125" s="28">
        <v>628</v>
      </c>
      <c r="B1125" t="s">
        <v>2092</v>
      </c>
      <c r="C1125" t="s">
        <v>348</v>
      </c>
      <c r="D1125">
        <v>88.18</v>
      </c>
      <c r="E1125">
        <v>671.6</v>
      </c>
      <c r="F1125">
        <v>19.63</v>
      </c>
      <c r="G1125" t="s">
        <v>349</v>
      </c>
      <c r="H1125">
        <v>-10.29</v>
      </c>
      <c r="I1125">
        <v>-18.89</v>
      </c>
      <c r="J1125">
        <v>-170.63</v>
      </c>
      <c r="K1125">
        <v>771.6</v>
      </c>
      <c r="M1125">
        <v>1.1299999999999999</v>
      </c>
      <c r="N1125">
        <v>20.48</v>
      </c>
    </row>
    <row r="1126" spans="1:14">
      <c r="A1126" s="28">
        <v>785</v>
      </c>
      <c r="B1126" t="s">
        <v>830</v>
      </c>
      <c r="C1126" t="s">
        <v>347</v>
      </c>
      <c r="D1126">
        <v>88.61</v>
      </c>
      <c r="E1126">
        <v>2370.21</v>
      </c>
      <c r="F1126">
        <v>14.55</v>
      </c>
      <c r="G1126">
        <v>8.64</v>
      </c>
      <c r="H1126">
        <v>1.8</v>
      </c>
      <c r="I1126">
        <v>3.44</v>
      </c>
      <c r="J1126">
        <v>409.8</v>
      </c>
      <c r="K1126">
        <v>12351.07</v>
      </c>
      <c r="L1126">
        <v>10.86</v>
      </c>
      <c r="M1126">
        <v>0.36</v>
      </c>
      <c r="N1126">
        <v>7.82</v>
      </c>
    </row>
    <row r="1127" spans="1:14">
      <c r="A1127" s="28">
        <v>859</v>
      </c>
      <c r="B1127" t="s">
        <v>641</v>
      </c>
      <c r="C1127" t="s">
        <v>348</v>
      </c>
      <c r="D1127">
        <v>88.63</v>
      </c>
      <c r="E1127">
        <v>222.14</v>
      </c>
      <c r="F1127">
        <v>12.37</v>
      </c>
      <c r="G1127">
        <v>10.37</v>
      </c>
      <c r="H1127">
        <v>2</v>
      </c>
      <c r="I1127">
        <v>3.55</v>
      </c>
      <c r="J1127">
        <v>50.85</v>
      </c>
      <c r="K1127">
        <v>1610.72</v>
      </c>
      <c r="L1127">
        <v>36.64</v>
      </c>
      <c r="M1127">
        <v>1.1599999999999999</v>
      </c>
      <c r="N1127">
        <v>7</v>
      </c>
    </row>
    <row r="1128" spans="1:14">
      <c r="A1128" s="28">
        <v>32</v>
      </c>
      <c r="B1128" t="s">
        <v>1851</v>
      </c>
      <c r="C1128" t="s">
        <v>348</v>
      </c>
      <c r="D1128">
        <v>88.71</v>
      </c>
      <c r="E1128">
        <v>395.87</v>
      </c>
      <c r="F1128">
        <v>313.43</v>
      </c>
      <c r="G1128" t="s">
        <v>2788</v>
      </c>
      <c r="H1128">
        <v>-8.81</v>
      </c>
      <c r="I1128">
        <v>-22.2</v>
      </c>
      <c r="J1128">
        <v>-361.27</v>
      </c>
      <c r="K1128">
        <v>2479.37</v>
      </c>
      <c r="M1128">
        <v>3.13</v>
      </c>
    </row>
    <row r="1129" spans="1:14">
      <c r="A1129" s="28">
        <v>735</v>
      </c>
      <c r="B1129" t="s">
        <v>1263</v>
      </c>
      <c r="C1129" t="s">
        <v>348</v>
      </c>
      <c r="D1129">
        <v>88.88</v>
      </c>
      <c r="E1129">
        <v>4519.1000000000004</v>
      </c>
      <c r="F1129">
        <v>15.87</v>
      </c>
      <c r="G1129">
        <v>-17.05</v>
      </c>
      <c r="H1129">
        <v>13.7</v>
      </c>
      <c r="I1129">
        <v>25.94</v>
      </c>
      <c r="J1129">
        <v>5044.66</v>
      </c>
      <c r="K1129">
        <v>23095.51</v>
      </c>
      <c r="L1129">
        <v>14.09</v>
      </c>
      <c r="M1129">
        <v>3.08</v>
      </c>
      <c r="N1129">
        <v>7.74</v>
      </c>
    </row>
    <row r="1130" spans="1:14">
      <c r="A1130" s="28">
        <v>269</v>
      </c>
      <c r="B1130" t="s">
        <v>2155</v>
      </c>
      <c r="C1130" t="s">
        <v>347</v>
      </c>
      <c r="D1130">
        <v>89.05</v>
      </c>
      <c r="E1130">
        <v>670.97</v>
      </c>
      <c r="F1130">
        <v>44.55</v>
      </c>
      <c r="G1130" t="s">
        <v>2788</v>
      </c>
      <c r="H1130">
        <v>-3.52</v>
      </c>
      <c r="I1130">
        <v>-6.66</v>
      </c>
      <c r="J1130">
        <v>-265.37</v>
      </c>
      <c r="K1130">
        <v>3854.83</v>
      </c>
      <c r="M1130">
        <v>26.05</v>
      </c>
    </row>
    <row r="1131" spans="1:14">
      <c r="A1131" s="28">
        <v>884</v>
      </c>
      <c r="B1131" t="s">
        <v>528</v>
      </c>
      <c r="C1131" t="s">
        <v>348</v>
      </c>
      <c r="D1131">
        <v>89.05</v>
      </c>
      <c r="E1131">
        <v>38621.120000000003</v>
      </c>
      <c r="F1131">
        <v>11.52</v>
      </c>
      <c r="G1131">
        <v>-11.8</v>
      </c>
      <c r="H1131">
        <v>10.66</v>
      </c>
      <c r="I1131">
        <v>20.82</v>
      </c>
      <c r="J1131">
        <v>7571.39</v>
      </c>
      <c r="K1131">
        <v>39275.410000000003</v>
      </c>
      <c r="L1131">
        <v>8.02</v>
      </c>
      <c r="M1131">
        <v>1.55</v>
      </c>
      <c r="N1131">
        <v>4.34</v>
      </c>
    </row>
    <row r="1132" spans="1:14">
      <c r="A1132" s="28">
        <v>623</v>
      </c>
      <c r="B1132" t="s">
        <v>2577</v>
      </c>
      <c r="C1132" t="s">
        <v>348</v>
      </c>
      <c r="D1132">
        <v>89.11</v>
      </c>
      <c r="E1132">
        <v>24.26</v>
      </c>
      <c r="F1132">
        <v>19.78</v>
      </c>
      <c r="G1132" t="s">
        <v>2788</v>
      </c>
      <c r="H1132">
        <v>-8.14</v>
      </c>
      <c r="I1132">
        <v>-16.87</v>
      </c>
      <c r="J1132">
        <v>-102.9</v>
      </c>
      <c r="K1132">
        <v>621.29999999999995</v>
      </c>
      <c r="M1132">
        <v>2.52</v>
      </c>
    </row>
    <row r="1133" spans="1:14">
      <c r="A1133" s="28">
        <v>780</v>
      </c>
      <c r="B1133" t="s">
        <v>1306</v>
      </c>
      <c r="C1133" t="s">
        <v>348</v>
      </c>
      <c r="D1133">
        <v>89.2</v>
      </c>
      <c r="E1133">
        <v>2024.27</v>
      </c>
      <c r="F1133">
        <v>14.64</v>
      </c>
      <c r="G1133" t="s">
        <v>349</v>
      </c>
      <c r="H1133">
        <v>-6.82</v>
      </c>
      <c r="I1133">
        <v>-12.19</v>
      </c>
      <c r="J1133">
        <v>-1172.19</v>
      </c>
      <c r="K1133">
        <v>10621.34</v>
      </c>
      <c r="M1133">
        <v>3.83</v>
      </c>
    </row>
    <row r="1134" spans="1:14">
      <c r="A1134" s="28">
        <v>442</v>
      </c>
      <c r="B1134" t="s">
        <v>527</v>
      </c>
      <c r="C1134" t="s">
        <v>347</v>
      </c>
      <c r="D1134">
        <v>89.31</v>
      </c>
      <c r="E1134">
        <v>284.41000000000003</v>
      </c>
      <c r="F1134">
        <v>28.65</v>
      </c>
      <c r="G1134">
        <v>-59.98</v>
      </c>
      <c r="H1134">
        <v>1.57</v>
      </c>
      <c r="I1134">
        <v>2.99</v>
      </c>
      <c r="J1134">
        <v>555.22</v>
      </c>
      <c r="K1134">
        <v>19220.48</v>
      </c>
      <c r="L1134">
        <v>16.39</v>
      </c>
      <c r="M1134">
        <v>0.47</v>
      </c>
      <c r="N1134">
        <v>11.51</v>
      </c>
    </row>
    <row r="1135" spans="1:14">
      <c r="A1135" s="28">
        <v>404</v>
      </c>
      <c r="B1135" t="s">
        <v>1019</v>
      </c>
      <c r="C1135" t="s">
        <v>347</v>
      </c>
      <c r="D1135">
        <v>89.51</v>
      </c>
      <c r="E1135">
        <v>1001.81</v>
      </c>
      <c r="F1135">
        <v>31.57</v>
      </c>
      <c r="G1135">
        <v>200.41</v>
      </c>
      <c r="H1135">
        <v>6.93</v>
      </c>
      <c r="I1135">
        <v>13.1</v>
      </c>
      <c r="J1135">
        <v>6750.94</v>
      </c>
      <c r="K1135">
        <v>55090.720000000001</v>
      </c>
      <c r="L1135">
        <v>10.84</v>
      </c>
      <c r="M1135">
        <v>1.33</v>
      </c>
      <c r="N1135">
        <v>7.03</v>
      </c>
    </row>
    <row r="1136" spans="1:14">
      <c r="A1136" s="28">
        <v>413</v>
      </c>
      <c r="B1136" t="s">
        <v>1917</v>
      </c>
      <c r="C1136" t="s">
        <v>348</v>
      </c>
      <c r="D1136">
        <v>89.6</v>
      </c>
      <c r="E1136">
        <v>967.01</v>
      </c>
      <c r="F1136">
        <v>30.65</v>
      </c>
      <c r="G1136">
        <v>37.630000000000003</v>
      </c>
      <c r="H1136">
        <v>12.24</v>
      </c>
      <c r="I1136">
        <v>25.18</v>
      </c>
      <c r="J1136">
        <v>1184.73</v>
      </c>
      <c r="K1136">
        <v>5335.05</v>
      </c>
      <c r="N1136">
        <v>0</v>
      </c>
    </row>
    <row r="1137" spans="1:14">
      <c r="A1137" s="28">
        <v>388</v>
      </c>
      <c r="B1137" t="s">
        <v>2049</v>
      </c>
      <c r="C1137" t="s">
        <v>348</v>
      </c>
      <c r="D1137">
        <v>89.92</v>
      </c>
      <c r="E1137">
        <v>2151.15</v>
      </c>
      <c r="F1137">
        <v>32.19</v>
      </c>
      <c r="G1137">
        <v>27.28</v>
      </c>
      <c r="H1137">
        <v>14.2</v>
      </c>
      <c r="I1137">
        <v>34.79</v>
      </c>
      <c r="J1137">
        <v>607.20000000000005</v>
      </c>
      <c r="K1137">
        <v>2251.15</v>
      </c>
      <c r="N1137">
        <v>0</v>
      </c>
    </row>
    <row r="1138" spans="1:14">
      <c r="A1138" s="28">
        <v>1080</v>
      </c>
      <c r="B1138" t="s">
        <v>1738</v>
      </c>
      <c r="C1138" t="s">
        <v>348</v>
      </c>
      <c r="D1138">
        <v>894.66</v>
      </c>
      <c r="E1138">
        <v>84.43</v>
      </c>
      <c r="F1138">
        <v>7.47</v>
      </c>
      <c r="G1138" t="s">
        <v>349</v>
      </c>
      <c r="H1138">
        <v>-6.44</v>
      </c>
      <c r="I1138">
        <v>-50.38</v>
      </c>
      <c r="J1138">
        <v>-523.53</v>
      </c>
      <c r="K1138">
        <v>922.15</v>
      </c>
      <c r="M1138">
        <v>1.1299999999999999</v>
      </c>
      <c r="N1138">
        <v>9.5399999999999991</v>
      </c>
    </row>
    <row r="1139" spans="1:14">
      <c r="A1139" s="28">
        <v>1115</v>
      </c>
      <c r="B1139" t="s">
        <v>474</v>
      </c>
      <c r="C1139" t="s">
        <v>347</v>
      </c>
      <c r="D1139">
        <v>899.79</v>
      </c>
      <c r="E1139">
        <v>14596.87</v>
      </c>
      <c r="F1139">
        <v>6.51</v>
      </c>
      <c r="G1139">
        <v>26.22</v>
      </c>
      <c r="H1139">
        <v>1.93</v>
      </c>
      <c r="I1139">
        <v>17.36</v>
      </c>
      <c r="J1139">
        <v>13849.82</v>
      </c>
      <c r="K1139">
        <v>73484.34</v>
      </c>
      <c r="L1139">
        <v>4.71</v>
      </c>
      <c r="M1139">
        <v>0.89</v>
      </c>
    </row>
    <row r="1140" spans="1:14">
      <c r="A1140" s="28">
        <v>54</v>
      </c>
      <c r="B1140" t="s">
        <v>213</v>
      </c>
      <c r="C1140" t="s">
        <v>347</v>
      </c>
      <c r="D1140">
        <v>9</v>
      </c>
      <c r="E1140">
        <v>3686.81</v>
      </c>
      <c r="F1140">
        <v>187.81</v>
      </c>
      <c r="G1140">
        <v>348.83</v>
      </c>
      <c r="H1140">
        <v>3.88</v>
      </c>
      <c r="I1140">
        <v>4.3600000000000003</v>
      </c>
      <c r="J1140">
        <v>716.1</v>
      </c>
      <c r="K1140">
        <v>18934.05</v>
      </c>
      <c r="L1140">
        <v>14.59</v>
      </c>
      <c r="M1140">
        <v>0.55000000000000004</v>
      </c>
      <c r="N1140">
        <v>15.62</v>
      </c>
    </row>
    <row r="1141" spans="1:14">
      <c r="A1141" s="28">
        <v>598</v>
      </c>
      <c r="B1141" t="s">
        <v>1925</v>
      </c>
      <c r="C1141" t="s">
        <v>348</v>
      </c>
      <c r="D1141">
        <v>9.01</v>
      </c>
      <c r="E1141">
        <v>10257.94</v>
      </c>
      <c r="F1141">
        <v>20.71</v>
      </c>
      <c r="G1141">
        <v>22.61</v>
      </c>
      <c r="H1141">
        <v>13.34</v>
      </c>
      <c r="I1141">
        <v>14.55</v>
      </c>
      <c r="J1141">
        <v>1251.1600000000001</v>
      </c>
      <c r="K1141">
        <v>10357.94</v>
      </c>
      <c r="L1141">
        <v>6.95</v>
      </c>
      <c r="M1141">
        <v>0.84</v>
      </c>
      <c r="N1141">
        <v>6.26</v>
      </c>
    </row>
    <row r="1142" spans="1:14">
      <c r="A1142" s="28">
        <v>935</v>
      </c>
      <c r="B1142" t="s">
        <v>185</v>
      </c>
      <c r="C1142" t="s">
        <v>347</v>
      </c>
      <c r="D1142">
        <v>9.14</v>
      </c>
      <c r="E1142">
        <v>5813.06</v>
      </c>
      <c r="F1142">
        <v>10.41</v>
      </c>
      <c r="G1142">
        <v>-19.14</v>
      </c>
      <c r="H1142">
        <v>0.77</v>
      </c>
      <c r="I1142">
        <v>0.83</v>
      </c>
      <c r="J1142">
        <v>246.81</v>
      </c>
      <c r="K1142">
        <v>29565.32</v>
      </c>
      <c r="L1142">
        <v>59.15</v>
      </c>
      <c r="M1142">
        <v>0.49</v>
      </c>
      <c r="N1142">
        <v>48.24</v>
      </c>
    </row>
    <row r="1143" spans="1:14">
      <c r="A1143" s="28">
        <v>31</v>
      </c>
      <c r="B1143" t="s">
        <v>938</v>
      </c>
      <c r="C1143" t="s">
        <v>347</v>
      </c>
      <c r="D1143">
        <v>9.23</v>
      </c>
      <c r="E1143">
        <v>2213.59</v>
      </c>
      <c r="F1143">
        <v>320.25</v>
      </c>
      <c r="G1143">
        <v>477.6</v>
      </c>
      <c r="H1143">
        <v>16.71</v>
      </c>
      <c r="I1143">
        <v>18.59</v>
      </c>
      <c r="J1143">
        <v>1918.6</v>
      </c>
      <c r="K1143">
        <v>11567.93</v>
      </c>
      <c r="L1143">
        <v>3.16</v>
      </c>
      <c r="M1143">
        <v>0.52</v>
      </c>
      <c r="N1143">
        <v>3.5</v>
      </c>
    </row>
    <row r="1144" spans="1:14">
      <c r="A1144" s="28">
        <v>469</v>
      </c>
      <c r="B1144" t="s">
        <v>2074</v>
      </c>
      <c r="C1144" t="s">
        <v>348</v>
      </c>
      <c r="D1144">
        <v>9.2799999999999994</v>
      </c>
      <c r="E1144">
        <v>1293.01</v>
      </c>
      <c r="F1144">
        <v>27.08</v>
      </c>
      <c r="G1144">
        <v>-28.01</v>
      </c>
      <c r="H1144">
        <v>8.82</v>
      </c>
      <c r="I1144">
        <v>9.73</v>
      </c>
      <c r="J1144">
        <v>118.45</v>
      </c>
      <c r="K1144">
        <v>1393.01</v>
      </c>
      <c r="L1144">
        <v>20.18</v>
      </c>
      <c r="M1144">
        <v>1.72</v>
      </c>
      <c r="N1144">
        <v>9.61</v>
      </c>
    </row>
    <row r="1145" spans="1:14">
      <c r="A1145" s="28">
        <v>12</v>
      </c>
      <c r="B1145" t="s">
        <v>2704</v>
      </c>
      <c r="C1145" t="s">
        <v>348</v>
      </c>
      <c r="D1145">
        <v>9.34</v>
      </c>
      <c r="E1145">
        <v>608.82000000000005</v>
      </c>
      <c r="F1145">
        <v>854.05</v>
      </c>
      <c r="G1145">
        <v>129.87</v>
      </c>
      <c r="H1145">
        <v>2.5</v>
      </c>
      <c r="I1145">
        <v>2.68</v>
      </c>
      <c r="J1145">
        <v>92.71</v>
      </c>
      <c r="K1145">
        <v>3544.08</v>
      </c>
      <c r="L1145">
        <v>1062.49</v>
      </c>
      <c r="M1145">
        <v>27.79</v>
      </c>
      <c r="N1145">
        <v>3417.46</v>
      </c>
    </row>
    <row r="1146" spans="1:14">
      <c r="A1146" s="28">
        <v>891</v>
      </c>
      <c r="B1146" t="s">
        <v>1142</v>
      </c>
      <c r="C1146" t="s">
        <v>348</v>
      </c>
      <c r="D1146">
        <v>9.3800000000000008</v>
      </c>
      <c r="E1146">
        <v>2531.4699999999998</v>
      </c>
      <c r="F1146">
        <v>11.34</v>
      </c>
      <c r="G1146">
        <v>-6.17</v>
      </c>
      <c r="H1146">
        <v>6.43</v>
      </c>
      <c r="I1146">
        <v>7.1</v>
      </c>
      <c r="J1146">
        <v>909.45</v>
      </c>
      <c r="K1146">
        <v>13157.33</v>
      </c>
      <c r="L1146">
        <v>14.51</v>
      </c>
      <c r="M1146">
        <v>1</v>
      </c>
      <c r="N1146">
        <v>7.25</v>
      </c>
    </row>
    <row r="1147" spans="1:14">
      <c r="A1147" s="28">
        <v>466</v>
      </c>
      <c r="B1147" t="s">
        <v>192</v>
      </c>
      <c r="C1147" t="s">
        <v>347</v>
      </c>
      <c r="D1147">
        <v>9.52</v>
      </c>
      <c r="E1147">
        <v>3568.01</v>
      </c>
      <c r="F1147">
        <v>27.44</v>
      </c>
      <c r="G1147" t="s">
        <v>349</v>
      </c>
      <c r="H1147">
        <v>-4.5599999999999996</v>
      </c>
      <c r="I1147">
        <v>-5.04</v>
      </c>
      <c r="J1147">
        <v>-1574.5</v>
      </c>
      <c r="K1147">
        <v>36680.080000000002</v>
      </c>
      <c r="M1147">
        <v>0.64</v>
      </c>
    </row>
    <row r="1148" spans="1:14">
      <c r="A1148" s="28">
        <v>1003</v>
      </c>
      <c r="B1148" t="s">
        <v>2731</v>
      </c>
      <c r="C1148" t="s">
        <v>347</v>
      </c>
      <c r="D1148">
        <v>9.5399999999999991</v>
      </c>
      <c r="E1148">
        <v>1090.68</v>
      </c>
      <c r="F1148">
        <v>9.11</v>
      </c>
      <c r="G1148" t="s">
        <v>2788</v>
      </c>
      <c r="H1148">
        <v>-10.62</v>
      </c>
      <c r="I1148">
        <v>-11.71</v>
      </c>
      <c r="J1148">
        <v>-713.7</v>
      </c>
      <c r="K1148">
        <v>5953.4</v>
      </c>
      <c r="M1148">
        <v>3.55</v>
      </c>
    </row>
    <row r="1149" spans="1:14">
      <c r="A1149" s="28">
        <v>929</v>
      </c>
      <c r="B1149" t="s">
        <v>2060</v>
      </c>
      <c r="C1149" t="s">
        <v>348</v>
      </c>
      <c r="D1149">
        <v>9.93</v>
      </c>
      <c r="E1149">
        <v>1082.24</v>
      </c>
      <c r="F1149">
        <v>10.54</v>
      </c>
      <c r="G1149" t="s">
        <v>2788</v>
      </c>
      <c r="H1149">
        <v>-2.5299999999999998</v>
      </c>
      <c r="I1149">
        <v>-2.76</v>
      </c>
      <c r="J1149">
        <v>-127.62</v>
      </c>
      <c r="K1149">
        <v>6323.67</v>
      </c>
      <c r="M1149">
        <v>0.86</v>
      </c>
    </row>
    <row r="1150" spans="1:14">
      <c r="A1150" s="28">
        <v>45</v>
      </c>
      <c r="B1150" t="s">
        <v>1882</v>
      </c>
      <c r="C1150" t="s">
        <v>348</v>
      </c>
      <c r="D1150">
        <v>9.98</v>
      </c>
      <c r="E1150">
        <v>491.86</v>
      </c>
      <c r="F1150">
        <v>211.28</v>
      </c>
      <c r="G1150" t="s">
        <v>2788</v>
      </c>
      <c r="H1150">
        <v>-26.58</v>
      </c>
      <c r="I1150">
        <v>-28.84</v>
      </c>
      <c r="J1150">
        <v>-989.49</v>
      </c>
      <c r="K1150">
        <v>2959.28</v>
      </c>
      <c r="M1150">
        <v>1.56</v>
      </c>
    </row>
    <row r="1151" spans="1:14">
      <c r="A1151" s="28">
        <v>609</v>
      </c>
      <c r="B1151" t="s">
        <v>2700</v>
      </c>
      <c r="C1151" t="s">
        <v>348</v>
      </c>
      <c r="D1151">
        <v>90</v>
      </c>
      <c r="E1151">
        <v>2126.5500000000002</v>
      </c>
      <c r="F1151">
        <v>20.13</v>
      </c>
      <c r="G1151">
        <v>7.55</v>
      </c>
      <c r="H1151">
        <v>2.72</v>
      </c>
      <c r="I1151">
        <v>5.53</v>
      </c>
      <c r="J1151">
        <v>599.11</v>
      </c>
      <c r="K1151">
        <v>11132.75</v>
      </c>
      <c r="L1151">
        <v>20.95</v>
      </c>
      <c r="M1151">
        <v>1.1299999999999999</v>
      </c>
      <c r="N1151">
        <v>8.09</v>
      </c>
    </row>
    <row r="1152" spans="1:14">
      <c r="A1152" s="28">
        <v>1103</v>
      </c>
      <c r="B1152" t="s">
        <v>2627</v>
      </c>
      <c r="C1152" t="s">
        <v>347</v>
      </c>
      <c r="D1152">
        <v>90.01</v>
      </c>
      <c r="E1152">
        <v>205.06</v>
      </c>
      <c r="F1152">
        <v>6.91</v>
      </c>
      <c r="G1152">
        <v>-22.39</v>
      </c>
      <c r="H1152">
        <v>3.01</v>
      </c>
      <c r="I1152">
        <v>5.37</v>
      </c>
      <c r="J1152">
        <v>79.459999999999994</v>
      </c>
      <c r="K1152">
        <v>1525.28</v>
      </c>
      <c r="L1152">
        <v>30.33</v>
      </c>
      <c r="M1152">
        <v>1.58</v>
      </c>
      <c r="N1152">
        <v>13.67</v>
      </c>
    </row>
    <row r="1153" spans="1:14">
      <c r="A1153" s="28">
        <v>739</v>
      </c>
      <c r="B1153" t="s">
        <v>2357</v>
      </c>
      <c r="C1153" t="s">
        <v>348</v>
      </c>
      <c r="D1153">
        <v>90.02</v>
      </c>
      <c r="E1153">
        <v>3578.96</v>
      </c>
      <c r="F1153">
        <v>15.76</v>
      </c>
      <c r="G1153" t="s">
        <v>350</v>
      </c>
      <c r="H1153">
        <v>6.42</v>
      </c>
      <c r="I1153">
        <v>12.05</v>
      </c>
      <c r="J1153">
        <v>1783.62</v>
      </c>
      <c r="K1153">
        <v>16453.02</v>
      </c>
      <c r="L1153">
        <v>29.49</v>
      </c>
      <c r="M1153">
        <v>3.2</v>
      </c>
      <c r="N1153">
        <v>202.55</v>
      </c>
    </row>
    <row r="1154" spans="1:14">
      <c r="A1154" s="28">
        <v>1020</v>
      </c>
      <c r="B1154" t="s">
        <v>1366</v>
      </c>
      <c r="C1154" t="s">
        <v>348</v>
      </c>
      <c r="D1154">
        <v>90.15</v>
      </c>
      <c r="E1154">
        <v>821.12</v>
      </c>
      <c r="F1154">
        <v>8.69</v>
      </c>
      <c r="G1154">
        <v>-39.06</v>
      </c>
      <c r="H1154">
        <v>2.5499999999999998</v>
      </c>
      <c r="I1154">
        <v>4.82</v>
      </c>
      <c r="J1154">
        <v>220.62</v>
      </c>
      <c r="K1154">
        <v>4644.8900000000003</v>
      </c>
      <c r="L1154">
        <v>75.61</v>
      </c>
      <c r="M1154">
        <v>3.59</v>
      </c>
      <c r="N1154">
        <v>48.14</v>
      </c>
    </row>
    <row r="1155" spans="1:14">
      <c r="A1155" s="28">
        <v>1027</v>
      </c>
      <c r="B1155" t="s">
        <v>625</v>
      </c>
      <c r="C1155" t="s">
        <v>348</v>
      </c>
      <c r="D1155">
        <v>90.15</v>
      </c>
      <c r="E1155">
        <v>1020.04</v>
      </c>
      <c r="F1155">
        <v>8.5299999999999994</v>
      </c>
      <c r="G1155">
        <v>-34.270000000000003</v>
      </c>
      <c r="H1155">
        <v>2.78</v>
      </c>
      <c r="I1155">
        <v>5.15</v>
      </c>
      <c r="J1155">
        <v>281.63</v>
      </c>
      <c r="K1155">
        <v>5600.2</v>
      </c>
      <c r="N1155">
        <v>0.74</v>
      </c>
    </row>
    <row r="1156" spans="1:14">
      <c r="A1156" s="28">
        <v>375</v>
      </c>
      <c r="B1156" t="s">
        <v>2009</v>
      </c>
      <c r="C1156" t="s">
        <v>348</v>
      </c>
      <c r="D1156">
        <v>90.66</v>
      </c>
      <c r="E1156">
        <v>2097.14</v>
      </c>
      <c r="F1156">
        <v>33.06</v>
      </c>
      <c r="G1156">
        <v>-3.76</v>
      </c>
      <c r="H1156">
        <v>7.21</v>
      </c>
      <c r="I1156">
        <v>15.19</v>
      </c>
      <c r="J1156">
        <v>1337.47</v>
      </c>
      <c r="K1156">
        <v>10985.69</v>
      </c>
      <c r="N1156">
        <v>2.83</v>
      </c>
    </row>
    <row r="1157" spans="1:14">
      <c r="A1157" s="28">
        <v>1064</v>
      </c>
      <c r="B1157" t="s">
        <v>1979</v>
      </c>
      <c r="C1157" t="s">
        <v>348</v>
      </c>
      <c r="D1157">
        <v>90.77</v>
      </c>
      <c r="E1157">
        <v>1351.34</v>
      </c>
      <c r="F1157">
        <v>7.87</v>
      </c>
      <c r="G1157" t="s">
        <v>349</v>
      </c>
      <c r="H1157">
        <v>-1.42</v>
      </c>
      <c r="I1157">
        <v>-2.68</v>
      </c>
      <c r="J1157">
        <v>-39.29</v>
      </c>
      <c r="K1157">
        <v>1451.34</v>
      </c>
      <c r="M1157">
        <v>1.89</v>
      </c>
      <c r="N1157">
        <v>36.31</v>
      </c>
    </row>
    <row r="1158" spans="1:14">
      <c r="A1158" s="28">
        <v>1069</v>
      </c>
      <c r="B1158" t="s">
        <v>780</v>
      </c>
      <c r="C1158" t="s">
        <v>347</v>
      </c>
      <c r="D1158">
        <v>91.29</v>
      </c>
      <c r="E1158">
        <v>1537.69</v>
      </c>
      <c r="F1158">
        <v>7.74</v>
      </c>
      <c r="G1158">
        <v>2.91</v>
      </c>
      <c r="H1158">
        <v>11.88</v>
      </c>
      <c r="I1158">
        <v>23.77</v>
      </c>
      <c r="J1158">
        <v>1755.57</v>
      </c>
      <c r="K1158">
        <v>8188.44</v>
      </c>
      <c r="L1158">
        <v>3.42</v>
      </c>
      <c r="M1158">
        <v>0.73</v>
      </c>
      <c r="N1158">
        <v>2.79</v>
      </c>
    </row>
    <row r="1159" spans="1:14">
      <c r="A1159" s="28">
        <v>551</v>
      </c>
      <c r="B1159" t="s">
        <v>1999</v>
      </c>
      <c r="C1159" t="s">
        <v>347</v>
      </c>
      <c r="D1159">
        <v>910.02</v>
      </c>
      <c r="F1159">
        <v>23.4</v>
      </c>
      <c r="G1159" t="s">
        <v>2788</v>
      </c>
      <c r="H1159">
        <v>-3.43</v>
      </c>
      <c r="I1159">
        <v>-35.1</v>
      </c>
      <c r="J1159">
        <v>-111.17</v>
      </c>
      <c r="K1159">
        <v>315.70999999999998</v>
      </c>
      <c r="M1159">
        <v>2.04</v>
      </c>
      <c r="N1159">
        <v>38.67</v>
      </c>
    </row>
    <row r="1160" spans="1:14">
      <c r="A1160" s="28">
        <v>1067</v>
      </c>
      <c r="B1160" t="s">
        <v>316</v>
      </c>
      <c r="C1160" t="s">
        <v>348</v>
      </c>
      <c r="D1160">
        <v>92.01</v>
      </c>
      <c r="E1160">
        <v>596.29999999999995</v>
      </c>
      <c r="F1160">
        <v>7.82</v>
      </c>
      <c r="G1160">
        <v>-41.57</v>
      </c>
      <c r="H1160">
        <v>6.95</v>
      </c>
      <c r="I1160">
        <v>13.3</v>
      </c>
      <c r="J1160">
        <v>432.03</v>
      </c>
      <c r="K1160">
        <v>3481.52</v>
      </c>
      <c r="L1160">
        <v>2.62</v>
      </c>
      <c r="M1160">
        <v>0.32</v>
      </c>
      <c r="N1160">
        <v>1.0900000000000001</v>
      </c>
    </row>
    <row r="1161" spans="1:14">
      <c r="A1161" s="28">
        <v>1048</v>
      </c>
      <c r="B1161" t="s">
        <v>2867</v>
      </c>
      <c r="C1161" t="s">
        <v>348</v>
      </c>
      <c r="D1161">
        <v>92.06</v>
      </c>
      <c r="E1161">
        <v>388.5</v>
      </c>
      <c r="F1161">
        <v>8.07</v>
      </c>
      <c r="G1161">
        <v>339.1</v>
      </c>
      <c r="H1161">
        <v>7.63</v>
      </c>
      <c r="I1161">
        <v>15.26</v>
      </c>
      <c r="J1161">
        <v>226.95</v>
      </c>
      <c r="K1161">
        <v>2442.5</v>
      </c>
      <c r="L1161">
        <v>23.35</v>
      </c>
      <c r="M1161">
        <v>2.17</v>
      </c>
      <c r="N1161">
        <v>12.21</v>
      </c>
    </row>
    <row r="1162" spans="1:14">
      <c r="A1162" s="28">
        <v>284</v>
      </c>
      <c r="B1162" t="s">
        <v>544</v>
      </c>
      <c r="C1162" t="s">
        <v>348</v>
      </c>
      <c r="D1162">
        <v>92.07</v>
      </c>
      <c r="E1162">
        <v>1770.89</v>
      </c>
      <c r="F1162">
        <v>42.75</v>
      </c>
      <c r="G1162">
        <v>343.51</v>
      </c>
      <c r="H1162">
        <v>2.37</v>
      </c>
      <c r="I1162">
        <v>4.07</v>
      </c>
      <c r="J1162">
        <v>375.36</v>
      </c>
      <c r="K1162">
        <v>9354.44</v>
      </c>
      <c r="L1162">
        <v>9.75</v>
      </c>
      <c r="M1162">
        <v>0.39</v>
      </c>
      <c r="N1162">
        <v>8.16</v>
      </c>
    </row>
    <row r="1163" spans="1:14">
      <c r="A1163" s="28">
        <v>757</v>
      </c>
      <c r="B1163" t="s">
        <v>593</v>
      </c>
      <c r="C1163" t="s">
        <v>348</v>
      </c>
      <c r="D1163">
        <v>92.09</v>
      </c>
      <c r="E1163">
        <v>1111.33</v>
      </c>
      <c r="F1163">
        <v>15.24</v>
      </c>
      <c r="G1163">
        <v>64.86</v>
      </c>
      <c r="H1163">
        <v>2.33</v>
      </c>
      <c r="I1163">
        <v>4.4800000000000004</v>
      </c>
      <c r="J1163">
        <v>268.29000000000002</v>
      </c>
      <c r="K1163">
        <v>6056.67</v>
      </c>
      <c r="L1163">
        <v>11.67</v>
      </c>
      <c r="M1163">
        <v>0.52</v>
      </c>
      <c r="N1163">
        <v>6.28</v>
      </c>
    </row>
    <row r="1164" spans="1:14">
      <c r="A1164" s="28">
        <v>580</v>
      </c>
      <c r="B1164" t="s">
        <v>1189</v>
      </c>
      <c r="C1164" t="s">
        <v>347</v>
      </c>
      <c r="D1164">
        <v>92.11</v>
      </c>
      <c r="E1164">
        <v>841.68</v>
      </c>
      <c r="F1164">
        <v>21.75</v>
      </c>
      <c r="G1164">
        <v>48.73</v>
      </c>
      <c r="H1164">
        <v>5.87</v>
      </c>
      <c r="I1164">
        <v>11.2</v>
      </c>
      <c r="J1164">
        <v>499.51</v>
      </c>
      <c r="K1164">
        <v>4708.3999999999996</v>
      </c>
      <c r="L1164">
        <v>8.6300000000000008</v>
      </c>
      <c r="M1164">
        <v>0.92</v>
      </c>
      <c r="N1164">
        <v>6.5</v>
      </c>
    </row>
    <row r="1165" spans="1:14">
      <c r="A1165" s="28">
        <v>787</v>
      </c>
      <c r="B1165" t="s">
        <v>1063</v>
      </c>
      <c r="C1165" t="s">
        <v>347</v>
      </c>
      <c r="D1165">
        <v>92.39</v>
      </c>
      <c r="E1165">
        <v>5164.66</v>
      </c>
      <c r="F1165">
        <v>14.51</v>
      </c>
      <c r="G1165" t="s">
        <v>349</v>
      </c>
      <c r="H1165">
        <v>-2.46</v>
      </c>
      <c r="I1165">
        <v>-4.28</v>
      </c>
      <c r="J1165">
        <v>-1155.25</v>
      </c>
      <c r="K1165">
        <v>26323.279999999999</v>
      </c>
      <c r="M1165">
        <v>1.62</v>
      </c>
      <c r="N1165">
        <v>16.29</v>
      </c>
    </row>
    <row r="1166" spans="1:14">
      <c r="A1166" s="28">
        <v>420</v>
      </c>
      <c r="B1166" t="s">
        <v>1408</v>
      </c>
      <c r="C1166" t="s">
        <v>347</v>
      </c>
      <c r="D1166">
        <v>92.39</v>
      </c>
      <c r="E1166">
        <v>497.13</v>
      </c>
      <c r="F1166">
        <v>30.36</v>
      </c>
      <c r="G1166">
        <v>103.68</v>
      </c>
      <c r="H1166">
        <v>10.4</v>
      </c>
      <c r="I1166">
        <v>20.59</v>
      </c>
      <c r="J1166">
        <v>582.28</v>
      </c>
      <c r="K1166">
        <v>2985.64</v>
      </c>
      <c r="L1166">
        <v>127.43</v>
      </c>
      <c r="M1166">
        <v>24.85</v>
      </c>
      <c r="N1166">
        <v>95.33</v>
      </c>
    </row>
    <row r="1167" spans="1:14">
      <c r="A1167" s="28">
        <v>498</v>
      </c>
      <c r="B1167" t="s">
        <v>1580</v>
      </c>
      <c r="C1167" t="s">
        <v>348</v>
      </c>
      <c r="D1167">
        <v>92.76</v>
      </c>
      <c r="E1167">
        <v>62.41</v>
      </c>
      <c r="F1167">
        <v>25.62</v>
      </c>
      <c r="G1167">
        <v>-77.36</v>
      </c>
      <c r="H1167">
        <v>0.62</v>
      </c>
      <c r="I1167">
        <v>1.1399999999999999</v>
      </c>
      <c r="J1167">
        <v>9.1199999999999992</v>
      </c>
      <c r="K1167">
        <v>812.05</v>
      </c>
      <c r="L1167">
        <v>66.650000000000006</v>
      </c>
      <c r="M1167">
        <v>0.75</v>
      </c>
      <c r="N1167">
        <v>11.9</v>
      </c>
    </row>
    <row r="1168" spans="1:14">
      <c r="A1168" s="28">
        <v>427</v>
      </c>
      <c r="B1168" t="s">
        <v>189</v>
      </c>
      <c r="C1168" t="s">
        <v>347</v>
      </c>
      <c r="D1168">
        <v>926.77</v>
      </c>
      <c r="E1168">
        <v>51.98</v>
      </c>
      <c r="F1168">
        <v>29.94</v>
      </c>
      <c r="G1168">
        <v>85.85</v>
      </c>
      <c r="H1168">
        <v>0.5</v>
      </c>
      <c r="I1168">
        <v>4.6900000000000004</v>
      </c>
      <c r="J1168">
        <v>338.09</v>
      </c>
      <c r="K1168">
        <v>7598.82</v>
      </c>
      <c r="L1168">
        <v>7.54</v>
      </c>
      <c r="M1168">
        <v>0.34</v>
      </c>
    </row>
    <row r="1169" spans="1:14">
      <c r="A1169" s="28">
        <v>275</v>
      </c>
      <c r="B1169" t="s">
        <v>2846</v>
      </c>
      <c r="C1169" t="s">
        <v>348</v>
      </c>
      <c r="D1169">
        <v>93.26</v>
      </c>
      <c r="E1169">
        <v>1199.8699999999999</v>
      </c>
      <c r="F1169">
        <v>43.51</v>
      </c>
      <c r="H1169">
        <v>10.54</v>
      </c>
      <c r="I1169">
        <v>23.18</v>
      </c>
      <c r="N1169">
        <v>1.66</v>
      </c>
    </row>
    <row r="1170" spans="1:14">
      <c r="A1170" s="28">
        <v>1083</v>
      </c>
      <c r="B1170" t="s">
        <v>95</v>
      </c>
      <c r="C1170" t="s">
        <v>347</v>
      </c>
      <c r="D1170">
        <v>93.36</v>
      </c>
      <c r="E1170">
        <v>653.96</v>
      </c>
      <c r="F1170">
        <v>7.37</v>
      </c>
      <c r="G1170">
        <v>-26.06</v>
      </c>
      <c r="H1170">
        <v>3.11</v>
      </c>
      <c r="I1170">
        <v>5.84</v>
      </c>
      <c r="J1170">
        <v>227.95</v>
      </c>
      <c r="K1170">
        <v>4211.3900000000003</v>
      </c>
      <c r="L1170">
        <v>15.79</v>
      </c>
      <c r="M1170">
        <v>0.85</v>
      </c>
      <c r="N1170">
        <v>5.0199999999999996</v>
      </c>
    </row>
    <row r="1171" spans="1:14">
      <c r="A1171" s="28">
        <v>71</v>
      </c>
      <c r="B1171" t="s">
        <v>2664</v>
      </c>
      <c r="C1171" t="s">
        <v>348</v>
      </c>
      <c r="D1171">
        <v>93.45</v>
      </c>
      <c r="F1171">
        <v>144.74</v>
      </c>
      <c r="G1171" t="s">
        <v>2788</v>
      </c>
      <c r="H1171">
        <v>-0.35</v>
      </c>
      <c r="I1171">
        <v>-0.76</v>
      </c>
      <c r="J1171">
        <v>-2.13</v>
      </c>
      <c r="K1171">
        <v>338.28</v>
      </c>
      <c r="M1171">
        <v>5.32</v>
      </c>
      <c r="N1171">
        <v>26.97</v>
      </c>
    </row>
    <row r="1172" spans="1:14">
      <c r="A1172" s="28">
        <v>573</v>
      </c>
      <c r="B1172" t="s">
        <v>2412</v>
      </c>
      <c r="C1172" t="s">
        <v>348</v>
      </c>
      <c r="D1172">
        <v>93.76</v>
      </c>
      <c r="E1172">
        <v>566.03</v>
      </c>
      <c r="F1172">
        <v>22.04</v>
      </c>
      <c r="G1172">
        <v>-50.29</v>
      </c>
      <c r="H1172">
        <v>8.11</v>
      </c>
      <c r="I1172">
        <v>17.809999999999999</v>
      </c>
      <c r="J1172">
        <v>502.28</v>
      </c>
      <c r="K1172">
        <v>3330.17</v>
      </c>
      <c r="L1172">
        <v>7.65</v>
      </c>
      <c r="M1172">
        <v>1.1499999999999999</v>
      </c>
      <c r="N1172">
        <v>6.98</v>
      </c>
    </row>
    <row r="1173" spans="1:14">
      <c r="A1173" s="28">
        <v>1064</v>
      </c>
      <c r="B1173" t="s">
        <v>1129</v>
      </c>
      <c r="C1173" t="s">
        <v>347</v>
      </c>
      <c r="D1173">
        <v>94.09</v>
      </c>
      <c r="E1173">
        <v>2628.57</v>
      </c>
      <c r="F1173">
        <v>7.87</v>
      </c>
      <c r="G1173">
        <v>174.86</v>
      </c>
      <c r="H1173">
        <v>1.53</v>
      </c>
      <c r="I1173">
        <v>2.98</v>
      </c>
      <c r="J1173">
        <v>396</v>
      </c>
      <c r="K1173">
        <v>13642.83</v>
      </c>
      <c r="L1173">
        <v>54.67</v>
      </c>
      <c r="M1173">
        <v>1.59</v>
      </c>
      <c r="N1173">
        <v>57.31</v>
      </c>
    </row>
    <row r="1174" spans="1:14">
      <c r="A1174" s="28">
        <v>872</v>
      </c>
      <c r="B1174" t="s">
        <v>1526</v>
      </c>
      <c r="C1174" t="s">
        <v>348</v>
      </c>
      <c r="D1174">
        <v>94.67</v>
      </c>
      <c r="E1174">
        <v>176.08</v>
      </c>
      <c r="F1174">
        <v>11.8</v>
      </c>
      <c r="G1174">
        <v>41.94</v>
      </c>
      <c r="H1174">
        <v>2</v>
      </c>
      <c r="I1174">
        <v>4.03</v>
      </c>
      <c r="J1174">
        <v>52.8</v>
      </c>
      <c r="K1174">
        <v>1380.42</v>
      </c>
      <c r="L1174">
        <v>24.43</v>
      </c>
      <c r="M1174">
        <v>0.93</v>
      </c>
      <c r="N1174">
        <v>16</v>
      </c>
    </row>
    <row r="1175" spans="1:14">
      <c r="A1175" s="28">
        <v>881</v>
      </c>
      <c r="B1175" t="s">
        <v>679</v>
      </c>
      <c r="C1175" t="s">
        <v>348</v>
      </c>
      <c r="D1175">
        <v>94.75</v>
      </c>
      <c r="E1175">
        <v>1102.54</v>
      </c>
      <c r="F1175">
        <v>11.58</v>
      </c>
      <c r="G1175">
        <v>-61.9</v>
      </c>
      <c r="H1175">
        <v>1.87</v>
      </c>
      <c r="I1175">
        <v>3.45</v>
      </c>
      <c r="J1175">
        <v>199.71</v>
      </c>
      <c r="K1175">
        <v>6012.72</v>
      </c>
      <c r="L1175">
        <v>28.54</v>
      </c>
      <c r="M1175">
        <v>0.95</v>
      </c>
      <c r="N1175">
        <v>13.05</v>
      </c>
    </row>
    <row r="1176" spans="1:14">
      <c r="A1176" s="28">
        <v>223</v>
      </c>
      <c r="B1176" t="s">
        <v>2686</v>
      </c>
      <c r="C1176" t="s">
        <v>348</v>
      </c>
      <c r="D1176">
        <v>95.64</v>
      </c>
      <c r="E1176">
        <v>738.74</v>
      </c>
      <c r="F1176">
        <v>50.37</v>
      </c>
      <c r="G1176">
        <v>102.8</v>
      </c>
      <c r="H1176">
        <v>9.25</v>
      </c>
      <c r="I1176">
        <v>18.010000000000002</v>
      </c>
      <c r="J1176">
        <v>678.93</v>
      </c>
      <c r="K1176">
        <v>4193.6899999999996</v>
      </c>
      <c r="L1176">
        <v>14.13</v>
      </c>
      <c r="M1176">
        <v>2.29</v>
      </c>
      <c r="N1176">
        <v>11.46</v>
      </c>
    </row>
    <row r="1177" spans="1:14">
      <c r="A1177" s="28">
        <v>331</v>
      </c>
      <c r="B1177" t="s">
        <v>1582</v>
      </c>
      <c r="C1177" t="s">
        <v>347</v>
      </c>
      <c r="D1177">
        <v>95.81</v>
      </c>
      <c r="E1177">
        <v>989.41</v>
      </c>
      <c r="F1177">
        <v>37.380000000000003</v>
      </c>
      <c r="G1177" t="s">
        <v>350</v>
      </c>
      <c r="H1177">
        <v>0.74</v>
      </c>
      <c r="I1177">
        <v>1.5</v>
      </c>
      <c r="J1177">
        <v>78.06</v>
      </c>
      <c r="K1177">
        <v>5447.06</v>
      </c>
      <c r="L1177">
        <v>85.58</v>
      </c>
      <c r="M1177">
        <v>1.23</v>
      </c>
      <c r="N1177">
        <v>11.56</v>
      </c>
    </row>
    <row r="1178" spans="1:14">
      <c r="A1178" s="28">
        <v>434</v>
      </c>
      <c r="B1178" t="s">
        <v>2321</v>
      </c>
      <c r="C1178" t="s">
        <v>348</v>
      </c>
      <c r="D1178">
        <v>96.88</v>
      </c>
      <c r="E1178">
        <v>1227.73</v>
      </c>
      <c r="F1178">
        <v>29.06</v>
      </c>
      <c r="G1178">
        <v>-28.72</v>
      </c>
      <c r="H1178">
        <v>9.57</v>
      </c>
      <c r="I1178">
        <v>19.350000000000001</v>
      </c>
      <c r="J1178">
        <v>167.35</v>
      </c>
      <c r="K1178">
        <v>1032.8599999999999</v>
      </c>
      <c r="N1178">
        <v>2.97</v>
      </c>
    </row>
    <row r="1179" spans="1:14">
      <c r="A1179" s="28">
        <v>596</v>
      </c>
      <c r="B1179" t="s">
        <v>2241</v>
      </c>
      <c r="C1179" t="s">
        <v>348</v>
      </c>
      <c r="D1179">
        <v>97.11</v>
      </c>
      <c r="E1179">
        <v>2009.94</v>
      </c>
      <c r="F1179">
        <v>20.72</v>
      </c>
      <c r="G1179">
        <v>-36.35</v>
      </c>
      <c r="H1179">
        <v>2.64</v>
      </c>
      <c r="I1179">
        <v>5.22</v>
      </c>
      <c r="J1179">
        <v>530.16</v>
      </c>
      <c r="K1179">
        <v>10641.2</v>
      </c>
      <c r="L1179">
        <v>29.52</v>
      </c>
      <c r="M1179">
        <v>1.47</v>
      </c>
      <c r="N1179">
        <v>8.41</v>
      </c>
    </row>
    <row r="1180" spans="1:14">
      <c r="A1180" s="28">
        <v>320</v>
      </c>
      <c r="B1180" t="s">
        <v>2152</v>
      </c>
      <c r="C1180" t="s">
        <v>347</v>
      </c>
      <c r="D1180">
        <v>97.24</v>
      </c>
      <c r="E1180">
        <v>2254.4</v>
      </c>
      <c r="F1180">
        <v>38.479999999999997</v>
      </c>
      <c r="G1180">
        <v>69.42</v>
      </c>
      <c r="H1180">
        <v>4.4800000000000004</v>
      </c>
      <c r="I1180">
        <v>9.43</v>
      </c>
      <c r="J1180">
        <v>970.94</v>
      </c>
      <c r="K1180">
        <v>11771.98</v>
      </c>
      <c r="L1180">
        <v>20.36</v>
      </c>
      <c r="M1180">
        <v>1.68</v>
      </c>
      <c r="N1180">
        <v>14.38</v>
      </c>
    </row>
    <row r="1181" spans="1:14">
      <c r="A1181" s="28">
        <v>997</v>
      </c>
      <c r="B1181" t="s">
        <v>2683</v>
      </c>
      <c r="C1181" t="s">
        <v>348</v>
      </c>
      <c r="D1181">
        <v>97.28</v>
      </c>
      <c r="E1181">
        <v>278.05</v>
      </c>
      <c r="F1181">
        <v>9.27</v>
      </c>
      <c r="G1181" t="s">
        <v>2788</v>
      </c>
      <c r="H1181">
        <v>-6.11</v>
      </c>
      <c r="I1181">
        <v>-11.55</v>
      </c>
      <c r="J1181">
        <v>-216.97</v>
      </c>
      <c r="K1181">
        <v>1770.41</v>
      </c>
      <c r="M1181">
        <v>1.83</v>
      </c>
      <c r="N1181">
        <v>146.75</v>
      </c>
    </row>
    <row r="1182" spans="1:14">
      <c r="A1182" s="28">
        <v>1085</v>
      </c>
      <c r="B1182" t="s">
        <v>1989</v>
      </c>
      <c r="C1182" t="s">
        <v>348</v>
      </c>
      <c r="D1182">
        <v>97.37</v>
      </c>
      <c r="E1182">
        <v>6476.32</v>
      </c>
      <c r="F1182">
        <v>7.36</v>
      </c>
      <c r="G1182">
        <v>-17.829999999999998</v>
      </c>
      <c r="H1182">
        <v>3.06</v>
      </c>
      <c r="I1182">
        <v>5.76</v>
      </c>
      <c r="J1182">
        <v>1883.59</v>
      </c>
      <c r="K1182">
        <v>34509.089999999997</v>
      </c>
      <c r="L1182">
        <v>26.39</v>
      </c>
      <c r="M1182">
        <v>1.44</v>
      </c>
      <c r="N1182">
        <v>21.51</v>
      </c>
    </row>
    <row r="1183" spans="1:14">
      <c r="A1183" s="28">
        <v>501</v>
      </c>
      <c r="B1183" t="s">
        <v>1507</v>
      </c>
      <c r="C1183" t="s">
        <v>348</v>
      </c>
      <c r="D1183">
        <v>97.63</v>
      </c>
      <c r="E1183">
        <v>317.01</v>
      </c>
      <c r="F1183">
        <v>25.53</v>
      </c>
      <c r="G1183" t="s">
        <v>2788</v>
      </c>
      <c r="H1183">
        <v>-11.21</v>
      </c>
      <c r="I1183">
        <v>-19.59</v>
      </c>
      <c r="J1183">
        <v>-406.04</v>
      </c>
      <c r="K1183">
        <v>2085.04</v>
      </c>
      <c r="M1183">
        <v>3.39</v>
      </c>
      <c r="N1183">
        <v>54.44</v>
      </c>
    </row>
    <row r="1184" spans="1:14">
      <c r="A1184" s="28">
        <v>1006</v>
      </c>
      <c r="B1184" t="s">
        <v>2285</v>
      </c>
      <c r="C1184" t="s">
        <v>347</v>
      </c>
      <c r="D1184">
        <v>97.75</v>
      </c>
      <c r="F1184">
        <v>9.0500000000000007</v>
      </c>
      <c r="G1184" t="s">
        <v>2788</v>
      </c>
      <c r="H1184">
        <v>-32.770000000000003</v>
      </c>
      <c r="I1184">
        <v>-70.31</v>
      </c>
      <c r="J1184">
        <v>-3202.68</v>
      </c>
      <c r="K1184">
        <v>4098.88</v>
      </c>
      <c r="M1184">
        <v>2.0299999999999998</v>
      </c>
    </row>
    <row r="1185" spans="1:14">
      <c r="A1185" s="28">
        <v>682</v>
      </c>
      <c r="B1185" t="s">
        <v>2847</v>
      </c>
      <c r="C1185" t="s">
        <v>348</v>
      </c>
      <c r="D1185">
        <v>977.71</v>
      </c>
      <c r="E1185">
        <v>40.35</v>
      </c>
      <c r="F1185">
        <v>17.399999999999999</v>
      </c>
      <c r="G1185" t="s">
        <v>2788</v>
      </c>
      <c r="H1185">
        <v>-18.37</v>
      </c>
      <c r="I1185">
        <v>-110</v>
      </c>
      <c r="J1185">
        <v>-1568.52</v>
      </c>
      <c r="K1185">
        <v>713</v>
      </c>
      <c r="M1185">
        <v>9.57</v>
      </c>
    </row>
    <row r="1186" spans="1:14">
      <c r="A1186" s="28">
        <v>874</v>
      </c>
      <c r="B1186" t="s">
        <v>2272</v>
      </c>
      <c r="C1186" t="s">
        <v>348</v>
      </c>
      <c r="D1186">
        <v>98.02</v>
      </c>
      <c r="E1186">
        <v>1038.58</v>
      </c>
      <c r="F1186">
        <v>11.73</v>
      </c>
      <c r="G1186" t="s">
        <v>2788</v>
      </c>
      <c r="H1186">
        <v>-10.84</v>
      </c>
      <c r="I1186">
        <v>-21.74</v>
      </c>
      <c r="J1186">
        <v>-200.68</v>
      </c>
      <c r="K1186">
        <v>1128.1600000000001</v>
      </c>
      <c r="M1186">
        <v>2.96</v>
      </c>
    </row>
    <row r="1187" spans="1:14">
      <c r="A1187" s="28">
        <v>326</v>
      </c>
      <c r="B1187" t="s">
        <v>243</v>
      </c>
      <c r="C1187" t="s">
        <v>347</v>
      </c>
      <c r="D1187">
        <v>98.58</v>
      </c>
      <c r="E1187">
        <v>553.48</v>
      </c>
      <c r="F1187">
        <v>38.1</v>
      </c>
      <c r="G1187">
        <v>8.7899999999999991</v>
      </c>
      <c r="H1187">
        <v>4.58</v>
      </c>
      <c r="I1187">
        <v>8.1300000000000008</v>
      </c>
      <c r="J1187">
        <v>3016.77</v>
      </c>
      <c r="K1187">
        <v>40080.65</v>
      </c>
      <c r="L1187">
        <v>3.6</v>
      </c>
      <c r="M1187">
        <v>0.27</v>
      </c>
      <c r="N1187">
        <v>2.57</v>
      </c>
    </row>
    <row r="1188" spans="1:14">
      <c r="A1188" s="28">
        <v>900</v>
      </c>
      <c r="B1188" t="s">
        <v>1184</v>
      </c>
      <c r="C1188" t="s">
        <v>348</v>
      </c>
      <c r="D1188">
        <v>98.64</v>
      </c>
      <c r="E1188">
        <v>725.16</v>
      </c>
      <c r="F1188">
        <v>11.19</v>
      </c>
      <c r="G1188">
        <v>0.89</v>
      </c>
      <c r="H1188">
        <v>3.77</v>
      </c>
      <c r="I1188">
        <v>7.54</v>
      </c>
      <c r="J1188">
        <v>304.61</v>
      </c>
      <c r="K1188">
        <v>4125.82</v>
      </c>
      <c r="L1188">
        <v>20.49</v>
      </c>
      <c r="M1188">
        <v>1.51</v>
      </c>
      <c r="N1188">
        <v>14.17</v>
      </c>
    </row>
    <row r="1189" spans="1:14">
      <c r="A1189" s="28">
        <v>123</v>
      </c>
      <c r="B1189" t="s">
        <v>1843</v>
      </c>
      <c r="C1189" t="s">
        <v>348</v>
      </c>
      <c r="D1189">
        <v>98.64</v>
      </c>
      <c r="E1189">
        <v>12.71</v>
      </c>
      <c r="F1189">
        <v>86.88</v>
      </c>
      <c r="G1189" t="s">
        <v>2788</v>
      </c>
      <c r="H1189">
        <v>-14.24</v>
      </c>
      <c r="I1189">
        <v>-27.02</v>
      </c>
      <c r="J1189">
        <v>-156.52000000000001</v>
      </c>
      <c r="K1189">
        <v>563.53</v>
      </c>
      <c r="M1189">
        <v>2.69</v>
      </c>
    </row>
    <row r="1190" spans="1:14">
      <c r="A1190" s="28">
        <v>35</v>
      </c>
      <c r="B1190" t="s">
        <v>2062</v>
      </c>
      <c r="C1190" t="s">
        <v>348</v>
      </c>
      <c r="D1190">
        <v>98.64</v>
      </c>
      <c r="E1190">
        <v>437.41</v>
      </c>
      <c r="F1190">
        <v>299.27999999999997</v>
      </c>
      <c r="G1190" t="s">
        <v>2788</v>
      </c>
      <c r="H1190">
        <v>-16.77</v>
      </c>
      <c r="I1190">
        <v>-29.8</v>
      </c>
      <c r="J1190">
        <v>-174.33</v>
      </c>
      <c r="K1190">
        <v>537.41</v>
      </c>
      <c r="M1190">
        <v>3.05</v>
      </c>
    </row>
    <row r="1191" spans="1:14">
      <c r="A1191" s="28">
        <v>734</v>
      </c>
      <c r="B1191" t="s">
        <v>684</v>
      </c>
      <c r="C1191" t="s">
        <v>348</v>
      </c>
      <c r="D1191">
        <v>98.92</v>
      </c>
      <c r="E1191">
        <v>631.58000000000004</v>
      </c>
      <c r="F1191">
        <v>15.91</v>
      </c>
      <c r="G1191">
        <v>51.36</v>
      </c>
      <c r="H1191">
        <v>8.35</v>
      </c>
      <c r="I1191">
        <v>17.96</v>
      </c>
      <c r="J1191">
        <v>6107.84</v>
      </c>
      <c r="K1191">
        <v>36579.199999999997</v>
      </c>
      <c r="L1191">
        <v>5.27</v>
      </c>
      <c r="M1191">
        <v>0.88</v>
      </c>
      <c r="N1191">
        <v>4.1100000000000003</v>
      </c>
    </row>
    <row r="1192" spans="1:14">
      <c r="A1192" s="28">
        <v>858</v>
      </c>
      <c r="B1192" t="s">
        <v>779</v>
      </c>
      <c r="C1192" t="s">
        <v>347</v>
      </c>
      <c r="D1192">
        <v>98.93</v>
      </c>
      <c r="E1192">
        <v>1542.06</v>
      </c>
      <c r="F1192">
        <v>12.38</v>
      </c>
      <c r="G1192" t="s">
        <v>2788</v>
      </c>
      <c r="H1192">
        <v>-2.0299999999999998</v>
      </c>
      <c r="I1192">
        <v>-3.97</v>
      </c>
      <c r="J1192">
        <v>-3173.59</v>
      </c>
      <c r="K1192">
        <v>82103.16</v>
      </c>
      <c r="M1192">
        <v>0.99</v>
      </c>
      <c r="N1192">
        <v>33.880000000000003</v>
      </c>
    </row>
    <row r="1193" spans="1:14">
      <c r="A1193" s="28">
        <v>433</v>
      </c>
      <c r="B1193" t="s">
        <v>2507</v>
      </c>
      <c r="C1193" t="s">
        <v>348</v>
      </c>
      <c r="D1193">
        <v>9839.02</v>
      </c>
      <c r="F1193">
        <v>29.18</v>
      </c>
      <c r="G1193" t="s">
        <v>2788</v>
      </c>
      <c r="H1193">
        <v>-17.809999999999999</v>
      </c>
      <c r="I1193">
        <v>-396.49</v>
      </c>
      <c r="J1193">
        <v>-631.95000000000005</v>
      </c>
      <c r="K1193">
        <v>34.4</v>
      </c>
    </row>
    <row r="1194" spans="1:14">
      <c r="A1194" s="28">
        <v>514</v>
      </c>
      <c r="B1194" t="s">
        <v>862</v>
      </c>
      <c r="C1194" t="s">
        <v>348</v>
      </c>
      <c r="D1194">
        <v>99.13</v>
      </c>
      <c r="E1194">
        <v>3277.39</v>
      </c>
      <c r="F1194">
        <v>25.02</v>
      </c>
      <c r="G1194">
        <v>51.26</v>
      </c>
      <c r="H1194">
        <v>25.76</v>
      </c>
      <c r="I1194">
        <v>51.71</v>
      </c>
      <c r="J1194">
        <v>7509.04</v>
      </c>
      <c r="K1194">
        <v>18108.53</v>
      </c>
      <c r="L1194">
        <v>3.52</v>
      </c>
      <c r="M1194">
        <v>1.46</v>
      </c>
      <c r="N1194">
        <v>2.31</v>
      </c>
    </row>
    <row r="1195" spans="1:14">
      <c r="A1195" s="28">
        <v>307</v>
      </c>
      <c r="B1195" t="s">
        <v>2673</v>
      </c>
      <c r="C1195" t="s">
        <v>348</v>
      </c>
      <c r="D1195">
        <v>99.17</v>
      </c>
      <c r="E1195">
        <v>136.52000000000001</v>
      </c>
      <c r="F1195">
        <v>40.19</v>
      </c>
      <c r="G1195" t="s">
        <v>2788</v>
      </c>
      <c r="H1195">
        <v>-5.26</v>
      </c>
      <c r="I1195">
        <v>-15.02</v>
      </c>
      <c r="J1195">
        <v>-126.43</v>
      </c>
      <c r="K1195">
        <v>1182.58</v>
      </c>
      <c r="N1195">
        <v>0</v>
      </c>
    </row>
    <row r="1196" spans="1:14">
      <c r="A1196" s="28">
        <v>835</v>
      </c>
      <c r="B1196" t="s">
        <v>677</v>
      </c>
      <c r="C1196" t="s">
        <v>348</v>
      </c>
      <c r="D1196">
        <v>99.19</v>
      </c>
      <c r="E1196">
        <v>683.3</v>
      </c>
      <c r="F1196">
        <v>13.15</v>
      </c>
      <c r="G1196" t="s">
        <v>349</v>
      </c>
      <c r="H1196">
        <v>-20.76</v>
      </c>
      <c r="I1196">
        <v>-36.51</v>
      </c>
      <c r="J1196">
        <v>-53.72</v>
      </c>
      <c r="K1196">
        <v>195.83</v>
      </c>
      <c r="M1196">
        <v>6.81</v>
      </c>
      <c r="N1196">
        <v>178.24</v>
      </c>
    </row>
    <row r="1197" spans="1:14">
      <c r="A1197" s="28">
        <v>146</v>
      </c>
      <c r="B1197" t="s">
        <v>2523</v>
      </c>
      <c r="C1197" t="s">
        <v>348</v>
      </c>
      <c r="D1197">
        <v>99.24</v>
      </c>
      <c r="E1197">
        <v>499.55</v>
      </c>
      <c r="F1197">
        <v>73.17</v>
      </c>
      <c r="G1197" t="s">
        <v>2788</v>
      </c>
      <c r="H1197">
        <v>-17.149999999999999</v>
      </c>
      <c r="I1197">
        <v>-33.619999999999997</v>
      </c>
      <c r="J1197">
        <v>-1184.0999999999999</v>
      </c>
      <c r="K1197">
        <v>2997.74</v>
      </c>
      <c r="M1197">
        <v>4.8600000000000003</v>
      </c>
    </row>
    <row r="1198" spans="1:14">
      <c r="A1198" s="28">
        <v>176</v>
      </c>
      <c r="B1198" t="s">
        <v>2264</v>
      </c>
      <c r="C1198" t="s">
        <v>348</v>
      </c>
      <c r="D1198">
        <v>99.6</v>
      </c>
      <c r="E1198">
        <v>172.73</v>
      </c>
      <c r="F1198">
        <v>63.48</v>
      </c>
      <c r="G1198" t="s">
        <v>349</v>
      </c>
      <c r="H1198">
        <v>-10.97</v>
      </c>
      <c r="I1198">
        <v>-19.54</v>
      </c>
      <c r="J1198">
        <v>-58.08</v>
      </c>
      <c r="K1198">
        <v>272.73</v>
      </c>
      <c r="M1198">
        <v>1.56</v>
      </c>
    </row>
    <row r="1199" spans="1:14">
      <c r="A1199" s="28">
        <v>495</v>
      </c>
      <c r="B1199" t="s">
        <v>1735</v>
      </c>
      <c r="C1199" t="s">
        <v>348</v>
      </c>
      <c r="D1199">
        <v>99.73</v>
      </c>
      <c r="E1199">
        <v>939.22</v>
      </c>
      <c r="F1199">
        <v>25.75</v>
      </c>
      <c r="G1199">
        <v>942.16</v>
      </c>
      <c r="H1199">
        <v>1.27</v>
      </c>
      <c r="I1199">
        <v>2.61</v>
      </c>
      <c r="J1199">
        <v>120.01</v>
      </c>
      <c r="K1199">
        <v>4947.04</v>
      </c>
      <c r="L1199">
        <v>89.99</v>
      </c>
      <c r="M1199">
        <v>2.1800000000000002</v>
      </c>
      <c r="N1199">
        <v>17.579999999999998</v>
      </c>
    </row>
    <row r="1200" spans="1:14">
      <c r="A1200" s="28">
        <v>882</v>
      </c>
      <c r="B1200" t="s">
        <v>1372</v>
      </c>
      <c r="C1200" t="s">
        <v>347</v>
      </c>
      <c r="D1200">
        <v>99.92</v>
      </c>
      <c r="E1200">
        <v>3231.05</v>
      </c>
      <c r="F1200">
        <v>11.56</v>
      </c>
      <c r="G1200">
        <v>58.68</v>
      </c>
      <c r="H1200">
        <v>4.41</v>
      </c>
      <c r="I1200">
        <v>8.68</v>
      </c>
      <c r="J1200">
        <v>1170.1400000000001</v>
      </c>
      <c r="K1200">
        <v>16655.23</v>
      </c>
      <c r="L1200">
        <v>24.74</v>
      </c>
      <c r="M1200">
        <v>1.74</v>
      </c>
      <c r="N1200">
        <v>10.54</v>
      </c>
    </row>
    <row r="1201" spans="1:14">
      <c r="A1201" s="28">
        <v>36</v>
      </c>
      <c r="B1201" t="s">
        <v>1825</v>
      </c>
      <c r="C1201" t="s">
        <v>348</v>
      </c>
      <c r="D1201">
        <v>99.96</v>
      </c>
      <c r="E1201">
        <v>2155.52</v>
      </c>
      <c r="F1201">
        <v>292.48</v>
      </c>
      <c r="G1201">
        <v>248.07</v>
      </c>
      <c r="H1201">
        <v>28.73</v>
      </c>
      <c r="I1201">
        <v>60.84</v>
      </c>
      <c r="J1201">
        <v>2402.98</v>
      </c>
      <c r="K1201">
        <v>5638.8</v>
      </c>
      <c r="N1201">
        <v>0.48</v>
      </c>
    </row>
    <row r="1202" spans="1:14">
      <c r="A1202" s="28">
        <v>1113</v>
      </c>
      <c r="B1202" t="s">
        <v>2515</v>
      </c>
      <c r="C1202" t="s">
        <v>347</v>
      </c>
      <c r="D1202">
        <v>99.99</v>
      </c>
      <c r="E1202">
        <v>439.92</v>
      </c>
      <c r="F1202">
        <v>6.55</v>
      </c>
      <c r="G1202" t="s">
        <v>349</v>
      </c>
      <c r="H1202">
        <v>-0.09</v>
      </c>
      <c r="I1202">
        <v>-0.19</v>
      </c>
      <c r="J1202">
        <v>-3.23</v>
      </c>
      <c r="K1202">
        <v>2699.59</v>
      </c>
      <c r="M1202">
        <v>0.26</v>
      </c>
      <c r="N1202">
        <v>15.94</v>
      </c>
    </row>
    <row r="1203" spans="1:14">
      <c r="A1203" s="28">
        <v>942</v>
      </c>
      <c r="B1203" t="s">
        <v>2824</v>
      </c>
      <c r="C1203" t="s">
        <v>348</v>
      </c>
      <c r="D1203" t="s">
        <v>2792</v>
      </c>
      <c r="F1203">
        <v>10.3</v>
      </c>
      <c r="G1203" t="s">
        <v>2788</v>
      </c>
      <c r="H1203">
        <v>-40.29</v>
      </c>
      <c r="I1203" t="s">
        <v>2792</v>
      </c>
      <c r="J1203">
        <v>-1227.6199999999999</v>
      </c>
      <c r="K1203">
        <v>-1088.3800000000001</v>
      </c>
    </row>
    <row r="1204" spans="1:14">
      <c r="A1204" s="28">
        <v>528</v>
      </c>
      <c r="B1204" t="s">
        <v>2853</v>
      </c>
      <c r="C1204" t="s">
        <v>348</v>
      </c>
      <c r="D1204" t="s">
        <v>2792</v>
      </c>
      <c r="F1204">
        <v>24.46</v>
      </c>
      <c r="G1204" t="s">
        <v>2788</v>
      </c>
      <c r="H1204">
        <v>-2.35</v>
      </c>
      <c r="I1204" t="s">
        <v>2792</v>
      </c>
      <c r="J1204">
        <v>-82.14</v>
      </c>
      <c r="K1204">
        <v>-876.6</v>
      </c>
      <c r="N1204">
        <v>26.91</v>
      </c>
    </row>
    <row r="1205" spans="1:14">
      <c r="A1205" s="28">
        <v>529</v>
      </c>
      <c r="B1205" t="s">
        <v>2855</v>
      </c>
      <c r="C1205" t="s">
        <v>348</v>
      </c>
      <c r="D1205" t="s">
        <v>2792</v>
      </c>
      <c r="F1205">
        <v>24.42</v>
      </c>
      <c r="H1205">
        <v>-25.68</v>
      </c>
      <c r="I1205" t="s">
        <v>2792</v>
      </c>
    </row>
    <row r="1206" spans="1:14">
      <c r="A1206" s="28">
        <v>99</v>
      </c>
      <c r="B1206" t="s">
        <v>2854</v>
      </c>
      <c r="C1206" t="s">
        <v>348</v>
      </c>
      <c r="D1206" t="s">
        <v>2792</v>
      </c>
      <c r="F1206">
        <v>113.34</v>
      </c>
      <c r="H1206">
        <v>-50.44</v>
      </c>
      <c r="I1206" t="s">
        <v>2792</v>
      </c>
    </row>
    <row r="1207" spans="1:14">
      <c r="A1207" s="28">
        <v>28</v>
      </c>
      <c r="B1207" t="s">
        <v>2856</v>
      </c>
      <c r="C1207" t="s">
        <v>348</v>
      </c>
      <c r="D1207" t="s">
        <v>2792</v>
      </c>
      <c r="F1207">
        <v>347.53</v>
      </c>
      <c r="G1207" t="s">
        <v>2788</v>
      </c>
      <c r="H1207">
        <v>-7.77</v>
      </c>
      <c r="I1207" t="s">
        <v>2792</v>
      </c>
      <c r="J1207">
        <v>-22.79</v>
      </c>
      <c r="K1207">
        <v>-9.4600000000000009</v>
      </c>
    </row>
    <row r="1208" spans="1:14">
      <c r="A1208" s="28">
        <v>512</v>
      </c>
      <c r="B1208" t="s">
        <v>2566</v>
      </c>
      <c r="C1208" t="s">
        <v>348</v>
      </c>
      <c r="D1208" t="s">
        <v>2792</v>
      </c>
      <c r="F1208">
        <v>25.15</v>
      </c>
      <c r="G1208" t="s">
        <v>2788</v>
      </c>
      <c r="H1208">
        <v>-109.47</v>
      </c>
      <c r="I1208">
        <v>-246.87</v>
      </c>
      <c r="J1208">
        <v>-2155.7399999999998</v>
      </c>
      <c r="K1208">
        <v>-115.84</v>
      </c>
    </row>
    <row r="1209" spans="1:14">
      <c r="A1209" s="28">
        <v>267</v>
      </c>
      <c r="B1209" t="s">
        <v>2868</v>
      </c>
      <c r="C1209" t="s">
        <v>348</v>
      </c>
      <c r="D1209" t="s">
        <v>2792</v>
      </c>
      <c r="F1209">
        <v>44.66</v>
      </c>
      <c r="G1209" t="s">
        <v>2788</v>
      </c>
      <c r="H1209">
        <v>-226.11</v>
      </c>
      <c r="I1209" t="s">
        <v>2792</v>
      </c>
      <c r="J1209">
        <v>-922.48</v>
      </c>
      <c r="K1209">
        <v>-346.63</v>
      </c>
    </row>
    <row r="1210" spans="1:14">
      <c r="A1210" s="28">
        <v>79</v>
      </c>
      <c r="B1210" t="s">
        <v>2402</v>
      </c>
      <c r="C1210" t="s">
        <v>348</v>
      </c>
      <c r="D1210" t="s">
        <v>2792</v>
      </c>
      <c r="F1210">
        <v>134.27000000000001</v>
      </c>
      <c r="G1210" t="s">
        <v>2788</v>
      </c>
      <c r="H1210">
        <v>-64.650000000000006</v>
      </c>
      <c r="I1210">
        <v>-3360.25</v>
      </c>
      <c r="J1210">
        <v>-750.76</v>
      </c>
      <c r="K1210">
        <v>-348.8</v>
      </c>
    </row>
    <row r="1211" spans="1:14">
      <c r="A1211" s="28">
        <v>24</v>
      </c>
      <c r="B1211" t="s">
        <v>2031</v>
      </c>
      <c r="C1211" t="s">
        <v>348</v>
      </c>
      <c r="D1211" t="s">
        <v>2792</v>
      </c>
      <c r="F1211">
        <v>423.93</v>
      </c>
      <c r="G1211" t="s">
        <v>2788</v>
      </c>
      <c r="H1211">
        <v>-84.91</v>
      </c>
      <c r="I1211" t="s">
        <v>2792</v>
      </c>
      <c r="J1211">
        <v>-1095.5999999999999</v>
      </c>
      <c r="K1211">
        <v>-1663.14</v>
      </c>
    </row>
    <row r="1212" spans="1:14">
      <c r="A1212" s="28">
        <v>200</v>
      </c>
      <c r="B1212" t="s">
        <v>1524</v>
      </c>
      <c r="C1212" t="s">
        <v>348</v>
      </c>
      <c r="D1212" t="s">
        <v>2792</v>
      </c>
      <c r="F1212">
        <v>56.46</v>
      </c>
      <c r="G1212" t="s">
        <v>2788</v>
      </c>
      <c r="H1212">
        <v>-90.63</v>
      </c>
      <c r="I1212" t="s">
        <v>2792</v>
      </c>
      <c r="J1212">
        <v>-982.44</v>
      </c>
      <c r="K1212">
        <v>-240.41</v>
      </c>
    </row>
    <row r="1213" spans="1:14">
      <c r="A1213" s="28">
        <v>902</v>
      </c>
      <c r="B1213" t="s">
        <v>2850</v>
      </c>
      <c r="C1213" t="s">
        <v>348</v>
      </c>
      <c r="D1213" t="s">
        <v>2792</v>
      </c>
      <c r="F1213">
        <v>11.17</v>
      </c>
      <c r="G1213" t="s">
        <v>2788</v>
      </c>
      <c r="H1213">
        <v>-55.51</v>
      </c>
      <c r="I1213" t="s">
        <v>2792</v>
      </c>
      <c r="J1213">
        <v>-819</v>
      </c>
      <c r="K1213">
        <v>-2429.58</v>
      </c>
    </row>
    <row r="1214" spans="1:14">
      <c r="A1214" s="28">
        <v>60</v>
      </c>
      <c r="B1214" t="s">
        <v>2849</v>
      </c>
      <c r="C1214" t="s">
        <v>348</v>
      </c>
      <c r="D1214" t="s">
        <v>2792</v>
      </c>
      <c r="F1214">
        <v>168.37</v>
      </c>
      <c r="H1214">
        <v>-35.17</v>
      </c>
      <c r="I1214" t="s">
        <v>2792</v>
      </c>
    </row>
    <row r="1215" spans="1:14">
      <c r="A1215" s="28">
        <v>58</v>
      </c>
      <c r="B1215" t="s">
        <v>1880</v>
      </c>
      <c r="C1215" t="s">
        <v>348</v>
      </c>
      <c r="D1215" t="s">
        <v>2792</v>
      </c>
      <c r="F1215">
        <v>173</v>
      </c>
      <c r="G1215" t="s">
        <v>2788</v>
      </c>
      <c r="H1215">
        <v>-21.74</v>
      </c>
      <c r="I1215" t="s">
        <v>2792</v>
      </c>
      <c r="J1215">
        <v>-257.62</v>
      </c>
      <c r="K1215">
        <v>-444.97</v>
      </c>
    </row>
    <row r="1216" spans="1:14">
      <c r="A1216" s="28">
        <v>44</v>
      </c>
      <c r="B1216" t="s">
        <v>2834</v>
      </c>
      <c r="C1216" t="s">
        <v>348</v>
      </c>
      <c r="D1216" t="s">
        <v>2792</v>
      </c>
      <c r="F1216">
        <v>213.45</v>
      </c>
      <c r="G1216" t="s">
        <v>2788</v>
      </c>
      <c r="H1216">
        <v>-38.76</v>
      </c>
      <c r="I1216" t="s">
        <v>2792</v>
      </c>
      <c r="J1216">
        <v>-2768.86</v>
      </c>
      <c r="K1216">
        <v>-3813.24</v>
      </c>
    </row>
    <row r="1217" spans="1:14">
      <c r="A1217" s="28">
        <v>372</v>
      </c>
      <c r="B1217" t="s">
        <v>2848</v>
      </c>
      <c r="C1217" t="s">
        <v>348</v>
      </c>
      <c r="D1217" t="s">
        <v>2792</v>
      </c>
      <c r="F1217">
        <v>33.299999999999997</v>
      </c>
      <c r="G1217" t="s">
        <v>2788</v>
      </c>
      <c r="H1217">
        <v>-3.01</v>
      </c>
      <c r="I1217" t="s">
        <v>2792</v>
      </c>
      <c r="J1217">
        <v>-553.4</v>
      </c>
      <c r="K1217">
        <v>-372.29</v>
      </c>
      <c r="N1217">
        <v>14.91</v>
      </c>
    </row>
    <row r="1218" spans="1:14">
      <c r="A1218" s="28">
        <v>252</v>
      </c>
      <c r="B1218" t="s">
        <v>2600</v>
      </c>
      <c r="C1218" t="s">
        <v>348</v>
      </c>
      <c r="D1218" t="s">
        <v>2792</v>
      </c>
      <c r="F1218">
        <v>46.09</v>
      </c>
      <c r="G1218" t="s">
        <v>2788</v>
      </c>
      <c r="H1218">
        <v>-102.15</v>
      </c>
      <c r="I1218">
        <v>-623.82000000000005</v>
      </c>
      <c r="J1218">
        <v>-2166.7600000000002</v>
      </c>
      <c r="K1218">
        <v>-580.09</v>
      </c>
      <c r="N1218">
        <v>125.26</v>
      </c>
    </row>
    <row r="1219" spans="1:14">
      <c r="A1219" s="28">
        <v>22</v>
      </c>
      <c r="B1219" t="s">
        <v>1878</v>
      </c>
      <c r="C1219" t="s">
        <v>348</v>
      </c>
      <c r="D1219" t="s">
        <v>2792</v>
      </c>
      <c r="F1219">
        <v>429.38</v>
      </c>
      <c r="G1219" t="s">
        <v>2788</v>
      </c>
      <c r="H1219">
        <v>-48.86</v>
      </c>
      <c r="I1219" t="s">
        <v>2792</v>
      </c>
      <c r="J1219">
        <v>-1403.53</v>
      </c>
      <c r="K1219">
        <v>-984.47</v>
      </c>
    </row>
    <row r="1220" spans="1:14">
      <c r="A1220" s="28">
        <v>80</v>
      </c>
      <c r="B1220" t="s">
        <v>2851</v>
      </c>
      <c r="C1220" t="s">
        <v>348</v>
      </c>
      <c r="D1220" t="s">
        <v>2792</v>
      </c>
      <c r="F1220">
        <v>133.08000000000001</v>
      </c>
      <c r="G1220" t="s">
        <v>2788</v>
      </c>
      <c r="H1220">
        <v>-34.47</v>
      </c>
      <c r="I1220" t="s">
        <v>2792</v>
      </c>
      <c r="J1220">
        <v>-487.68</v>
      </c>
      <c r="K1220">
        <v>-576.33000000000004</v>
      </c>
    </row>
    <row r="1221" spans="1:14">
      <c r="A1221" s="28">
        <v>164</v>
      </c>
      <c r="B1221" t="s">
        <v>2852</v>
      </c>
      <c r="C1221" t="s">
        <v>348</v>
      </c>
      <c r="D1221" t="s">
        <v>2792</v>
      </c>
      <c r="F1221">
        <v>66.22</v>
      </c>
      <c r="G1221" t="s">
        <v>2788</v>
      </c>
      <c r="H1221">
        <v>-13.55</v>
      </c>
      <c r="I1221" t="s">
        <v>2792</v>
      </c>
      <c r="J1221">
        <v>-209.96</v>
      </c>
      <c r="K1221">
        <v>-1289.72</v>
      </c>
    </row>
    <row r="1222" spans="1:14">
      <c r="A1222" s="28">
        <v>1121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ock_krxData"/>
  <dimension ref="A4:M2627"/>
  <sheetViews>
    <sheetView workbookViewId="0">
      <selection activeCell="O94" sqref="O94"/>
    </sheetView>
  </sheetViews>
  <sheetFormatPr defaultRowHeight="16.5"/>
  <cols>
    <col min="1" max="1" width="14.25" style="28" customWidth="1"/>
    <col min="2" max="2" width="12.34765625" customWidth="1"/>
    <col min="3" max="3" width="11.84765625" customWidth="1"/>
    <col min="4" max="4" width="14" customWidth="1"/>
    <col min="5" max="5" width="15.25" customWidth="1"/>
    <col min="6" max="6" width="12.75" customWidth="1"/>
    <col min="7" max="7" width="11.25" customWidth="1"/>
    <col min="8" max="8" width="12.34765625" customWidth="1"/>
    <col min="9" max="9" width="12.09765625" customWidth="1"/>
    <col min="10" max="10" width="12.84765625" customWidth="1"/>
    <col min="11" max="11" width="11.34765625" customWidth="1"/>
    <col min="12" max="12" width="16" customWidth="1"/>
    <col min="13" max="13" width="18.25" customWidth="1"/>
  </cols>
  <sheetData>
    <row r="4" spans="1:13">
      <c r="B4">
        <v>20240323</v>
      </c>
      <c r="I4">
        <v>20240323</v>
      </c>
    </row>
    <row r="5" spans="1:13">
      <c r="A5" s="37" t="s">
        <v>384</v>
      </c>
      <c r="B5" s="36" t="s">
        <v>385</v>
      </c>
      <c r="C5" s="36" t="s">
        <v>386</v>
      </c>
      <c r="D5" s="36" t="s">
        <v>387</v>
      </c>
      <c r="E5" s="36" t="s">
        <v>388</v>
      </c>
      <c r="F5" s="36" t="s">
        <v>389</v>
      </c>
      <c r="G5" s="36" t="s">
        <v>390</v>
      </c>
      <c r="H5" s="36" t="s">
        <v>391</v>
      </c>
      <c r="I5" s="36" t="s">
        <v>392</v>
      </c>
      <c r="J5" s="36" t="s">
        <v>393</v>
      </c>
      <c r="K5" s="36" t="s">
        <v>394</v>
      </c>
      <c r="L5" s="36" t="s">
        <v>395</v>
      </c>
      <c r="M5" s="36" t="s">
        <v>396</v>
      </c>
    </row>
    <row r="6" spans="1:13">
      <c r="A6" s="28">
        <v>6740</v>
      </c>
      <c r="B6" t="s">
        <v>184</v>
      </c>
      <c r="C6">
        <v>1999</v>
      </c>
      <c r="D6">
        <v>-21</v>
      </c>
      <c r="E6">
        <v>-1.04</v>
      </c>
      <c r="F6">
        <v>194</v>
      </c>
      <c r="G6">
        <v>10.3</v>
      </c>
      <c r="H6" t="s">
        <v>397</v>
      </c>
      <c r="I6" t="s">
        <v>397</v>
      </c>
      <c r="J6">
        <v>3320</v>
      </c>
      <c r="K6">
        <v>0.6</v>
      </c>
      <c r="L6">
        <v>779</v>
      </c>
      <c r="M6">
        <v>38.97</v>
      </c>
    </row>
    <row r="7" spans="1:13">
      <c r="A7" s="28">
        <v>115390</v>
      </c>
      <c r="B7" t="s">
        <v>398</v>
      </c>
      <c r="C7">
        <v>7710</v>
      </c>
      <c r="D7">
        <v>480</v>
      </c>
      <c r="E7">
        <v>6.64</v>
      </c>
      <c r="F7" t="s">
        <v>397</v>
      </c>
      <c r="G7" t="s">
        <v>397</v>
      </c>
      <c r="H7" t="s">
        <v>397</v>
      </c>
      <c r="I7" t="s">
        <v>397</v>
      </c>
      <c r="J7">
        <v>12030</v>
      </c>
      <c r="K7">
        <v>0.64</v>
      </c>
      <c r="L7">
        <v>1953</v>
      </c>
      <c r="M7">
        <v>25.33</v>
      </c>
    </row>
    <row r="8" spans="1:13">
      <c r="A8" s="28">
        <v>3120</v>
      </c>
      <c r="B8" t="s">
        <v>192</v>
      </c>
      <c r="C8">
        <v>22250</v>
      </c>
      <c r="D8">
        <v>350</v>
      </c>
      <c r="E8">
        <v>1.6</v>
      </c>
      <c r="F8">
        <v>14122</v>
      </c>
      <c r="G8">
        <v>1.58</v>
      </c>
      <c r="H8" t="s">
        <v>397</v>
      </c>
      <c r="I8" t="s">
        <v>397</v>
      </c>
      <c r="J8">
        <v>60174</v>
      </c>
      <c r="K8">
        <v>0.37</v>
      </c>
      <c r="L8">
        <v>4005</v>
      </c>
      <c r="M8">
        <v>18</v>
      </c>
    </row>
    <row r="9" spans="1:13">
      <c r="A9" s="28">
        <v>12700</v>
      </c>
      <c r="B9" t="s">
        <v>255</v>
      </c>
      <c r="C9">
        <v>5630</v>
      </c>
      <c r="D9">
        <v>-10</v>
      </c>
      <c r="E9">
        <v>-0.18</v>
      </c>
      <c r="F9">
        <v>1250</v>
      </c>
      <c r="G9">
        <v>4.5</v>
      </c>
      <c r="H9" t="s">
        <v>397</v>
      </c>
      <c r="I9" t="s">
        <v>397</v>
      </c>
      <c r="J9">
        <v>16662</v>
      </c>
      <c r="K9">
        <v>0.34</v>
      </c>
      <c r="L9">
        <v>800</v>
      </c>
      <c r="M9">
        <v>14.21</v>
      </c>
    </row>
    <row r="10" spans="1:13">
      <c r="A10" s="28">
        <v>36220</v>
      </c>
      <c r="B10" t="s">
        <v>399</v>
      </c>
      <c r="C10">
        <v>25200</v>
      </c>
      <c r="D10">
        <v>-1000</v>
      </c>
      <c r="E10">
        <v>-3.82</v>
      </c>
      <c r="F10">
        <v>3267</v>
      </c>
      <c r="G10">
        <v>7.71</v>
      </c>
      <c r="H10" t="s">
        <v>397</v>
      </c>
      <c r="I10" t="s">
        <v>397</v>
      </c>
      <c r="J10">
        <v>15877</v>
      </c>
      <c r="K10">
        <v>1.59</v>
      </c>
      <c r="L10">
        <v>3000</v>
      </c>
      <c r="M10">
        <v>11.9</v>
      </c>
    </row>
    <row r="11" spans="1:13">
      <c r="A11" s="28">
        <v>1120</v>
      </c>
      <c r="B11" t="s">
        <v>100</v>
      </c>
      <c r="C11">
        <v>26250</v>
      </c>
      <c r="D11">
        <v>-200</v>
      </c>
      <c r="E11">
        <v>-0.76</v>
      </c>
      <c r="F11">
        <v>14325</v>
      </c>
      <c r="G11">
        <v>1.83</v>
      </c>
      <c r="H11">
        <v>6189</v>
      </c>
      <c r="I11">
        <v>4.24</v>
      </c>
      <c r="J11">
        <v>62867</v>
      </c>
      <c r="K11">
        <v>0.42</v>
      </c>
      <c r="L11">
        <v>3000</v>
      </c>
      <c r="M11">
        <v>11.43</v>
      </c>
    </row>
    <row r="12" spans="1:13">
      <c r="A12" s="28">
        <v>10955</v>
      </c>
      <c r="B12" t="s">
        <v>400</v>
      </c>
      <c r="C12">
        <v>50200</v>
      </c>
      <c r="D12">
        <v>0</v>
      </c>
      <c r="E12">
        <v>0</v>
      </c>
      <c r="F12" t="s">
        <v>397</v>
      </c>
      <c r="G12" t="s">
        <v>397</v>
      </c>
      <c r="H12" t="s">
        <v>397</v>
      </c>
      <c r="I12" t="s">
        <v>397</v>
      </c>
      <c r="J12" t="s">
        <v>397</v>
      </c>
      <c r="K12" t="s">
        <v>397</v>
      </c>
      <c r="L12">
        <v>5525</v>
      </c>
      <c r="M12">
        <v>11.01</v>
      </c>
    </row>
    <row r="13" spans="1:13">
      <c r="A13" s="28">
        <v>377740</v>
      </c>
      <c r="B13" t="s">
        <v>152</v>
      </c>
      <c r="C13">
        <v>4495</v>
      </c>
      <c r="D13">
        <v>-55</v>
      </c>
      <c r="E13">
        <v>-1.21</v>
      </c>
      <c r="F13">
        <v>3277</v>
      </c>
      <c r="G13">
        <v>1.37</v>
      </c>
      <c r="H13" t="s">
        <v>397</v>
      </c>
      <c r="I13" t="s">
        <v>397</v>
      </c>
      <c r="J13">
        <v>15707</v>
      </c>
      <c r="K13">
        <v>0.28999999999999998</v>
      </c>
      <c r="L13">
        <v>490</v>
      </c>
      <c r="M13">
        <v>10.9</v>
      </c>
    </row>
    <row r="14" spans="1:13">
      <c r="A14" s="28">
        <v>2990</v>
      </c>
      <c r="B14" t="s">
        <v>124</v>
      </c>
      <c r="C14">
        <v>4615</v>
      </c>
      <c r="D14">
        <v>-95</v>
      </c>
      <c r="E14">
        <v>-2.02</v>
      </c>
      <c r="F14">
        <v>587</v>
      </c>
      <c r="G14">
        <v>7.86</v>
      </c>
      <c r="H14">
        <v>356</v>
      </c>
      <c r="I14">
        <v>12.97</v>
      </c>
      <c r="J14">
        <v>15149</v>
      </c>
      <c r="K14">
        <v>0.3</v>
      </c>
      <c r="L14">
        <v>500</v>
      </c>
      <c r="M14">
        <v>10.83</v>
      </c>
    </row>
    <row r="15" spans="1:13">
      <c r="A15" s="28">
        <v>96240</v>
      </c>
      <c r="B15" t="s">
        <v>401</v>
      </c>
      <c r="C15">
        <v>17610</v>
      </c>
      <c r="D15">
        <v>90</v>
      </c>
      <c r="E15">
        <v>0.51</v>
      </c>
      <c r="F15">
        <v>609</v>
      </c>
      <c r="G15">
        <v>28.92</v>
      </c>
      <c r="H15" t="s">
        <v>397</v>
      </c>
      <c r="I15" t="s">
        <v>397</v>
      </c>
      <c r="J15">
        <v>5467</v>
      </c>
      <c r="K15">
        <v>3.22</v>
      </c>
      <c r="L15">
        <v>1800</v>
      </c>
      <c r="M15">
        <v>10.220000000000001</v>
      </c>
    </row>
    <row r="16" spans="1:13">
      <c r="A16" s="28">
        <v>214320</v>
      </c>
      <c r="B16" t="s">
        <v>402</v>
      </c>
      <c r="C16">
        <v>21350</v>
      </c>
      <c r="D16">
        <v>-150</v>
      </c>
      <c r="E16">
        <v>-0.7</v>
      </c>
      <c r="F16">
        <v>1765</v>
      </c>
      <c r="G16">
        <v>12.1</v>
      </c>
      <c r="H16">
        <v>2544</v>
      </c>
      <c r="I16">
        <v>8.39</v>
      </c>
      <c r="J16">
        <v>21241</v>
      </c>
      <c r="K16">
        <v>1.01</v>
      </c>
      <c r="L16">
        <v>2150</v>
      </c>
      <c r="M16">
        <v>10.07</v>
      </c>
    </row>
    <row r="17" spans="1:13">
      <c r="A17" s="28">
        <v>9410</v>
      </c>
      <c r="B17" t="s">
        <v>210</v>
      </c>
      <c r="C17">
        <v>2310</v>
      </c>
      <c r="D17">
        <v>0</v>
      </c>
      <c r="E17">
        <v>0</v>
      </c>
      <c r="F17">
        <v>1607</v>
      </c>
      <c r="G17">
        <v>1.44</v>
      </c>
      <c r="H17" t="s">
        <v>397</v>
      </c>
      <c r="I17" t="s">
        <v>397</v>
      </c>
      <c r="J17">
        <v>19502</v>
      </c>
      <c r="K17">
        <v>0.12</v>
      </c>
      <c r="L17">
        <v>225</v>
      </c>
      <c r="M17">
        <v>9.74</v>
      </c>
    </row>
    <row r="18" spans="1:13">
      <c r="A18" s="28">
        <v>5960</v>
      </c>
      <c r="B18" t="s">
        <v>140</v>
      </c>
      <c r="C18">
        <v>5150</v>
      </c>
      <c r="D18">
        <v>50</v>
      </c>
      <c r="E18">
        <v>0.98</v>
      </c>
      <c r="F18">
        <v>1737</v>
      </c>
      <c r="G18">
        <v>2.96</v>
      </c>
      <c r="H18" t="s">
        <v>397</v>
      </c>
      <c r="I18" t="s">
        <v>397</v>
      </c>
      <c r="J18">
        <v>25542</v>
      </c>
      <c r="K18">
        <v>0.2</v>
      </c>
      <c r="L18">
        <v>500</v>
      </c>
      <c r="M18">
        <v>9.7100000000000009</v>
      </c>
    </row>
    <row r="19" spans="1:13">
      <c r="A19" s="28">
        <v>225190</v>
      </c>
      <c r="B19" t="s">
        <v>403</v>
      </c>
      <c r="C19">
        <v>9270</v>
      </c>
      <c r="D19">
        <v>170</v>
      </c>
      <c r="E19">
        <v>1.87</v>
      </c>
      <c r="F19">
        <v>814</v>
      </c>
      <c r="G19">
        <v>11.39</v>
      </c>
      <c r="H19" t="s">
        <v>397</v>
      </c>
      <c r="I19" t="s">
        <v>397</v>
      </c>
      <c r="J19">
        <v>3600</v>
      </c>
      <c r="K19">
        <v>2.58</v>
      </c>
      <c r="L19">
        <v>900</v>
      </c>
      <c r="M19">
        <v>9.7100000000000009</v>
      </c>
    </row>
    <row r="20" spans="1:13">
      <c r="A20" s="28">
        <v>72870</v>
      </c>
      <c r="B20" t="s">
        <v>256</v>
      </c>
      <c r="C20">
        <v>11050</v>
      </c>
      <c r="D20">
        <v>150</v>
      </c>
      <c r="E20">
        <v>1.38</v>
      </c>
      <c r="F20">
        <v>1637</v>
      </c>
      <c r="G20">
        <v>6.75</v>
      </c>
      <c r="H20" t="s">
        <v>397</v>
      </c>
      <c r="I20" t="s">
        <v>397</v>
      </c>
      <c r="J20">
        <v>26478</v>
      </c>
      <c r="K20">
        <v>0.42</v>
      </c>
      <c r="L20">
        <v>1050</v>
      </c>
      <c r="M20">
        <v>9.5</v>
      </c>
    </row>
    <row r="21" spans="1:13">
      <c r="A21" s="28">
        <v>51380</v>
      </c>
      <c r="B21" t="s">
        <v>404</v>
      </c>
      <c r="C21">
        <v>3325</v>
      </c>
      <c r="D21">
        <v>-60</v>
      </c>
      <c r="E21">
        <v>-1.77</v>
      </c>
      <c r="F21" t="s">
        <v>397</v>
      </c>
      <c r="G21" t="s">
        <v>397</v>
      </c>
      <c r="H21" t="s">
        <v>397</v>
      </c>
      <c r="I21" t="s">
        <v>397</v>
      </c>
      <c r="J21">
        <v>2923</v>
      </c>
      <c r="K21">
        <v>1.1399999999999999</v>
      </c>
      <c r="L21">
        <v>300</v>
      </c>
      <c r="M21">
        <v>9.02</v>
      </c>
    </row>
    <row r="22" spans="1:13">
      <c r="A22" s="28">
        <v>16250</v>
      </c>
      <c r="B22" t="s">
        <v>258</v>
      </c>
      <c r="C22">
        <v>16880</v>
      </c>
      <c r="D22">
        <v>-110</v>
      </c>
      <c r="E22">
        <v>-0.65</v>
      </c>
      <c r="F22">
        <v>16327</v>
      </c>
      <c r="G22">
        <v>1.03</v>
      </c>
      <c r="H22" t="s">
        <v>397</v>
      </c>
      <c r="I22" t="s">
        <v>397</v>
      </c>
      <c r="J22">
        <v>78491</v>
      </c>
      <c r="K22">
        <v>0.22</v>
      </c>
      <c r="L22">
        <v>1500</v>
      </c>
      <c r="M22">
        <v>8.89</v>
      </c>
    </row>
    <row r="23" spans="1:13">
      <c r="A23" s="28">
        <v>34830</v>
      </c>
      <c r="B23" t="s">
        <v>225</v>
      </c>
      <c r="C23">
        <v>1031</v>
      </c>
      <c r="D23">
        <v>0</v>
      </c>
      <c r="E23">
        <v>0</v>
      </c>
      <c r="F23">
        <v>106</v>
      </c>
      <c r="G23">
        <v>9.73</v>
      </c>
      <c r="H23" t="s">
        <v>397</v>
      </c>
      <c r="I23" t="s">
        <v>397</v>
      </c>
      <c r="J23">
        <v>4503</v>
      </c>
      <c r="K23">
        <v>0.23</v>
      </c>
      <c r="L23">
        <v>90</v>
      </c>
      <c r="M23">
        <v>8.73</v>
      </c>
    </row>
    <row r="24" spans="1:13">
      <c r="A24" s="28">
        <v>137310</v>
      </c>
      <c r="B24" t="s">
        <v>180</v>
      </c>
      <c r="C24">
        <v>11480</v>
      </c>
      <c r="D24">
        <v>-190</v>
      </c>
      <c r="E24">
        <v>-1.63</v>
      </c>
      <c r="F24">
        <v>8997</v>
      </c>
      <c r="G24">
        <v>1.28</v>
      </c>
      <c r="H24" t="s">
        <v>397</v>
      </c>
      <c r="I24" t="s">
        <v>397</v>
      </c>
      <c r="J24">
        <v>28794</v>
      </c>
      <c r="K24">
        <v>0.4</v>
      </c>
      <c r="L24">
        <v>990</v>
      </c>
      <c r="M24">
        <v>8.6199999999999992</v>
      </c>
    </row>
    <row r="25" spans="1:13">
      <c r="A25" s="28">
        <v>6360</v>
      </c>
      <c r="B25" t="s">
        <v>82</v>
      </c>
      <c r="C25">
        <v>15390</v>
      </c>
      <c r="D25">
        <v>140</v>
      </c>
      <c r="E25">
        <v>0.92</v>
      </c>
      <c r="F25">
        <v>3997</v>
      </c>
      <c r="G25">
        <v>3.85</v>
      </c>
      <c r="H25">
        <v>2081</v>
      </c>
      <c r="I25">
        <v>7.4</v>
      </c>
      <c r="J25">
        <v>56917</v>
      </c>
      <c r="K25">
        <v>0.27</v>
      </c>
      <c r="L25">
        <v>1300</v>
      </c>
      <c r="M25">
        <v>8.4499999999999993</v>
      </c>
    </row>
    <row r="26" spans="1:13">
      <c r="A26" s="28">
        <v>352700</v>
      </c>
      <c r="B26" t="s">
        <v>257</v>
      </c>
      <c r="C26">
        <v>3140</v>
      </c>
      <c r="D26">
        <v>35</v>
      </c>
      <c r="E26">
        <v>1.1299999999999999</v>
      </c>
      <c r="F26">
        <v>698</v>
      </c>
      <c r="G26">
        <v>4.5</v>
      </c>
      <c r="H26" t="s">
        <v>397</v>
      </c>
      <c r="I26" t="s">
        <v>397</v>
      </c>
      <c r="J26">
        <v>6156</v>
      </c>
      <c r="K26">
        <v>0.51</v>
      </c>
      <c r="L26">
        <v>260</v>
      </c>
      <c r="M26">
        <v>8.2799999999999994</v>
      </c>
    </row>
    <row r="27" spans="1:13">
      <c r="A27" s="28">
        <v>282690</v>
      </c>
      <c r="B27" t="s">
        <v>142</v>
      </c>
      <c r="C27">
        <v>12130</v>
      </c>
      <c r="D27">
        <v>-40</v>
      </c>
      <c r="E27">
        <v>-0.33</v>
      </c>
      <c r="F27">
        <v>1747</v>
      </c>
      <c r="G27">
        <v>6.94</v>
      </c>
      <c r="H27" t="s">
        <v>397</v>
      </c>
      <c r="I27" t="s">
        <v>397</v>
      </c>
      <c r="J27">
        <v>27514</v>
      </c>
      <c r="K27">
        <v>0.44</v>
      </c>
      <c r="L27">
        <v>1000</v>
      </c>
      <c r="M27">
        <v>8.24</v>
      </c>
    </row>
    <row r="28" spans="1:13">
      <c r="A28" s="28">
        <v>31330</v>
      </c>
      <c r="B28" t="s">
        <v>259</v>
      </c>
      <c r="C28">
        <v>2835</v>
      </c>
      <c r="D28">
        <v>-15</v>
      </c>
      <c r="E28">
        <v>-0.53</v>
      </c>
      <c r="F28">
        <v>590</v>
      </c>
      <c r="G28">
        <v>4.8099999999999996</v>
      </c>
      <c r="H28" t="s">
        <v>397</v>
      </c>
      <c r="I28" t="s">
        <v>397</v>
      </c>
      <c r="J28">
        <v>3685</v>
      </c>
      <c r="K28">
        <v>0.77</v>
      </c>
      <c r="L28">
        <v>230</v>
      </c>
      <c r="M28">
        <v>8.11</v>
      </c>
    </row>
    <row r="29" spans="1:13">
      <c r="A29" s="28">
        <v>24090</v>
      </c>
      <c r="B29" t="s">
        <v>145</v>
      </c>
      <c r="C29">
        <v>11130</v>
      </c>
      <c r="D29">
        <v>0</v>
      </c>
      <c r="E29">
        <v>0</v>
      </c>
      <c r="F29">
        <v>4097</v>
      </c>
      <c r="G29">
        <v>2.72</v>
      </c>
      <c r="H29" t="s">
        <v>397</v>
      </c>
      <c r="I29" t="s">
        <v>397</v>
      </c>
      <c r="J29">
        <v>28881</v>
      </c>
      <c r="K29">
        <v>0.39</v>
      </c>
      <c r="L29">
        <v>900</v>
      </c>
      <c r="M29">
        <v>8.09</v>
      </c>
    </row>
    <row r="30" spans="1:13">
      <c r="A30" s="28">
        <v>92130</v>
      </c>
      <c r="B30" t="s">
        <v>405</v>
      </c>
      <c r="C30">
        <v>13110</v>
      </c>
      <c r="D30">
        <v>-40</v>
      </c>
      <c r="E30">
        <v>-0.3</v>
      </c>
      <c r="F30">
        <v>1300</v>
      </c>
      <c r="G30">
        <v>10.08</v>
      </c>
      <c r="H30" t="s">
        <v>397</v>
      </c>
      <c r="I30" t="s">
        <v>397</v>
      </c>
      <c r="J30">
        <v>3840</v>
      </c>
      <c r="K30">
        <v>3.41</v>
      </c>
      <c r="L30">
        <v>1040</v>
      </c>
      <c r="M30">
        <v>7.93</v>
      </c>
    </row>
    <row r="31" spans="1:13">
      <c r="A31" s="28">
        <v>65710</v>
      </c>
      <c r="B31" t="s">
        <v>406</v>
      </c>
      <c r="C31">
        <v>19200</v>
      </c>
      <c r="D31">
        <v>-90</v>
      </c>
      <c r="E31">
        <v>-0.47</v>
      </c>
      <c r="F31">
        <v>2215</v>
      </c>
      <c r="G31">
        <v>8.67</v>
      </c>
      <c r="H31" t="s">
        <v>397</v>
      </c>
      <c r="I31" t="s">
        <v>397</v>
      </c>
      <c r="J31">
        <v>17842</v>
      </c>
      <c r="K31">
        <v>1.08</v>
      </c>
      <c r="L31">
        <v>1500</v>
      </c>
      <c r="M31">
        <v>7.81</v>
      </c>
    </row>
    <row r="32" spans="1:13">
      <c r="A32" s="28">
        <v>11785</v>
      </c>
      <c r="B32" t="s">
        <v>407</v>
      </c>
      <c r="C32">
        <v>69800</v>
      </c>
      <c r="D32">
        <v>500</v>
      </c>
      <c r="E32">
        <v>0.72</v>
      </c>
      <c r="F32" t="s">
        <v>397</v>
      </c>
      <c r="G32" t="s">
        <v>397</v>
      </c>
      <c r="H32" t="s">
        <v>397</v>
      </c>
      <c r="I32" t="s">
        <v>397</v>
      </c>
      <c r="J32" t="s">
        <v>397</v>
      </c>
      <c r="K32" t="s">
        <v>397</v>
      </c>
      <c r="L32">
        <v>5450</v>
      </c>
      <c r="M32">
        <v>7.81</v>
      </c>
    </row>
    <row r="33" spans="1:13">
      <c r="A33" s="28">
        <v>9270</v>
      </c>
      <c r="B33" t="s">
        <v>176</v>
      </c>
      <c r="C33">
        <v>1292</v>
      </c>
      <c r="D33">
        <v>0</v>
      </c>
      <c r="E33">
        <v>0</v>
      </c>
      <c r="F33">
        <v>224</v>
      </c>
      <c r="G33">
        <v>5.77</v>
      </c>
      <c r="H33" t="s">
        <v>397</v>
      </c>
      <c r="I33" t="s">
        <v>397</v>
      </c>
      <c r="J33">
        <v>2866</v>
      </c>
      <c r="K33">
        <v>0.45</v>
      </c>
      <c r="L33">
        <v>100</v>
      </c>
      <c r="M33">
        <v>7.74</v>
      </c>
    </row>
    <row r="34" spans="1:13">
      <c r="A34" s="28">
        <v>4800</v>
      </c>
      <c r="B34" t="s">
        <v>408</v>
      </c>
      <c r="C34">
        <v>58200</v>
      </c>
      <c r="D34">
        <v>200</v>
      </c>
      <c r="E34">
        <v>0.34</v>
      </c>
      <c r="F34">
        <v>786</v>
      </c>
      <c r="G34">
        <v>74.05</v>
      </c>
      <c r="H34">
        <v>3464</v>
      </c>
      <c r="I34">
        <v>16.8</v>
      </c>
      <c r="J34">
        <v>128334</v>
      </c>
      <c r="K34">
        <v>0.45</v>
      </c>
      <c r="L34">
        <v>4500</v>
      </c>
      <c r="M34">
        <v>7.73</v>
      </c>
    </row>
    <row r="35" spans="1:13">
      <c r="A35" s="28">
        <v>40420</v>
      </c>
      <c r="B35" t="s">
        <v>409</v>
      </c>
      <c r="C35">
        <v>6920</v>
      </c>
      <c r="D35">
        <v>0</v>
      </c>
      <c r="E35">
        <v>0</v>
      </c>
      <c r="F35">
        <v>890</v>
      </c>
      <c r="G35">
        <v>7.78</v>
      </c>
      <c r="H35" t="s">
        <v>397</v>
      </c>
      <c r="I35" t="s">
        <v>397</v>
      </c>
      <c r="J35">
        <v>5207</v>
      </c>
      <c r="K35">
        <v>1.33</v>
      </c>
      <c r="L35">
        <v>530</v>
      </c>
      <c r="M35">
        <v>7.66</v>
      </c>
    </row>
    <row r="36" spans="1:13">
      <c r="A36" s="28">
        <v>3545</v>
      </c>
      <c r="B36" t="s">
        <v>410</v>
      </c>
      <c r="C36">
        <v>16440</v>
      </c>
      <c r="D36">
        <v>150</v>
      </c>
      <c r="E36">
        <v>0.92</v>
      </c>
      <c r="F36" t="s">
        <v>397</v>
      </c>
      <c r="G36" t="s">
        <v>397</v>
      </c>
      <c r="H36" t="s">
        <v>397</v>
      </c>
      <c r="I36" t="s">
        <v>397</v>
      </c>
      <c r="J36" t="s">
        <v>397</v>
      </c>
      <c r="K36" t="s">
        <v>397</v>
      </c>
      <c r="L36">
        <v>1250</v>
      </c>
      <c r="M36">
        <v>7.6</v>
      </c>
    </row>
    <row r="37" spans="1:13">
      <c r="A37" s="28">
        <v>138930</v>
      </c>
      <c r="B37" t="s">
        <v>76</v>
      </c>
      <c r="C37">
        <v>8250</v>
      </c>
      <c r="D37">
        <v>-90</v>
      </c>
      <c r="E37">
        <v>-1.08</v>
      </c>
      <c r="F37">
        <v>2404</v>
      </c>
      <c r="G37">
        <v>3.43</v>
      </c>
      <c r="H37">
        <v>2453</v>
      </c>
      <c r="I37">
        <v>3.36</v>
      </c>
      <c r="J37">
        <v>30468</v>
      </c>
      <c r="K37">
        <v>0.27</v>
      </c>
      <c r="L37">
        <v>625</v>
      </c>
      <c r="M37">
        <v>7.58</v>
      </c>
    </row>
    <row r="38" spans="1:13">
      <c r="A38" s="28">
        <v>85910</v>
      </c>
      <c r="B38" t="s">
        <v>260</v>
      </c>
      <c r="C38">
        <v>3325</v>
      </c>
      <c r="D38">
        <v>0</v>
      </c>
      <c r="E38">
        <v>0</v>
      </c>
      <c r="F38">
        <v>405</v>
      </c>
      <c r="G38">
        <v>8.2100000000000009</v>
      </c>
      <c r="H38" t="s">
        <v>397</v>
      </c>
      <c r="I38" t="s">
        <v>397</v>
      </c>
      <c r="J38">
        <v>4291</v>
      </c>
      <c r="K38">
        <v>0.77</v>
      </c>
      <c r="L38">
        <v>250</v>
      </c>
      <c r="M38">
        <v>7.52</v>
      </c>
    </row>
    <row r="39" spans="1:13">
      <c r="A39" s="28">
        <v>11200</v>
      </c>
      <c r="B39" t="s">
        <v>86</v>
      </c>
      <c r="C39">
        <v>15960</v>
      </c>
      <c r="D39">
        <v>-620</v>
      </c>
      <c r="E39">
        <v>-3.74</v>
      </c>
      <c r="F39">
        <v>20556</v>
      </c>
      <c r="G39">
        <v>0.78</v>
      </c>
      <c r="H39">
        <v>1705</v>
      </c>
      <c r="I39">
        <v>9.36</v>
      </c>
      <c r="J39">
        <v>42300</v>
      </c>
      <c r="K39">
        <v>0.38</v>
      </c>
      <c r="L39">
        <v>1200</v>
      </c>
      <c r="M39">
        <v>7.52</v>
      </c>
    </row>
    <row r="40" spans="1:13">
      <c r="A40" s="28">
        <v>3547</v>
      </c>
      <c r="B40" t="s">
        <v>411</v>
      </c>
      <c r="C40">
        <v>15960</v>
      </c>
      <c r="D40">
        <v>160</v>
      </c>
      <c r="E40">
        <v>1.01</v>
      </c>
      <c r="F40" t="s">
        <v>397</v>
      </c>
      <c r="G40" t="s">
        <v>397</v>
      </c>
      <c r="H40" t="s">
        <v>397</v>
      </c>
      <c r="I40" t="s">
        <v>397</v>
      </c>
      <c r="J40" t="s">
        <v>397</v>
      </c>
      <c r="K40" t="s">
        <v>397</v>
      </c>
      <c r="L40">
        <v>1200</v>
      </c>
      <c r="M40">
        <v>7.52</v>
      </c>
    </row>
    <row r="41" spans="1:13">
      <c r="A41" s="28">
        <v>330730</v>
      </c>
      <c r="B41" t="s">
        <v>379</v>
      </c>
      <c r="C41">
        <v>5350</v>
      </c>
      <c r="D41">
        <v>470</v>
      </c>
      <c r="E41">
        <v>9.6300000000000008</v>
      </c>
      <c r="F41">
        <v>412</v>
      </c>
      <c r="G41">
        <v>12.99</v>
      </c>
      <c r="H41" t="s">
        <v>397</v>
      </c>
      <c r="I41" t="s">
        <v>397</v>
      </c>
      <c r="J41">
        <v>4951</v>
      </c>
      <c r="K41">
        <v>1.08</v>
      </c>
      <c r="L41">
        <v>400</v>
      </c>
      <c r="M41">
        <v>7.48</v>
      </c>
    </row>
    <row r="42" spans="1:13">
      <c r="A42" s="28">
        <v>1750</v>
      </c>
      <c r="B42" t="s">
        <v>231</v>
      </c>
      <c r="C42">
        <v>10760</v>
      </c>
      <c r="D42">
        <v>240</v>
      </c>
      <c r="E42">
        <v>2.2799999999999998</v>
      </c>
      <c r="F42">
        <v>1858</v>
      </c>
      <c r="G42">
        <v>5.79</v>
      </c>
      <c r="H42" t="s">
        <v>397</v>
      </c>
      <c r="I42" t="s">
        <v>397</v>
      </c>
      <c r="J42">
        <v>36091</v>
      </c>
      <c r="K42">
        <v>0.3</v>
      </c>
      <c r="L42">
        <v>800</v>
      </c>
      <c r="M42">
        <v>7.43</v>
      </c>
    </row>
    <row r="43" spans="1:13">
      <c r="A43" s="28">
        <v>316140</v>
      </c>
      <c r="B43" t="s">
        <v>186</v>
      </c>
      <c r="C43">
        <v>15230</v>
      </c>
      <c r="D43">
        <v>70</v>
      </c>
      <c r="E43">
        <v>0.46</v>
      </c>
      <c r="F43">
        <v>4191</v>
      </c>
      <c r="G43">
        <v>3.63</v>
      </c>
      <c r="H43">
        <v>4010</v>
      </c>
      <c r="I43">
        <v>3.8</v>
      </c>
      <c r="J43">
        <v>39505</v>
      </c>
      <c r="K43">
        <v>0.39</v>
      </c>
      <c r="L43">
        <v>1130</v>
      </c>
      <c r="M43">
        <v>7.42</v>
      </c>
    </row>
    <row r="44" spans="1:13">
      <c r="A44" s="28">
        <v>5090</v>
      </c>
      <c r="B44" t="s">
        <v>106</v>
      </c>
      <c r="C44">
        <v>22900</v>
      </c>
      <c r="D44">
        <v>-250</v>
      </c>
      <c r="E44">
        <v>-1.08</v>
      </c>
      <c r="F44">
        <v>8093</v>
      </c>
      <c r="G44">
        <v>2.83</v>
      </c>
      <c r="H44">
        <v>3060</v>
      </c>
      <c r="I44">
        <v>7.48</v>
      </c>
      <c r="J44">
        <v>48174</v>
      </c>
      <c r="K44">
        <v>0.48</v>
      </c>
      <c r="L44">
        <v>1700</v>
      </c>
      <c r="M44">
        <v>7.42</v>
      </c>
    </row>
    <row r="45" spans="1:13">
      <c r="A45" s="28">
        <v>4000</v>
      </c>
      <c r="B45" t="s">
        <v>147</v>
      </c>
      <c r="C45">
        <v>47200</v>
      </c>
      <c r="D45">
        <v>50</v>
      </c>
      <c r="E45">
        <v>0.11</v>
      </c>
      <c r="F45">
        <v>5738</v>
      </c>
      <c r="G45">
        <v>8.23</v>
      </c>
      <c r="H45">
        <v>6836</v>
      </c>
      <c r="I45">
        <v>6.91</v>
      </c>
      <c r="J45">
        <v>90075</v>
      </c>
      <c r="K45">
        <v>0.52</v>
      </c>
      <c r="L45">
        <v>3500</v>
      </c>
      <c r="M45">
        <v>7.42</v>
      </c>
    </row>
    <row r="46" spans="1:13">
      <c r="A46" s="28">
        <v>850</v>
      </c>
      <c r="B46" t="s">
        <v>244</v>
      </c>
      <c r="C46">
        <v>33750</v>
      </c>
      <c r="D46">
        <v>800</v>
      </c>
      <c r="E46">
        <v>2.4300000000000002</v>
      </c>
      <c r="F46">
        <v>17039</v>
      </c>
      <c r="G46">
        <v>1.98</v>
      </c>
      <c r="H46" t="s">
        <v>397</v>
      </c>
      <c r="I46" t="s">
        <v>397</v>
      </c>
      <c r="J46">
        <v>156939</v>
      </c>
      <c r="K46">
        <v>0.22</v>
      </c>
      <c r="L46">
        <v>2500</v>
      </c>
      <c r="M46">
        <v>7.41</v>
      </c>
    </row>
    <row r="47" spans="1:13">
      <c r="A47" s="28">
        <v>93190</v>
      </c>
      <c r="B47" t="s">
        <v>261</v>
      </c>
      <c r="C47">
        <v>5420</v>
      </c>
      <c r="D47">
        <v>-10</v>
      </c>
      <c r="E47">
        <v>-0.18</v>
      </c>
      <c r="F47">
        <v>674</v>
      </c>
      <c r="G47">
        <v>8.0399999999999991</v>
      </c>
      <c r="H47" t="s">
        <v>397</v>
      </c>
      <c r="I47" t="s">
        <v>397</v>
      </c>
      <c r="J47">
        <v>11015</v>
      </c>
      <c r="K47">
        <v>0.49</v>
      </c>
      <c r="L47">
        <v>400</v>
      </c>
      <c r="M47">
        <v>7.38</v>
      </c>
    </row>
    <row r="48" spans="1:13">
      <c r="A48" s="28">
        <v>19440</v>
      </c>
      <c r="B48" t="s">
        <v>167</v>
      </c>
      <c r="C48">
        <v>13700</v>
      </c>
      <c r="D48">
        <v>50</v>
      </c>
      <c r="E48">
        <v>0.37</v>
      </c>
      <c r="F48">
        <v>2185</v>
      </c>
      <c r="G48">
        <v>6.27</v>
      </c>
      <c r="H48" t="s">
        <v>397</v>
      </c>
      <c r="I48" t="s">
        <v>397</v>
      </c>
      <c r="J48">
        <v>40593</v>
      </c>
      <c r="K48">
        <v>0.34</v>
      </c>
      <c r="L48">
        <v>1000</v>
      </c>
      <c r="M48">
        <v>7.3</v>
      </c>
    </row>
    <row r="49" spans="1:13">
      <c r="A49" s="28">
        <v>29960</v>
      </c>
      <c r="B49" t="s">
        <v>412</v>
      </c>
      <c r="C49">
        <v>6870</v>
      </c>
      <c r="D49">
        <v>20</v>
      </c>
      <c r="E49">
        <v>0.28999999999999998</v>
      </c>
      <c r="F49">
        <v>815</v>
      </c>
      <c r="G49">
        <v>8.43</v>
      </c>
      <c r="H49" t="s">
        <v>397</v>
      </c>
      <c r="I49" t="s">
        <v>397</v>
      </c>
      <c r="J49">
        <v>3510</v>
      </c>
      <c r="K49">
        <v>1.96</v>
      </c>
      <c r="L49">
        <v>500</v>
      </c>
      <c r="M49">
        <v>7.28</v>
      </c>
    </row>
    <row r="50" spans="1:13">
      <c r="A50" s="28">
        <v>700</v>
      </c>
      <c r="B50" t="s">
        <v>188</v>
      </c>
      <c r="C50">
        <v>5500</v>
      </c>
      <c r="D50">
        <v>-140</v>
      </c>
      <c r="E50">
        <v>-2.48</v>
      </c>
      <c r="F50">
        <v>1218</v>
      </c>
      <c r="G50">
        <v>4.5199999999999996</v>
      </c>
      <c r="H50" t="s">
        <v>397</v>
      </c>
      <c r="I50" t="s">
        <v>397</v>
      </c>
      <c r="J50">
        <v>13726</v>
      </c>
      <c r="K50">
        <v>0.4</v>
      </c>
      <c r="L50">
        <v>400</v>
      </c>
      <c r="M50">
        <v>7.27</v>
      </c>
    </row>
    <row r="51" spans="1:13">
      <c r="A51" s="28">
        <v>2960</v>
      </c>
      <c r="B51" t="s">
        <v>413</v>
      </c>
      <c r="C51">
        <v>248500</v>
      </c>
      <c r="D51">
        <v>0</v>
      </c>
      <c r="E51">
        <v>0</v>
      </c>
      <c r="F51">
        <v>20555</v>
      </c>
      <c r="G51">
        <v>12.09</v>
      </c>
      <c r="H51" t="s">
        <v>397</v>
      </c>
      <c r="I51" t="s">
        <v>397</v>
      </c>
      <c r="J51">
        <v>86889</v>
      </c>
      <c r="K51">
        <v>2.86</v>
      </c>
      <c r="L51">
        <v>18000</v>
      </c>
      <c r="M51">
        <v>7.24</v>
      </c>
    </row>
    <row r="52" spans="1:13">
      <c r="A52" s="28">
        <v>37710</v>
      </c>
      <c r="B52" t="s">
        <v>120</v>
      </c>
      <c r="C52">
        <v>30500</v>
      </c>
      <c r="D52">
        <v>150</v>
      </c>
      <c r="E52">
        <v>0.49</v>
      </c>
      <c r="F52">
        <v>7157</v>
      </c>
      <c r="G52">
        <v>4.26</v>
      </c>
      <c r="H52" t="s">
        <v>397</v>
      </c>
      <c r="I52" t="s">
        <v>397</v>
      </c>
      <c r="J52">
        <v>99270</v>
      </c>
      <c r="K52">
        <v>0.31</v>
      </c>
      <c r="L52">
        <v>2200</v>
      </c>
      <c r="M52">
        <v>7.21</v>
      </c>
    </row>
    <row r="53" spans="1:13">
      <c r="A53" s="28">
        <v>139130</v>
      </c>
      <c r="B53" t="s">
        <v>78</v>
      </c>
      <c r="C53">
        <v>9120</v>
      </c>
      <c r="D53">
        <v>-180</v>
      </c>
      <c r="E53">
        <v>-1.94</v>
      </c>
      <c r="F53">
        <v>2266</v>
      </c>
      <c r="G53">
        <v>4.0199999999999996</v>
      </c>
      <c r="H53">
        <v>2886</v>
      </c>
      <c r="I53">
        <v>3.16</v>
      </c>
      <c r="J53">
        <v>31812</v>
      </c>
      <c r="K53">
        <v>0.28999999999999998</v>
      </c>
      <c r="L53">
        <v>650</v>
      </c>
      <c r="M53">
        <v>7.13</v>
      </c>
    </row>
    <row r="54" spans="1:13">
      <c r="A54" s="28">
        <v>480</v>
      </c>
      <c r="B54" t="s">
        <v>77</v>
      </c>
      <c r="C54">
        <v>6320</v>
      </c>
      <c r="D54">
        <v>20</v>
      </c>
      <c r="E54">
        <v>0.32</v>
      </c>
      <c r="F54">
        <v>1279</v>
      </c>
      <c r="G54">
        <v>4.9400000000000004</v>
      </c>
      <c r="H54" t="s">
        <v>397</v>
      </c>
      <c r="I54" t="s">
        <v>397</v>
      </c>
      <c r="J54">
        <v>21609</v>
      </c>
      <c r="K54">
        <v>0.28999999999999998</v>
      </c>
      <c r="L54">
        <v>450</v>
      </c>
      <c r="M54">
        <v>7.12</v>
      </c>
    </row>
    <row r="55" spans="1:13">
      <c r="A55" s="28">
        <v>1275</v>
      </c>
      <c r="B55" t="s">
        <v>414</v>
      </c>
      <c r="C55">
        <v>22000</v>
      </c>
      <c r="D55">
        <v>200</v>
      </c>
      <c r="E55">
        <v>0.92</v>
      </c>
      <c r="F55" t="s">
        <v>397</v>
      </c>
      <c r="G55" t="s">
        <v>397</v>
      </c>
      <c r="H55" t="s">
        <v>397</v>
      </c>
      <c r="I55" t="s">
        <v>397</v>
      </c>
      <c r="J55" t="s">
        <v>397</v>
      </c>
      <c r="K55" t="s">
        <v>397</v>
      </c>
      <c r="L55">
        <v>1550</v>
      </c>
      <c r="M55">
        <v>7.05</v>
      </c>
    </row>
    <row r="56" spans="1:13">
      <c r="A56" s="28">
        <v>96775</v>
      </c>
      <c r="B56" t="s">
        <v>415</v>
      </c>
      <c r="C56">
        <v>83500</v>
      </c>
      <c r="D56">
        <v>-400</v>
      </c>
      <c r="E56">
        <v>-0.48</v>
      </c>
      <c r="F56" t="s">
        <v>397</v>
      </c>
      <c r="G56" t="s">
        <v>397</v>
      </c>
      <c r="H56" t="s">
        <v>397</v>
      </c>
      <c r="I56" t="s">
        <v>397</v>
      </c>
      <c r="J56" t="s">
        <v>397</v>
      </c>
      <c r="K56" t="s">
        <v>397</v>
      </c>
      <c r="L56">
        <v>5890</v>
      </c>
      <c r="M56">
        <v>7.05</v>
      </c>
    </row>
    <row r="57" spans="1:13">
      <c r="A57" s="28">
        <v>317400</v>
      </c>
      <c r="B57" t="s">
        <v>195</v>
      </c>
      <c r="C57">
        <v>4265</v>
      </c>
      <c r="D57">
        <v>-45</v>
      </c>
      <c r="E57">
        <v>-1.04</v>
      </c>
      <c r="F57">
        <v>2447</v>
      </c>
      <c r="G57">
        <v>1.74</v>
      </c>
      <c r="H57">
        <v>1392</v>
      </c>
      <c r="I57">
        <v>3.06</v>
      </c>
      <c r="J57">
        <v>12735</v>
      </c>
      <c r="K57">
        <v>0.33</v>
      </c>
      <c r="L57">
        <v>300</v>
      </c>
      <c r="M57">
        <v>7.03</v>
      </c>
    </row>
    <row r="58" spans="1:13">
      <c r="A58" s="28">
        <v>93920</v>
      </c>
      <c r="B58" t="s">
        <v>262</v>
      </c>
      <c r="C58">
        <v>5740</v>
      </c>
      <c r="D58">
        <v>-10</v>
      </c>
      <c r="E58">
        <v>-0.17</v>
      </c>
      <c r="F58">
        <v>1235</v>
      </c>
      <c r="G58">
        <v>4.6500000000000004</v>
      </c>
      <c r="H58" t="s">
        <v>397</v>
      </c>
      <c r="I58" t="s">
        <v>397</v>
      </c>
      <c r="J58">
        <v>10618</v>
      </c>
      <c r="K58">
        <v>0.54</v>
      </c>
      <c r="L58">
        <v>400</v>
      </c>
      <c r="M58">
        <v>6.97</v>
      </c>
    </row>
    <row r="59" spans="1:13">
      <c r="A59" s="28">
        <v>10950</v>
      </c>
      <c r="B59" t="s">
        <v>364</v>
      </c>
      <c r="C59">
        <v>79300</v>
      </c>
      <c r="D59">
        <v>1400</v>
      </c>
      <c r="E59">
        <v>1.8</v>
      </c>
      <c r="F59">
        <v>18075</v>
      </c>
      <c r="G59">
        <v>4.3899999999999997</v>
      </c>
      <c r="H59">
        <v>11626</v>
      </c>
      <c r="I59">
        <v>6.82</v>
      </c>
      <c r="J59">
        <v>75353</v>
      </c>
      <c r="K59">
        <v>1.05</v>
      </c>
      <c r="L59">
        <v>5500</v>
      </c>
      <c r="M59">
        <v>6.94</v>
      </c>
    </row>
    <row r="60" spans="1:13">
      <c r="A60" s="28">
        <v>5010</v>
      </c>
      <c r="B60" t="s">
        <v>245</v>
      </c>
      <c r="C60">
        <v>5050</v>
      </c>
      <c r="D60">
        <v>20</v>
      </c>
      <c r="E60">
        <v>0.4</v>
      </c>
      <c r="F60">
        <v>5675</v>
      </c>
      <c r="G60">
        <v>0.89</v>
      </c>
      <c r="H60" t="s">
        <v>397</v>
      </c>
      <c r="I60" t="s">
        <v>397</v>
      </c>
      <c r="J60">
        <v>16181</v>
      </c>
      <c r="K60">
        <v>0.31</v>
      </c>
      <c r="L60">
        <v>350</v>
      </c>
      <c r="M60">
        <v>6.93</v>
      </c>
    </row>
    <row r="61" spans="1:13">
      <c r="A61" s="28">
        <v>122900</v>
      </c>
      <c r="B61" t="s">
        <v>178</v>
      </c>
      <c r="C61">
        <v>8670</v>
      </c>
      <c r="D61">
        <v>-60</v>
      </c>
      <c r="E61">
        <v>-0.69</v>
      </c>
      <c r="F61">
        <v>706</v>
      </c>
      <c r="G61">
        <v>12.28</v>
      </c>
      <c r="H61" t="s">
        <v>397</v>
      </c>
      <c r="I61" t="s">
        <v>397</v>
      </c>
      <c r="J61">
        <v>11376</v>
      </c>
      <c r="K61">
        <v>0.76</v>
      </c>
      <c r="L61">
        <v>600</v>
      </c>
      <c r="M61">
        <v>6.92</v>
      </c>
    </row>
    <row r="62" spans="1:13">
      <c r="A62" s="28">
        <v>213500</v>
      </c>
      <c r="B62" t="s">
        <v>228</v>
      </c>
      <c r="C62">
        <v>10300</v>
      </c>
      <c r="D62">
        <v>-60</v>
      </c>
      <c r="E62">
        <v>-0.57999999999999996</v>
      </c>
      <c r="F62">
        <v>3104</v>
      </c>
      <c r="G62">
        <v>3.32</v>
      </c>
      <c r="H62">
        <v>2169</v>
      </c>
      <c r="I62">
        <v>4.75</v>
      </c>
      <c r="J62">
        <v>31224</v>
      </c>
      <c r="K62">
        <v>0.33</v>
      </c>
      <c r="L62">
        <v>700</v>
      </c>
      <c r="M62">
        <v>6.8</v>
      </c>
    </row>
    <row r="63" spans="1:13">
      <c r="A63" s="28">
        <v>4890</v>
      </c>
      <c r="B63" t="s">
        <v>144</v>
      </c>
      <c r="C63">
        <v>44150</v>
      </c>
      <c r="D63">
        <v>-450</v>
      </c>
      <c r="E63">
        <v>-1.01</v>
      </c>
      <c r="F63">
        <v>10085</v>
      </c>
      <c r="G63">
        <v>4.38</v>
      </c>
      <c r="H63" t="s">
        <v>397</v>
      </c>
      <c r="I63" t="s">
        <v>397</v>
      </c>
      <c r="J63">
        <v>192642</v>
      </c>
      <c r="K63">
        <v>0.23</v>
      </c>
      <c r="L63">
        <v>3000</v>
      </c>
      <c r="M63">
        <v>6.8</v>
      </c>
    </row>
    <row r="64" spans="1:13">
      <c r="A64" s="28">
        <v>3540</v>
      </c>
      <c r="B64" t="s">
        <v>132</v>
      </c>
      <c r="C64">
        <v>17920</v>
      </c>
      <c r="D64">
        <v>150</v>
      </c>
      <c r="E64">
        <v>0.84</v>
      </c>
      <c r="F64">
        <v>1750</v>
      </c>
      <c r="G64">
        <v>10.24</v>
      </c>
      <c r="H64">
        <v>1829</v>
      </c>
      <c r="I64">
        <v>9.8000000000000007</v>
      </c>
      <c r="J64">
        <v>40616</v>
      </c>
      <c r="K64">
        <v>0.44</v>
      </c>
      <c r="L64">
        <v>1200</v>
      </c>
      <c r="M64">
        <v>6.7</v>
      </c>
    </row>
    <row r="65" spans="1:13">
      <c r="A65" s="28">
        <v>7330</v>
      </c>
      <c r="B65" t="s">
        <v>264</v>
      </c>
      <c r="C65">
        <v>9710</v>
      </c>
      <c r="D65">
        <v>-120</v>
      </c>
      <c r="E65">
        <v>-1.22</v>
      </c>
      <c r="F65">
        <v>1688</v>
      </c>
      <c r="G65">
        <v>5.75</v>
      </c>
      <c r="H65" t="s">
        <v>397</v>
      </c>
      <c r="I65" t="s">
        <v>397</v>
      </c>
      <c r="J65">
        <v>26018</v>
      </c>
      <c r="K65">
        <v>0.37</v>
      </c>
      <c r="L65">
        <v>650</v>
      </c>
      <c r="M65">
        <v>6.69</v>
      </c>
    </row>
    <row r="66" spans="1:13">
      <c r="A66" s="28">
        <v>78935</v>
      </c>
      <c r="B66" t="s">
        <v>416</v>
      </c>
      <c r="C66">
        <v>39100</v>
      </c>
      <c r="D66">
        <v>50</v>
      </c>
      <c r="E66">
        <v>0.13</v>
      </c>
      <c r="F66" t="s">
        <v>397</v>
      </c>
      <c r="G66" t="s">
        <v>397</v>
      </c>
      <c r="H66" t="s">
        <v>397</v>
      </c>
      <c r="I66" t="s">
        <v>397</v>
      </c>
      <c r="J66" t="s">
        <v>397</v>
      </c>
      <c r="K66" t="s">
        <v>397</v>
      </c>
      <c r="L66">
        <v>2550</v>
      </c>
      <c r="M66">
        <v>6.52</v>
      </c>
    </row>
    <row r="67" spans="1:13">
      <c r="A67" s="28">
        <v>267250</v>
      </c>
      <c r="B67" t="s">
        <v>84</v>
      </c>
      <c r="C67">
        <v>70500</v>
      </c>
      <c r="D67">
        <v>1200</v>
      </c>
      <c r="E67">
        <v>1.73</v>
      </c>
      <c r="F67">
        <v>19933</v>
      </c>
      <c r="G67">
        <v>3.54</v>
      </c>
      <c r="H67">
        <v>9811</v>
      </c>
      <c r="I67">
        <v>7.19</v>
      </c>
      <c r="J67">
        <v>105921</v>
      </c>
      <c r="K67">
        <v>0.67</v>
      </c>
      <c r="L67">
        <v>4600</v>
      </c>
      <c r="M67">
        <v>6.52</v>
      </c>
    </row>
    <row r="68" spans="1:13">
      <c r="A68" s="28">
        <v>75</v>
      </c>
      <c r="B68" t="s">
        <v>417</v>
      </c>
      <c r="C68">
        <v>54900</v>
      </c>
      <c r="D68">
        <v>-100</v>
      </c>
      <c r="E68">
        <v>-0.18</v>
      </c>
      <c r="F68" t="s">
        <v>397</v>
      </c>
      <c r="G68" t="s">
        <v>397</v>
      </c>
      <c r="H68" t="s">
        <v>397</v>
      </c>
      <c r="I68" t="s">
        <v>397</v>
      </c>
      <c r="J68" t="s">
        <v>397</v>
      </c>
      <c r="K68" t="s">
        <v>397</v>
      </c>
      <c r="L68">
        <v>3550</v>
      </c>
      <c r="M68">
        <v>6.47</v>
      </c>
    </row>
    <row r="69" spans="1:13">
      <c r="A69" s="28">
        <v>32640</v>
      </c>
      <c r="B69" t="s">
        <v>99</v>
      </c>
      <c r="C69">
        <v>10060</v>
      </c>
      <c r="D69">
        <v>-30</v>
      </c>
      <c r="E69">
        <v>-0.3</v>
      </c>
      <c r="F69">
        <v>1543</v>
      </c>
      <c r="G69">
        <v>6.52</v>
      </c>
      <c r="H69">
        <v>1474</v>
      </c>
      <c r="I69">
        <v>6.83</v>
      </c>
      <c r="J69">
        <v>18996</v>
      </c>
      <c r="K69">
        <v>0.53</v>
      </c>
      <c r="L69">
        <v>650</v>
      </c>
      <c r="M69">
        <v>6.46</v>
      </c>
    </row>
    <row r="70" spans="1:13">
      <c r="A70" s="28">
        <v>9415</v>
      </c>
      <c r="B70" t="s">
        <v>418</v>
      </c>
      <c r="C70">
        <v>3565</v>
      </c>
      <c r="D70">
        <v>0</v>
      </c>
      <c r="E70">
        <v>0</v>
      </c>
      <c r="F70" t="s">
        <v>397</v>
      </c>
      <c r="G70" t="s">
        <v>397</v>
      </c>
      <c r="H70" t="s">
        <v>397</v>
      </c>
      <c r="I70" t="s">
        <v>397</v>
      </c>
      <c r="J70" t="s">
        <v>397</v>
      </c>
      <c r="K70" t="s">
        <v>397</v>
      </c>
      <c r="L70">
        <v>230</v>
      </c>
      <c r="M70">
        <v>6.45</v>
      </c>
    </row>
    <row r="71" spans="1:13">
      <c r="A71" s="28">
        <v>35000</v>
      </c>
      <c r="B71" t="s">
        <v>87</v>
      </c>
      <c r="C71">
        <v>6250</v>
      </c>
      <c r="D71">
        <v>-30</v>
      </c>
      <c r="E71">
        <v>-0.48</v>
      </c>
      <c r="F71">
        <v>1077</v>
      </c>
      <c r="G71">
        <v>5.8</v>
      </c>
      <c r="H71" t="s">
        <v>397</v>
      </c>
      <c r="I71" t="s">
        <v>397</v>
      </c>
      <c r="J71">
        <v>10892</v>
      </c>
      <c r="K71">
        <v>0.56999999999999995</v>
      </c>
      <c r="L71">
        <v>400</v>
      </c>
      <c r="M71">
        <v>6.4</v>
      </c>
    </row>
    <row r="72" spans="1:13">
      <c r="A72" s="28">
        <v>87</v>
      </c>
      <c r="B72" t="s">
        <v>419</v>
      </c>
      <c r="C72">
        <v>15710</v>
      </c>
      <c r="D72">
        <v>90</v>
      </c>
      <c r="E72">
        <v>0.57999999999999996</v>
      </c>
      <c r="F72" t="s">
        <v>397</v>
      </c>
      <c r="G72" t="s">
        <v>397</v>
      </c>
      <c r="H72" t="s">
        <v>397</v>
      </c>
      <c r="I72" t="s">
        <v>397</v>
      </c>
      <c r="J72" t="s">
        <v>397</v>
      </c>
      <c r="K72" t="s">
        <v>397</v>
      </c>
      <c r="L72">
        <v>1000</v>
      </c>
      <c r="M72">
        <v>6.37</v>
      </c>
    </row>
    <row r="73" spans="1:13">
      <c r="A73" s="28">
        <v>15360</v>
      </c>
      <c r="B73" t="s">
        <v>420</v>
      </c>
      <c r="C73">
        <v>39350</v>
      </c>
      <c r="D73">
        <v>1100</v>
      </c>
      <c r="E73">
        <v>2.88</v>
      </c>
      <c r="F73" t="s">
        <v>397</v>
      </c>
      <c r="G73" t="s">
        <v>397</v>
      </c>
      <c r="H73" t="s">
        <v>397</v>
      </c>
      <c r="I73" t="s">
        <v>397</v>
      </c>
      <c r="J73">
        <v>112673</v>
      </c>
      <c r="K73">
        <v>0.35</v>
      </c>
      <c r="L73">
        <v>2500</v>
      </c>
      <c r="M73">
        <v>6.35</v>
      </c>
    </row>
    <row r="74" spans="1:13">
      <c r="A74" s="28">
        <v>123890</v>
      </c>
      <c r="B74" t="s">
        <v>221</v>
      </c>
      <c r="C74">
        <v>3475</v>
      </c>
      <c r="D74">
        <v>0</v>
      </c>
      <c r="E74">
        <v>0</v>
      </c>
      <c r="F74">
        <v>885</v>
      </c>
      <c r="G74">
        <v>3.93</v>
      </c>
      <c r="H74">
        <v>864</v>
      </c>
      <c r="I74">
        <v>4.0199999999999996</v>
      </c>
      <c r="J74">
        <v>7620</v>
      </c>
      <c r="K74">
        <v>0.46</v>
      </c>
      <c r="L74">
        <v>220</v>
      </c>
      <c r="M74">
        <v>6.33</v>
      </c>
    </row>
    <row r="75" spans="1:13">
      <c r="A75" s="28">
        <v>30000</v>
      </c>
      <c r="B75" t="s">
        <v>421</v>
      </c>
      <c r="C75">
        <v>18200</v>
      </c>
      <c r="D75">
        <v>140</v>
      </c>
      <c r="E75">
        <v>0.78</v>
      </c>
      <c r="F75">
        <v>1913</v>
      </c>
      <c r="G75">
        <v>9.51</v>
      </c>
      <c r="H75">
        <v>1877</v>
      </c>
      <c r="I75">
        <v>9.6999999999999993</v>
      </c>
      <c r="J75">
        <v>11967</v>
      </c>
      <c r="K75">
        <v>1.52</v>
      </c>
      <c r="L75">
        <v>1150</v>
      </c>
      <c r="M75">
        <v>6.32</v>
      </c>
    </row>
    <row r="76" spans="1:13">
      <c r="A76" s="28">
        <v>1230</v>
      </c>
      <c r="B76" t="s">
        <v>138</v>
      </c>
      <c r="C76">
        <v>7910</v>
      </c>
      <c r="D76">
        <v>-420</v>
      </c>
      <c r="E76">
        <v>-5.04</v>
      </c>
      <c r="F76">
        <v>4474</v>
      </c>
      <c r="G76">
        <v>1.77</v>
      </c>
      <c r="H76" t="s">
        <v>397</v>
      </c>
      <c r="I76" t="s">
        <v>397</v>
      </c>
      <c r="J76">
        <v>34362</v>
      </c>
      <c r="K76">
        <v>0.23</v>
      </c>
      <c r="L76">
        <v>500</v>
      </c>
      <c r="M76">
        <v>6.32</v>
      </c>
    </row>
    <row r="77" spans="1:13">
      <c r="A77" s="28">
        <v>24110</v>
      </c>
      <c r="B77" t="s">
        <v>126</v>
      </c>
      <c r="C77">
        <v>15250</v>
      </c>
      <c r="D77">
        <v>-450</v>
      </c>
      <c r="E77">
        <v>-2.87</v>
      </c>
      <c r="F77">
        <v>3320</v>
      </c>
      <c r="G77">
        <v>4.59</v>
      </c>
      <c r="H77">
        <v>3602</v>
      </c>
      <c r="I77">
        <v>4.2300000000000004</v>
      </c>
      <c r="J77">
        <v>36302</v>
      </c>
      <c r="K77">
        <v>0.42</v>
      </c>
      <c r="L77">
        <v>960</v>
      </c>
      <c r="M77">
        <v>6.3</v>
      </c>
    </row>
    <row r="78" spans="1:13">
      <c r="A78" s="28">
        <v>306040</v>
      </c>
      <c r="B78" t="s">
        <v>267</v>
      </c>
      <c r="C78">
        <v>7940</v>
      </c>
      <c r="D78">
        <v>-50</v>
      </c>
      <c r="E78">
        <v>-0.63</v>
      </c>
      <c r="F78">
        <v>2974</v>
      </c>
      <c r="G78">
        <v>2.67</v>
      </c>
      <c r="H78" t="s">
        <v>397</v>
      </c>
      <c r="I78" t="s">
        <v>397</v>
      </c>
      <c r="J78">
        <v>13155</v>
      </c>
      <c r="K78">
        <v>0.6</v>
      </c>
      <c r="L78">
        <v>500</v>
      </c>
      <c r="M78">
        <v>6.3</v>
      </c>
    </row>
    <row r="79" spans="1:13">
      <c r="A79" s="28">
        <v>3410</v>
      </c>
      <c r="B79" t="s">
        <v>359</v>
      </c>
      <c r="C79">
        <v>7000</v>
      </c>
      <c r="D79">
        <v>-10</v>
      </c>
      <c r="E79">
        <v>-0.14000000000000001</v>
      </c>
      <c r="F79">
        <v>254</v>
      </c>
      <c r="G79">
        <v>27.56</v>
      </c>
      <c r="H79">
        <v>260</v>
      </c>
      <c r="I79">
        <v>26.93</v>
      </c>
      <c r="J79">
        <v>3172</v>
      </c>
      <c r="K79">
        <v>2.21</v>
      </c>
      <c r="L79">
        <v>440</v>
      </c>
      <c r="M79">
        <v>6.29</v>
      </c>
    </row>
    <row r="80" spans="1:13">
      <c r="A80" s="28">
        <v>53210</v>
      </c>
      <c r="B80" t="s">
        <v>170</v>
      </c>
      <c r="C80">
        <v>5570</v>
      </c>
      <c r="D80">
        <v>-30</v>
      </c>
      <c r="E80">
        <v>-0.54</v>
      </c>
      <c r="F80">
        <v>470</v>
      </c>
      <c r="G80">
        <v>11.85</v>
      </c>
      <c r="H80">
        <v>592</v>
      </c>
      <c r="I80">
        <v>9.41</v>
      </c>
      <c r="J80">
        <v>17321</v>
      </c>
      <c r="K80">
        <v>0.32</v>
      </c>
      <c r="L80">
        <v>350</v>
      </c>
      <c r="M80">
        <v>6.28</v>
      </c>
    </row>
    <row r="81" spans="1:13">
      <c r="A81" s="28">
        <v>5945</v>
      </c>
      <c r="B81" t="s">
        <v>422</v>
      </c>
      <c r="C81">
        <v>11980</v>
      </c>
      <c r="D81">
        <v>30</v>
      </c>
      <c r="E81">
        <v>0.25</v>
      </c>
      <c r="F81" t="s">
        <v>397</v>
      </c>
      <c r="G81" t="s">
        <v>397</v>
      </c>
      <c r="H81" t="s">
        <v>397</v>
      </c>
      <c r="I81" t="s">
        <v>397</v>
      </c>
      <c r="J81" t="s">
        <v>397</v>
      </c>
      <c r="K81" t="s">
        <v>397</v>
      </c>
      <c r="L81">
        <v>750</v>
      </c>
      <c r="M81">
        <v>6.26</v>
      </c>
    </row>
    <row r="82" spans="1:13">
      <c r="A82" s="28">
        <v>34950</v>
      </c>
      <c r="B82" t="s">
        <v>423</v>
      </c>
      <c r="C82">
        <v>81500</v>
      </c>
      <c r="D82">
        <v>100</v>
      </c>
      <c r="E82">
        <v>0.12</v>
      </c>
      <c r="F82">
        <v>4582</v>
      </c>
      <c r="G82">
        <v>17.79</v>
      </c>
      <c r="H82" t="s">
        <v>397</v>
      </c>
      <c r="I82" t="s">
        <v>397</v>
      </c>
      <c r="J82">
        <v>25180</v>
      </c>
      <c r="K82">
        <v>3.24</v>
      </c>
      <c r="L82">
        <v>5100</v>
      </c>
      <c r="M82">
        <v>6.26</v>
      </c>
    </row>
    <row r="83" spans="1:13">
      <c r="A83" s="28">
        <v>175330</v>
      </c>
      <c r="B83" t="s">
        <v>88</v>
      </c>
      <c r="C83">
        <v>13340</v>
      </c>
      <c r="D83">
        <v>10</v>
      </c>
      <c r="E83">
        <v>0.08</v>
      </c>
      <c r="F83">
        <v>2996</v>
      </c>
      <c r="G83">
        <v>4.45</v>
      </c>
      <c r="H83">
        <v>3263</v>
      </c>
      <c r="I83">
        <v>4.09</v>
      </c>
      <c r="J83">
        <v>23551</v>
      </c>
      <c r="K83">
        <v>0.56999999999999995</v>
      </c>
      <c r="L83">
        <v>835</v>
      </c>
      <c r="M83">
        <v>6.26</v>
      </c>
    </row>
    <row r="84" spans="1:13">
      <c r="A84" s="28">
        <v>17670</v>
      </c>
      <c r="B84" t="s">
        <v>424</v>
      </c>
      <c r="C84">
        <v>53100</v>
      </c>
      <c r="D84">
        <v>-900</v>
      </c>
      <c r="E84">
        <v>-1.67</v>
      </c>
      <c r="F84">
        <v>4118</v>
      </c>
      <c r="G84">
        <v>12.89</v>
      </c>
      <c r="H84">
        <v>5373</v>
      </c>
      <c r="I84">
        <v>9.8800000000000008</v>
      </c>
      <c r="J84">
        <v>51911</v>
      </c>
      <c r="K84">
        <v>1.02</v>
      </c>
      <c r="L84">
        <v>3320</v>
      </c>
      <c r="M84">
        <v>6.25</v>
      </c>
    </row>
    <row r="85" spans="1:13">
      <c r="A85" s="28">
        <v>11040</v>
      </c>
      <c r="B85" t="s">
        <v>265</v>
      </c>
      <c r="C85">
        <v>6410</v>
      </c>
      <c r="D85">
        <v>-20</v>
      </c>
      <c r="E85">
        <v>-0.31</v>
      </c>
      <c r="F85">
        <v>447</v>
      </c>
      <c r="G85">
        <v>14.34</v>
      </c>
      <c r="H85" t="s">
        <v>397</v>
      </c>
      <c r="I85" t="s">
        <v>397</v>
      </c>
      <c r="J85">
        <v>9479</v>
      </c>
      <c r="K85">
        <v>0.68</v>
      </c>
      <c r="L85">
        <v>400</v>
      </c>
      <c r="M85">
        <v>6.24</v>
      </c>
    </row>
    <row r="86" spans="1:13">
      <c r="A86" s="28">
        <v>2870</v>
      </c>
      <c r="B86" t="s">
        <v>425</v>
      </c>
      <c r="C86">
        <v>804</v>
      </c>
      <c r="D86">
        <v>-20</v>
      </c>
      <c r="E86">
        <v>-2.4300000000000002</v>
      </c>
      <c r="F86" t="s">
        <v>397</v>
      </c>
      <c r="G86" t="s">
        <v>397</v>
      </c>
      <c r="H86" t="s">
        <v>397</v>
      </c>
      <c r="I86" t="s">
        <v>397</v>
      </c>
      <c r="J86">
        <v>2895</v>
      </c>
      <c r="K86">
        <v>0.28000000000000003</v>
      </c>
      <c r="L86">
        <v>50</v>
      </c>
      <c r="M86">
        <v>6.22</v>
      </c>
    </row>
    <row r="87" spans="1:13">
      <c r="A87" s="28">
        <v>29780</v>
      </c>
      <c r="B87" t="s">
        <v>156</v>
      </c>
      <c r="C87">
        <v>40350</v>
      </c>
      <c r="D87">
        <v>-50</v>
      </c>
      <c r="E87">
        <v>-0.12</v>
      </c>
      <c r="F87">
        <v>5831</v>
      </c>
      <c r="G87">
        <v>6.92</v>
      </c>
      <c r="H87">
        <v>5279</v>
      </c>
      <c r="I87">
        <v>7.64</v>
      </c>
      <c r="J87">
        <v>73934</v>
      </c>
      <c r="K87">
        <v>0.55000000000000004</v>
      </c>
      <c r="L87">
        <v>2500</v>
      </c>
      <c r="M87">
        <v>6.2</v>
      </c>
    </row>
    <row r="88" spans="1:13">
      <c r="A88" s="28">
        <v>171120</v>
      </c>
      <c r="B88" t="s">
        <v>268</v>
      </c>
      <c r="C88">
        <v>3235</v>
      </c>
      <c r="D88">
        <v>-35</v>
      </c>
      <c r="E88">
        <v>-1.07</v>
      </c>
      <c r="F88">
        <v>247</v>
      </c>
      <c r="G88">
        <v>13.1</v>
      </c>
      <c r="H88" t="s">
        <v>397</v>
      </c>
      <c r="I88" t="s">
        <v>397</v>
      </c>
      <c r="J88">
        <v>3414</v>
      </c>
      <c r="K88">
        <v>0.95</v>
      </c>
      <c r="L88">
        <v>200</v>
      </c>
      <c r="M88">
        <v>6.18</v>
      </c>
    </row>
    <row r="89" spans="1:13">
      <c r="A89" s="28">
        <v>970</v>
      </c>
      <c r="B89" t="s">
        <v>223</v>
      </c>
      <c r="C89">
        <v>6470</v>
      </c>
      <c r="D89">
        <v>-10</v>
      </c>
      <c r="E89">
        <v>-0.15</v>
      </c>
      <c r="F89">
        <v>559</v>
      </c>
      <c r="G89">
        <v>11.57</v>
      </c>
      <c r="H89" t="s">
        <v>397</v>
      </c>
      <c r="I89" t="s">
        <v>397</v>
      </c>
      <c r="J89">
        <v>15912</v>
      </c>
      <c r="K89">
        <v>0.41</v>
      </c>
      <c r="L89">
        <v>400</v>
      </c>
      <c r="M89">
        <v>6.18</v>
      </c>
    </row>
    <row r="90" spans="1:13">
      <c r="A90" s="28">
        <v>290120</v>
      </c>
      <c r="B90" t="s">
        <v>273</v>
      </c>
      <c r="C90">
        <v>3250</v>
      </c>
      <c r="D90">
        <v>-40</v>
      </c>
      <c r="E90">
        <v>-1.22</v>
      </c>
      <c r="F90">
        <v>2066</v>
      </c>
      <c r="G90">
        <v>1.57</v>
      </c>
      <c r="H90" t="s">
        <v>397</v>
      </c>
      <c r="I90" t="s">
        <v>397</v>
      </c>
      <c r="J90">
        <v>7447</v>
      </c>
      <c r="K90">
        <v>0.44</v>
      </c>
      <c r="L90">
        <v>200</v>
      </c>
      <c r="M90">
        <v>6.15</v>
      </c>
    </row>
    <row r="91" spans="1:13">
      <c r="A91" s="28">
        <v>3300</v>
      </c>
      <c r="B91" t="s">
        <v>234</v>
      </c>
      <c r="C91">
        <v>13020</v>
      </c>
      <c r="D91">
        <v>220</v>
      </c>
      <c r="E91">
        <v>1.72</v>
      </c>
      <c r="F91">
        <v>2904</v>
      </c>
      <c r="G91">
        <v>4.4800000000000004</v>
      </c>
      <c r="H91" t="s">
        <v>397</v>
      </c>
      <c r="I91" t="s">
        <v>397</v>
      </c>
      <c r="J91">
        <v>46069</v>
      </c>
      <c r="K91">
        <v>0.28000000000000003</v>
      </c>
      <c r="L91">
        <v>800</v>
      </c>
      <c r="M91">
        <v>6.14</v>
      </c>
    </row>
    <row r="92" spans="1:13">
      <c r="A92" s="28">
        <v>100250</v>
      </c>
      <c r="B92" t="s">
        <v>201</v>
      </c>
      <c r="C92">
        <v>3270</v>
      </c>
      <c r="D92">
        <v>0</v>
      </c>
      <c r="E92">
        <v>0</v>
      </c>
      <c r="F92">
        <v>452</v>
      </c>
      <c r="G92">
        <v>7.23</v>
      </c>
      <c r="H92" t="s">
        <v>397</v>
      </c>
      <c r="I92" t="s">
        <v>397</v>
      </c>
      <c r="J92">
        <v>6258</v>
      </c>
      <c r="K92">
        <v>0.52</v>
      </c>
      <c r="L92">
        <v>200</v>
      </c>
      <c r="M92">
        <v>6.12</v>
      </c>
    </row>
    <row r="93" spans="1:13">
      <c r="A93" s="28">
        <v>95570</v>
      </c>
      <c r="B93" t="s">
        <v>426</v>
      </c>
      <c r="C93">
        <v>4420</v>
      </c>
      <c r="D93">
        <v>-90</v>
      </c>
      <c r="E93">
        <v>-2</v>
      </c>
      <c r="F93">
        <v>201</v>
      </c>
      <c r="G93">
        <v>21.99</v>
      </c>
      <c r="H93">
        <v>685</v>
      </c>
      <c r="I93">
        <v>6.45</v>
      </c>
      <c r="J93">
        <v>8076</v>
      </c>
      <c r="K93">
        <v>0.55000000000000004</v>
      </c>
      <c r="L93">
        <v>270</v>
      </c>
      <c r="M93">
        <v>6.11</v>
      </c>
    </row>
    <row r="94" spans="1:13">
      <c r="A94" s="28">
        <v>94280</v>
      </c>
      <c r="B94" t="s">
        <v>427</v>
      </c>
      <c r="C94">
        <v>12310</v>
      </c>
      <c r="D94">
        <v>10</v>
      </c>
      <c r="E94">
        <v>0.08</v>
      </c>
      <c r="F94">
        <v>1254</v>
      </c>
      <c r="G94">
        <v>9.82</v>
      </c>
      <c r="H94" t="s">
        <v>397</v>
      </c>
      <c r="I94" t="s">
        <v>397</v>
      </c>
      <c r="J94">
        <v>5956</v>
      </c>
      <c r="K94">
        <v>2.0699999999999998</v>
      </c>
      <c r="L94">
        <v>750</v>
      </c>
      <c r="M94">
        <v>6.09</v>
      </c>
    </row>
    <row r="95" spans="1:13">
      <c r="A95" s="28">
        <v>120115</v>
      </c>
      <c r="B95" t="s">
        <v>428</v>
      </c>
      <c r="C95">
        <v>22200</v>
      </c>
      <c r="D95">
        <v>150</v>
      </c>
      <c r="E95">
        <v>0.68</v>
      </c>
      <c r="F95" t="s">
        <v>397</v>
      </c>
      <c r="G95" t="s">
        <v>397</v>
      </c>
      <c r="H95" t="s">
        <v>397</v>
      </c>
      <c r="I95" t="s">
        <v>397</v>
      </c>
      <c r="J95" t="s">
        <v>397</v>
      </c>
      <c r="K95" t="s">
        <v>397</v>
      </c>
      <c r="L95">
        <v>1350</v>
      </c>
      <c r="M95">
        <v>6.08</v>
      </c>
    </row>
    <row r="96" spans="1:13">
      <c r="A96" s="28">
        <v>33290</v>
      </c>
      <c r="B96" t="s">
        <v>274</v>
      </c>
      <c r="C96">
        <v>3125</v>
      </c>
      <c r="D96">
        <v>-60</v>
      </c>
      <c r="E96">
        <v>-1.88</v>
      </c>
      <c r="F96">
        <v>730</v>
      </c>
      <c r="G96">
        <v>4.28</v>
      </c>
      <c r="H96" t="s">
        <v>397</v>
      </c>
      <c r="I96" t="s">
        <v>397</v>
      </c>
      <c r="J96">
        <v>5813</v>
      </c>
      <c r="K96">
        <v>0.54</v>
      </c>
      <c r="L96">
        <v>190</v>
      </c>
      <c r="M96">
        <v>6.08</v>
      </c>
    </row>
    <row r="97" spans="1:13">
      <c r="A97" s="28">
        <v>25000</v>
      </c>
      <c r="B97" t="s">
        <v>92</v>
      </c>
      <c r="C97">
        <v>45650</v>
      </c>
      <c r="D97">
        <v>100</v>
      </c>
      <c r="E97">
        <v>0.22</v>
      </c>
      <c r="F97">
        <v>6015</v>
      </c>
      <c r="G97">
        <v>7.59</v>
      </c>
      <c r="H97" t="s">
        <v>397</v>
      </c>
      <c r="I97" t="s">
        <v>397</v>
      </c>
      <c r="J97">
        <v>122776</v>
      </c>
      <c r="K97">
        <v>0.37</v>
      </c>
      <c r="L97">
        <v>2750</v>
      </c>
      <c r="M97">
        <v>6.02</v>
      </c>
    </row>
    <row r="98" spans="1:13">
      <c r="A98" s="28">
        <v>8060</v>
      </c>
      <c r="B98" t="s">
        <v>130</v>
      </c>
      <c r="C98">
        <v>6660</v>
      </c>
      <c r="D98">
        <v>-50</v>
      </c>
      <c r="E98">
        <v>-0.75</v>
      </c>
      <c r="F98">
        <v>549</v>
      </c>
      <c r="G98">
        <v>12.13</v>
      </c>
      <c r="H98" t="s">
        <v>397</v>
      </c>
      <c r="I98" t="s">
        <v>397</v>
      </c>
      <c r="J98">
        <v>17890</v>
      </c>
      <c r="K98">
        <v>0.37</v>
      </c>
      <c r="L98">
        <v>400</v>
      </c>
      <c r="M98">
        <v>6.01</v>
      </c>
    </row>
    <row r="99" spans="1:13">
      <c r="A99" s="28">
        <v>7680</v>
      </c>
      <c r="B99" t="s">
        <v>270</v>
      </c>
      <c r="C99">
        <v>4990</v>
      </c>
      <c r="D99">
        <v>-50</v>
      </c>
      <c r="E99">
        <v>-0.99</v>
      </c>
      <c r="F99">
        <v>1455</v>
      </c>
      <c r="G99">
        <v>3.43</v>
      </c>
      <c r="H99" t="s">
        <v>397</v>
      </c>
      <c r="I99" t="s">
        <v>397</v>
      </c>
      <c r="J99">
        <v>25597</v>
      </c>
      <c r="K99">
        <v>0.19</v>
      </c>
      <c r="L99">
        <v>300</v>
      </c>
      <c r="M99">
        <v>6.01</v>
      </c>
    </row>
    <row r="100" spans="1:13">
      <c r="A100" s="28">
        <v>84010</v>
      </c>
      <c r="B100" t="s">
        <v>134</v>
      </c>
      <c r="C100">
        <v>12990</v>
      </c>
      <c r="D100">
        <v>10</v>
      </c>
      <c r="E100">
        <v>0.08</v>
      </c>
      <c r="F100">
        <v>6605</v>
      </c>
      <c r="G100">
        <v>1.97</v>
      </c>
      <c r="H100">
        <v>3058</v>
      </c>
      <c r="I100">
        <v>4.25</v>
      </c>
      <c r="J100">
        <v>38135</v>
      </c>
      <c r="K100">
        <v>0.34</v>
      </c>
      <c r="L100">
        <v>780</v>
      </c>
      <c r="M100">
        <v>6</v>
      </c>
    </row>
    <row r="101" spans="1:13">
      <c r="A101" s="28">
        <v>67990</v>
      </c>
      <c r="B101" t="s">
        <v>263</v>
      </c>
      <c r="C101">
        <v>6000</v>
      </c>
      <c r="D101">
        <v>110</v>
      </c>
      <c r="E101">
        <v>1.87</v>
      </c>
      <c r="F101">
        <v>1213</v>
      </c>
      <c r="G101">
        <v>4.95</v>
      </c>
      <c r="H101" t="s">
        <v>397</v>
      </c>
      <c r="I101" t="s">
        <v>397</v>
      </c>
      <c r="J101">
        <v>11515</v>
      </c>
      <c r="K101">
        <v>0.52</v>
      </c>
      <c r="L101">
        <v>360</v>
      </c>
      <c r="M101">
        <v>6</v>
      </c>
    </row>
    <row r="102" spans="1:13">
      <c r="A102" s="28">
        <v>18880</v>
      </c>
      <c r="B102" t="s">
        <v>429</v>
      </c>
      <c r="C102">
        <v>6000</v>
      </c>
      <c r="D102">
        <v>-150</v>
      </c>
      <c r="E102">
        <v>-2.44</v>
      </c>
      <c r="F102">
        <v>38</v>
      </c>
      <c r="G102">
        <v>157.88999999999999</v>
      </c>
      <c r="H102">
        <v>446</v>
      </c>
      <c r="I102">
        <v>13.46</v>
      </c>
      <c r="J102">
        <v>4190</v>
      </c>
      <c r="K102">
        <v>1.43</v>
      </c>
      <c r="L102">
        <v>360</v>
      </c>
      <c r="M102">
        <v>6</v>
      </c>
    </row>
    <row r="103" spans="1:13">
      <c r="A103" s="28">
        <v>17480</v>
      </c>
      <c r="B103" t="s">
        <v>266</v>
      </c>
      <c r="C103">
        <v>5010</v>
      </c>
      <c r="D103">
        <v>15</v>
      </c>
      <c r="E103">
        <v>0.3</v>
      </c>
      <c r="F103">
        <v>1037</v>
      </c>
      <c r="G103">
        <v>4.83</v>
      </c>
      <c r="H103" t="s">
        <v>397</v>
      </c>
      <c r="I103" t="s">
        <v>397</v>
      </c>
      <c r="J103">
        <v>12264</v>
      </c>
      <c r="K103">
        <v>0.41</v>
      </c>
      <c r="L103">
        <v>300</v>
      </c>
      <c r="M103">
        <v>5.99</v>
      </c>
    </row>
    <row r="104" spans="1:13">
      <c r="A104" s="28">
        <v>140520</v>
      </c>
      <c r="B104" t="s">
        <v>269</v>
      </c>
      <c r="C104">
        <v>2520</v>
      </c>
      <c r="D104">
        <v>-15</v>
      </c>
      <c r="E104">
        <v>-0.59</v>
      </c>
      <c r="F104">
        <v>2641</v>
      </c>
      <c r="G104">
        <v>0.95</v>
      </c>
      <c r="H104" t="s">
        <v>397</v>
      </c>
      <c r="I104" t="s">
        <v>397</v>
      </c>
      <c r="J104">
        <v>7269</v>
      </c>
      <c r="K104">
        <v>0.35</v>
      </c>
      <c r="L104">
        <v>150</v>
      </c>
      <c r="M104">
        <v>5.95</v>
      </c>
    </row>
    <row r="105" spans="1:13">
      <c r="A105" s="28">
        <v>344820</v>
      </c>
      <c r="B105" t="s">
        <v>90</v>
      </c>
      <c r="C105">
        <v>40550</v>
      </c>
      <c r="D105">
        <v>-250</v>
      </c>
      <c r="E105">
        <v>-0.61</v>
      </c>
      <c r="F105">
        <v>5894</v>
      </c>
      <c r="G105">
        <v>6.88</v>
      </c>
      <c r="H105">
        <v>5260</v>
      </c>
      <c r="I105">
        <v>7.71</v>
      </c>
      <c r="J105">
        <v>90484</v>
      </c>
      <c r="K105">
        <v>0.45</v>
      </c>
      <c r="L105">
        <v>2400</v>
      </c>
      <c r="M105">
        <v>5.92</v>
      </c>
    </row>
    <row r="106" spans="1:13">
      <c r="A106" s="28">
        <v>11370</v>
      </c>
      <c r="B106" t="s">
        <v>272</v>
      </c>
      <c r="C106">
        <v>845</v>
      </c>
      <c r="D106">
        <v>-23</v>
      </c>
      <c r="E106">
        <v>-2.65</v>
      </c>
      <c r="F106">
        <v>390</v>
      </c>
      <c r="G106">
        <v>2.17</v>
      </c>
      <c r="H106" t="s">
        <v>397</v>
      </c>
      <c r="I106" t="s">
        <v>397</v>
      </c>
      <c r="J106">
        <v>3928</v>
      </c>
      <c r="K106">
        <v>0.22</v>
      </c>
      <c r="L106">
        <v>50</v>
      </c>
      <c r="M106">
        <v>5.92</v>
      </c>
    </row>
    <row r="107" spans="1:13">
      <c r="A107" s="28">
        <v>1755</v>
      </c>
      <c r="B107" t="s">
        <v>430</v>
      </c>
      <c r="C107">
        <v>14390</v>
      </c>
      <c r="D107">
        <v>-10</v>
      </c>
      <c r="E107">
        <v>-7.0000000000000007E-2</v>
      </c>
      <c r="F107" t="s">
        <v>397</v>
      </c>
      <c r="G107" t="s">
        <v>397</v>
      </c>
      <c r="H107" t="s">
        <v>397</v>
      </c>
      <c r="I107" t="s">
        <v>397</v>
      </c>
      <c r="J107" t="s">
        <v>397</v>
      </c>
      <c r="K107" t="s">
        <v>397</v>
      </c>
      <c r="L107">
        <v>850</v>
      </c>
      <c r="M107">
        <v>5.91</v>
      </c>
    </row>
    <row r="108" spans="1:13">
      <c r="A108" s="28">
        <v>1725</v>
      </c>
      <c r="B108" t="s">
        <v>431</v>
      </c>
      <c r="C108">
        <v>68600</v>
      </c>
      <c r="D108">
        <v>800</v>
      </c>
      <c r="E108">
        <v>1.18</v>
      </c>
      <c r="F108" t="s">
        <v>397</v>
      </c>
      <c r="G108" t="s">
        <v>397</v>
      </c>
      <c r="H108" t="s">
        <v>397</v>
      </c>
      <c r="I108" t="s">
        <v>397</v>
      </c>
      <c r="J108" t="s">
        <v>397</v>
      </c>
      <c r="K108" t="s">
        <v>397</v>
      </c>
      <c r="L108">
        <v>4050</v>
      </c>
      <c r="M108">
        <v>5.9</v>
      </c>
    </row>
    <row r="109" spans="1:13">
      <c r="A109" s="28">
        <v>127980</v>
      </c>
      <c r="B109" t="s">
        <v>432</v>
      </c>
      <c r="C109">
        <v>8440</v>
      </c>
      <c r="D109">
        <v>-190</v>
      </c>
      <c r="E109">
        <v>-2.2000000000000002</v>
      </c>
      <c r="F109">
        <v>359</v>
      </c>
      <c r="G109">
        <v>23.51</v>
      </c>
      <c r="H109" t="s">
        <v>397</v>
      </c>
      <c r="I109" t="s">
        <v>397</v>
      </c>
      <c r="J109">
        <v>3125</v>
      </c>
      <c r="K109">
        <v>2.7</v>
      </c>
      <c r="L109">
        <v>490</v>
      </c>
      <c r="M109">
        <v>5.81</v>
      </c>
    </row>
    <row r="110" spans="1:13">
      <c r="A110" s="28">
        <v>1720</v>
      </c>
      <c r="B110" t="s">
        <v>175</v>
      </c>
      <c r="C110">
        <v>68800</v>
      </c>
      <c r="D110">
        <v>600</v>
      </c>
      <c r="E110">
        <v>0.88</v>
      </c>
      <c r="F110">
        <v>11893</v>
      </c>
      <c r="G110">
        <v>5.78</v>
      </c>
      <c r="H110" t="s">
        <v>397</v>
      </c>
      <c r="I110" t="s">
        <v>397</v>
      </c>
      <c r="J110">
        <v>188226</v>
      </c>
      <c r="K110">
        <v>0.37</v>
      </c>
      <c r="L110">
        <v>4000</v>
      </c>
      <c r="M110">
        <v>5.81</v>
      </c>
    </row>
    <row r="111" spans="1:13">
      <c r="A111" s="28">
        <v>13120</v>
      </c>
      <c r="B111" t="s">
        <v>276</v>
      </c>
      <c r="C111">
        <v>2770</v>
      </c>
      <c r="D111">
        <v>-20</v>
      </c>
      <c r="E111">
        <v>-0.72</v>
      </c>
      <c r="F111">
        <v>905</v>
      </c>
      <c r="G111">
        <v>3.06</v>
      </c>
      <c r="H111" t="s">
        <v>397</v>
      </c>
      <c r="I111" t="s">
        <v>397</v>
      </c>
      <c r="J111">
        <v>11288</v>
      </c>
      <c r="K111">
        <v>0.25</v>
      </c>
      <c r="L111">
        <v>160</v>
      </c>
      <c r="M111">
        <v>5.78</v>
      </c>
    </row>
    <row r="112" spans="1:13">
      <c r="A112" s="28">
        <v>38390</v>
      </c>
      <c r="B112" t="s">
        <v>271</v>
      </c>
      <c r="C112">
        <v>15590</v>
      </c>
      <c r="D112">
        <v>70</v>
      </c>
      <c r="E112">
        <v>0.45</v>
      </c>
      <c r="F112">
        <v>2589</v>
      </c>
      <c r="G112">
        <v>6.02</v>
      </c>
      <c r="H112" t="s">
        <v>397</v>
      </c>
      <c r="I112" t="s">
        <v>397</v>
      </c>
      <c r="J112">
        <v>23494</v>
      </c>
      <c r="K112">
        <v>0.66</v>
      </c>
      <c r="L112">
        <v>900</v>
      </c>
      <c r="M112">
        <v>5.77</v>
      </c>
    </row>
    <row r="113" spans="1:13">
      <c r="A113" s="28">
        <v>1500</v>
      </c>
      <c r="B113" t="s">
        <v>237</v>
      </c>
      <c r="C113">
        <v>9550</v>
      </c>
      <c r="D113">
        <v>40</v>
      </c>
      <c r="E113">
        <v>0.42</v>
      </c>
      <c r="F113">
        <v>2654</v>
      </c>
      <c r="G113">
        <v>3.6</v>
      </c>
      <c r="H113" t="s">
        <v>397</v>
      </c>
      <c r="I113" t="s">
        <v>397</v>
      </c>
      <c r="J113">
        <v>38617</v>
      </c>
      <c r="K113">
        <v>0.25</v>
      </c>
      <c r="L113">
        <v>550</v>
      </c>
      <c r="M113">
        <v>5.76</v>
      </c>
    </row>
    <row r="114" spans="1:13">
      <c r="A114" s="28" t="s">
        <v>433</v>
      </c>
      <c r="B114" t="s">
        <v>434</v>
      </c>
      <c r="C114">
        <v>18270</v>
      </c>
      <c r="D114">
        <v>-190</v>
      </c>
      <c r="E114">
        <v>-1.03</v>
      </c>
      <c r="F114" t="s">
        <v>397</v>
      </c>
      <c r="G114" t="s">
        <v>397</v>
      </c>
      <c r="H114" t="s">
        <v>397</v>
      </c>
      <c r="I114" t="s">
        <v>397</v>
      </c>
      <c r="J114" t="s">
        <v>397</v>
      </c>
      <c r="K114" t="s">
        <v>397</v>
      </c>
      <c r="L114">
        <v>1050</v>
      </c>
      <c r="M114">
        <v>5.75</v>
      </c>
    </row>
    <row r="115" spans="1:13">
      <c r="A115" s="28">
        <v>108320</v>
      </c>
      <c r="B115" t="s">
        <v>435</v>
      </c>
      <c r="C115">
        <v>78200</v>
      </c>
      <c r="D115">
        <v>-800</v>
      </c>
      <c r="E115">
        <v>-1.01</v>
      </c>
      <c r="F115">
        <v>14368</v>
      </c>
      <c r="G115">
        <v>5.44</v>
      </c>
      <c r="H115">
        <v>10872</v>
      </c>
      <c r="I115">
        <v>7.19</v>
      </c>
      <c r="J115">
        <v>58432</v>
      </c>
      <c r="K115">
        <v>1.34</v>
      </c>
      <c r="L115">
        <v>4500</v>
      </c>
      <c r="M115">
        <v>5.75</v>
      </c>
    </row>
    <row r="116" spans="1:13">
      <c r="A116" s="28">
        <v>815</v>
      </c>
      <c r="B116" t="s">
        <v>436</v>
      </c>
      <c r="C116">
        <v>240000</v>
      </c>
      <c r="D116">
        <v>-10000</v>
      </c>
      <c r="E116">
        <v>-4</v>
      </c>
      <c r="F116" t="s">
        <v>397</v>
      </c>
      <c r="G116" t="s">
        <v>397</v>
      </c>
      <c r="H116" t="s">
        <v>397</v>
      </c>
      <c r="I116" t="s">
        <v>397</v>
      </c>
      <c r="J116" t="s">
        <v>397</v>
      </c>
      <c r="K116" t="s">
        <v>397</v>
      </c>
      <c r="L116">
        <v>13805</v>
      </c>
      <c r="M116">
        <v>5.75</v>
      </c>
    </row>
    <row r="117" spans="1:13">
      <c r="A117" s="28">
        <v>4970</v>
      </c>
      <c r="B117" t="s">
        <v>172</v>
      </c>
      <c r="C117">
        <v>8740</v>
      </c>
      <c r="D117">
        <v>-80</v>
      </c>
      <c r="E117">
        <v>-0.91</v>
      </c>
      <c r="F117">
        <v>899</v>
      </c>
      <c r="G117">
        <v>9.7200000000000006</v>
      </c>
      <c r="H117" t="s">
        <v>397</v>
      </c>
      <c r="I117" t="s">
        <v>397</v>
      </c>
      <c r="J117">
        <v>35416</v>
      </c>
      <c r="K117">
        <v>0.25</v>
      </c>
      <c r="L117">
        <v>500</v>
      </c>
      <c r="M117">
        <v>5.72</v>
      </c>
    </row>
    <row r="118" spans="1:13">
      <c r="A118" s="28">
        <v>1450</v>
      </c>
      <c r="B118" t="s">
        <v>240</v>
      </c>
      <c r="C118">
        <v>34500</v>
      </c>
      <c r="D118">
        <v>-350</v>
      </c>
      <c r="E118">
        <v>-1</v>
      </c>
      <c r="F118">
        <v>7099</v>
      </c>
      <c r="G118">
        <v>4.8600000000000003</v>
      </c>
      <c r="H118">
        <v>11695</v>
      </c>
      <c r="I118">
        <v>2.95</v>
      </c>
      <c r="J118">
        <v>53896</v>
      </c>
      <c r="K118">
        <v>0.64</v>
      </c>
      <c r="L118">
        <v>1965</v>
      </c>
      <c r="M118">
        <v>5.7</v>
      </c>
    </row>
    <row r="119" spans="1:13">
      <c r="A119" s="28">
        <v>1270</v>
      </c>
      <c r="B119" t="s">
        <v>153</v>
      </c>
      <c r="C119">
        <v>26300</v>
      </c>
      <c r="D119">
        <v>-150</v>
      </c>
      <c r="E119">
        <v>-0.56999999999999995</v>
      </c>
      <c r="F119">
        <v>4736</v>
      </c>
      <c r="G119">
        <v>5.55</v>
      </c>
      <c r="H119" t="s">
        <v>397</v>
      </c>
      <c r="I119" t="s">
        <v>397</v>
      </c>
      <c r="J119">
        <v>116987</v>
      </c>
      <c r="K119">
        <v>0.22</v>
      </c>
      <c r="L119">
        <v>1500</v>
      </c>
      <c r="M119">
        <v>5.7</v>
      </c>
    </row>
    <row r="120" spans="1:13">
      <c r="A120" s="28">
        <v>10960</v>
      </c>
      <c r="B120" t="s">
        <v>163</v>
      </c>
      <c r="C120">
        <v>3335</v>
      </c>
      <c r="D120">
        <v>-30</v>
      </c>
      <c r="E120">
        <v>-0.89</v>
      </c>
      <c r="F120">
        <v>265</v>
      </c>
      <c r="G120">
        <v>12.58</v>
      </c>
      <c r="H120" t="s">
        <v>397</v>
      </c>
      <c r="I120" t="s">
        <v>397</v>
      </c>
      <c r="J120">
        <v>9788</v>
      </c>
      <c r="K120">
        <v>0.34</v>
      </c>
      <c r="L120">
        <v>190</v>
      </c>
      <c r="M120">
        <v>5.7</v>
      </c>
    </row>
    <row r="121" spans="1:13">
      <c r="A121" s="28">
        <v>3475</v>
      </c>
      <c r="B121" t="s">
        <v>437</v>
      </c>
      <c r="C121">
        <v>2815</v>
      </c>
      <c r="D121">
        <v>15</v>
      </c>
      <c r="E121">
        <v>0.54</v>
      </c>
      <c r="F121" t="s">
        <v>397</v>
      </c>
      <c r="G121" t="s">
        <v>397</v>
      </c>
      <c r="H121" t="s">
        <v>397</v>
      </c>
      <c r="I121" t="s">
        <v>397</v>
      </c>
      <c r="J121" t="s">
        <v>397</v>
      </c>
      <c r="K121" t="s">
        <v>397</v>
      </c>
      <c r="L121">
        <v>160</v>
      </c>
      <c r="M121">
        <v>5.68</v>
      </c>
    </row>
    <row r="122" spans="1:13">
      <c r="A122" s="28">
        <v>2230</v>
      </c>
      <c r="B122" t="s">
        <v>438</v>
      </c>
      <c r="C122">
        <v>3530</v>
      </c>
      <c r="D122">
        <v>5</v>
      </c>
      <c r="E122">
        <v>0.14000000000000001</v>
      </c>
      <c r="F122" t="s">
        <v>397</v>
      </c>
      <c r="G122" t="s">
        <v>397</v>
      </c>
      <c r="H122" t="s">
        <v>397</v>
      </c>
      <c r="I122" t="s">
        <v>397</v>
      </c>
      <c r="J122">
        <v>7706</v>
      </c>
      <c r="K122">
        <v>0.46</v>
      </c>
      <c r="L122">
        <v>200</v>
      </c>
      <c r="M122">
        <v>5.67</v>
      </c>
    </row>
    <row r="123" spans="1:13">
      <c r="A123" s="28">
        <v>60980</v>
      </c>
      <c r="B123" t="s">
        <v>439</v>
      </c>
      <c r="C123">
        <v>35300</v>
      </c>
      <c r="D123">
        <v>0</v>
      </c>
      <c r="E123">
        <v>0</v>
      </c>
      <c r="F123">
        <v>314</v>
      </c>
      <c r="G123">
        <v>112.42</v>
      </c>
      <c r="H123">
        <v>9502</v>
      </c>
      <c r="I123">
        <v>3.71</v>
      </c>
      <c r="J123">
        <v>102608</v>
      </c>
      <c r="K123">
        <v>0.34</v>
      </c>
      <c r="L123">
        <v>2000</v>
      </c>
      <c r="M123">
        <v>5.67</v>
      </c>
    </row>
    <row r="124" spans="1:13">
      <c r="A124" s="28">
        <v>16090</v>
      </c>
      <c r="B124" t="s">
        <v>137</v>
      </c>
      <c r="C124">
        <v>1958</v>
      </c>
      <c r="D124">
        <v>-5</v>
      </c>
      <c r="E124">
        <v>-0.25</v>
      </c>
      <c r="F124">
        <v>574</v>
      </c>
      <c r="G124">
        <v>3.41</v>
      </c>
      <c r="H124" t="s">
        <v>397</v>
      </c>
      <c r="I124" t="s">
        <v>397</v>
      </c>
      <c r="J124">
        <v>5480</v>
      </c>
      <c r="K124">
        <v>0.36</v>
      </c>
      <c r="L124">
        <v>110</v>
      </c>
      <c r="M124">
        <v>5.62</v>
      </c>
    </row>
    <row r="125" spans="1:13">
      <c r="A125" s="28">
        <v>78000</v>
      </c>
      <c r="B125" t="s">
        <v>212</v>
      </c>
      <c r="C125">
        <v>10720</v>
      </c>
      <c r="D125">
        <v>70</v>
      </c>
      <c r="E125">
        <v>0.66</v>
      </c>
      <c r="F125">
        <v>688</v>
      </c>
      <c r="G125">
        <v>15.58</v>
      </c>
      <c r="H125" t="s">
        <v>397</v>
      </c>
      <c r="I125" t="s">
        <v>397</v>
      </c>
      <c r="J125">
        <v>19820</v>
      </c>
      <c r="K125">
        <v>0.54</v>
      </c>
      <c r="L125">
        <v>600</v>
      </c>
      <c r="M125">
        <v>5.6</v>
      </c>
    </row>
    <row r="126" spans="1:13">
      <c r="A126" s="28">
        <v>140</v>
      </c>
      <c r="B126" t="s">
        <v>218</v>
      </c>
      <c r="C126">
        <v>9000</v>
      </c>
      <c r="D126">
        <v>10</v>
      </c>
      <c r="E126">
        <v>0.11</v>
      </c>
      <c r="F126">
        <v>1427</v>
      </c>
      <c r="G126">
        <v>6.31</v>
      </c>
      <c r="H126" t="s">
        <v>397</v>
      </c>
      <c r="I126" t="s">
        <v>397</v>
      </c>
      <c r="J126">
        <v>26118</v>
      </c>
      <c r="K126">
        <v>0.34</v>
      </c>
      <c r="L126">
        <v>500</v>
      </c>
      <c r="M126">
        <v>5.56</v>
      </c>
    </row>
    <row r="127" spans="1:13">
      <c r="A127" s="28">
        <v>6125</v>
      </c>
      <c r="B127" t="s">
        <v>440</v>
      </c>
      <c r="C127">
        <v>31750</v>
      </c>
      <c r="D127">
        <v>-400</v>
      </c>
      <c r="E127">
        <v>-1.24</v>
      </c>
      <c r="F127" t="s">
        <v>397</v>
      </c>
      <c r="G127" t="s">
        <v>397</v>
      </c>
      <c r="H127" t="s">
        <v>397</v>
      </c>
      <c r="I127" t="s">
        <v>397</v>
      </c>
      <c r="J127" t="s">
        <v>397</v>
      </c>
      <c r="K127" t="s">
        <v>397</v>
      </c>
      <c r="L127">
        <v>1750</v>
      </c>
      <c r="M127">
        <v>5.51</v>
      </c>
    </row>
    <row r="128" spans="1:13">
      <c r="A128" s="28" t="s">
        <v>441</v>
      </c>
      <c r="B128" t="s">
        <v>442</v>
      </c>
      <c r="C128">
        <v>28300</v>
      </c>
      <c r="D128">
        <v>-200</v>
      </c>
      <c r="E128">
        <v>-0.7</v>
      </c>
      <c r="F128" t="s">
        <v>397</v>
      </c>
      <c r="G128" t="s">
        <v>397</v>
      </c>
      <c r="H128" t="s">
        <v>397</v>
      </c>
      <c r="I128" t="s">
        <v>397</v>
      </c>
      <c r="J128" t="s">
        <v>397</v>
      </c>
      <c r="K128" t="s">
        <v>397</v>
      </c>
      <c r="L128">
        <v>1550</v>
      </c>
      <c r="M128">
        <v>5.48</v>
      </c>
    </row>
    <row r="129" spans="1:13">
      <c r="A129" s="28" t="s">
        <v>443</v>
      </c>
      <c r="B129" t="s">
        <v>444</v>
      </c>
      <c r="C129">
        <v>7390</v>
      </c>
      <c r="D129">
        <v>-40</v>
      </c>
      <c r="E129">
        <v>-0.54</v>
      </c>
      <c r="F129" t="s">
        <v>397</v>
      </c>
      <c r="G129" t="s">
        <v>397</v>
      </c>
      <c r="H129" t="s">
        <v>397</v>
      </c>
      <c r="I129" t="s">
        <v>397</v>
      </c>
      <c r="J129" t="s">
        <v>397</v>
      </c>
      <c r="K129" t="s">
        <v>397</v>
      </c>
      <c r="L129">
        <v>405</v>
      </c>
      <c r="M129">
        <v>5.48</v>
      </c>
    </row>
    <row r="130" spans="1:13">
      <c r="A130" s="28">
        <v>39570</v>
      </c>
      <c r="B130" t="s">
        <v>83</v>
      </c>
      <c r="C130">
        <v>8210</v>
      </c>
      <c r="D130">
        <v>20</v>
      </c>
      <c r="E130">
        <v>0.24</v>
      </c>
      <c r="F130">
        <v>538</v>
      </c>
      <c r="G130">
        <v>15.26</v>
      </c>
      <c r="H130" t="s">
        <v>397</v>
      </c>
      <c r="I130" t="s">
        <v>397</v>
      </c>
      <c r="J130">
        <v>11339</v>
      </c>
      <c r="K130">
        <v>0.72</v>
      </c>
      <c r="L130">
        <v>450</v>
      </c>
      <c r="M130">
        <v>5.48</v>
      </c>
    </row>
    <row r="131" spans="1:13">
      <c r="A131" s="28">
        <v>6060</v>
      </c>
      <c r="B131" t="s">
        <v>445</v>
      </c>
      <c r="C131">
        <v>3435</v>
      </c>
      <c r="D131">
        <v>20</v>
      </c>
      <c r="E131">
        <v>0.59</v>
      </c>
      <c r="F131">
        <v>17</v>
      </c>
      <c r="G131">
        <v>202.06</v>
      </c>
      <c r="H131" t="s">
        <v>397</v>
      </c>
      <c r="I131" t="s">
        <v>397</v>
      </c>
      <c r="J131">
        <v>6884</v>
      </c>
      <c r="K131">
        <v>0.5</v>
      </c>
      <c r="L131">
        <v>188</v>
      </c>
      <c r="M131">
        <v>5.47</v>
      </c>
    </row>
    <row r="132" spans="1:13">
      <c r="A132" s="28">
        <v>381970</v>
      </c>
      <c r="B132" t="s">
        <v>446</v>
      </c>
      <c r="C132">
        <v>13920</v>
      </c>
      <c r="D132">
        <v>630</v>
      </c>
      <c r="E132">
        <v>4.74</v>
      </c>
      <c r="F132">
        <v>631</v>
      </c>
      <c r="G132">
        <v>22.06</v>
      </c>
      <c r="H132">
        <v>917</v>
      </c>
      <c r="I132">
        <v>15.18</v>
      </c>
      <c r="J132">
        <v>5112</v>
      </c>
      <c r="K132">
        <v>2.72</v>
      </c>
      <c r="L132">
        <v>760</v>
      </c>
      <c r="M132">
        <v>5.46</v>
      </c>
    </row>
    <row r="133" spans="1:13">
      <c r="A133" s="28">
        <v>98660</v>
      </c>
      <c r="B133" t="s">
        <v>278</v>
      </c>
      <c r="C133">
        <v>2025</v>
      </c>
      <c r="D133">
        <v>29</v>
      </c>
      <c r="E133">
        <v>1.45</v>
      </c>
      <c r="F133">
        <v>132</v>
      </c>
      <c r="G133">
        <v>15.34</v>
      </c>
      <c r="H133" t="s">
        <v>397</v>
      </c>
      <c r="I133" t="s">
        <v>397</v>
      </c>
      <c r="J133">
        <v>2465</v>
      </c>
      <c r="K133">
        <v>0.82</v>
      </c>
      <c r="L133">
        <v>110</v>
      </c>
      <c r="M133">
        <v>5.43</v>
      </c>
    </row>
    <row r="134" spans="1:13">
      <c r="A134" s="28">
        <v>5940</v>
      </c>
      <c r="B134" t="s">
        <v>103</v>
      </c>
      <c r="C134">
        <v>12890</v>
      </c>
      <c r="D134">
        <v>-170</v>
      </c>
      <c r="E134">
        <v>-1.3</v>
      </c>
      <c r="F134">
        <v>881</v>
      </c>
      <c r="G134">
        <v>14.63</v>
      </c>
      <c r="H134">
        <v>1741</v>
      </c>
      <c r="I134">
        <v>7.4</v>
      </c>
      <c r="J134">
        <v>21824</v>
      </c>
      <c r="K134">
        <v>0.59</v>
      </c>
      <c r="L134">
        <v>700</v>
      </c>
      <c r="M134">
        <v>5.43</v>
      </c>
    </row>
    <row r="135" spans="1:13">
      <c r="A135" s="28">
        <v>3200</v>
      </c>
      <c r="B135" t="s">
        <v>193</v>
      </c>
      <c r="C135">
        <v>9200</v>
      </c>
      <c r="D135">
        <v>10</v>
      </c>
      <c r="E135">
        <v>0.11</v>
      </c>
      <c r="F135">
        <v>5047</v>
      </c>
      <c r="G135">
        <v>1.82</v>
      </c>
      <c r="H135" t="s">
        <v>397</v>
      </c>
      <c r="I135" t="s">
        <v>397</v>
      </c>
      <c r="J135">
        <v>39009</v>
      </c>
      <c r="K135">
        <v>0.24</v>
      </c>
      <c r="L135">
        <v>500</v>
      </c>
      <c r="M135">
        <v>5.43</v>
      </c>
    </row>
    <row r="136" spans="1:13">
      <c r="A136" s="28">
        <v>16450</v>
      </c>
      <c r="B136" t="s">
        <v>227</v>
      </c>
      <c r="C136">
        <v>4620</v>
      </c>
      <c r="D136">
        <v>-10</v>
      </c>
      <c r="E136">
        <v>-0.22</v>
      </c>
      <c r="F136">
        <v>543</v>
      </c>
      <c r="G136">
        <v>8.51</v>
      </c>
      <c r="H136" t="s">
        <v>397</v>
      </c>
      <c r="I136" t="s">
        <v>397</v>
      </c>
      <c r="J136">
        <v>10535</v>
      </c>
      <c r="K136">
        <v>0.44</v>
      </c>
      <c r="L136">
        <v>250</v>
      </c>
      <c r="M136">
        <v>5.41</v>
      </c>
    </row>
    <row r="137" spans="1:13">
      <c r="A137" s="28">
        <v>4650</v>
      </c>
      <c r="B137" t="s">
        <v>447</v>
      </c>
      <c r="C137">
        <v>9240</v>
      </c>
      <c r="D137">
        <v>0</v>
      </c>
      <c r="E137">
        <v>0</v>
      </c>
      <c r="F137">
        <v>10</v>
      </c>
      <c r="G137">
        <v>924</v>
      </c>
      <c r="H137" t="s">
        <v>397</v>
      </c>
      <c r="I137" t="s">
        <v>397</v>
      </c>
      <c r="J137">
        <v>17391</v>
      </c>
      <c r="K137">
        <v>0.53</v>
      </c>
      <c r="L137">
        <v>500</v>
      </c>
      <c r="M137">
        <v>5.41</v>
      </c>
    </row>
    <row r="138" spans="1:13">
      <c r="A138" s="28">
        <v>33780</v>
      </c>
      <c r="B138" t="s">
        <v>448</v>
      </c>
      <c r="C138">
        <v>92600</v>
      </c>
      <c r="D138">
        <v>-2600</v>
      </c>
      <c r="E138">
        <v>-2.73</v>
      </c>
      <c r="F138">
        <v>8489</v>
      </c>
      <c r="G138">
        <v>10.91</v>
      </c>
      <c r="H138">
        <v>7290</v>
      </c>
      <c r="I138">
        <v>12.7</v>
      </c>
      <c r="J138">
        <v>80114</v>
      </c>
      <c r="K138">
        <v>1.1599999999999999</v>
      </c>
      <c r="L138">
        <v>5000</v>
      </c>
      <c r="M138">
        <v>5.4</v>
      </c>
    </row>
    <row r="139" spans="1:13">
      <c r="A139" s="28">
        <v>215000</v>
      </c>
      <c r="B139" t="s">
        <v>449</v>
      </c>
      <c r="C139">
        <v>83300</v>
      </c>
      <c r="D139">
        <v>4000</v>
      </c>
      <c r="E139">
        <v>5.04</v>
      </c>
      <c r="F139">
        <v>18293</v>
      </c>
      <c r="G139">
        <v>4.55</v>
      </c>
      <c r="H139">
        <v>14983</v>
      </c>
      <c r="I139">
        <v>5.56</v>
      </c>
      <c r="J139">
        <v>59058</v>
      </c>
      <c r="K139">
        <v>1.41</v>
      </c>
      <c r="L139">
        <v>4500</v>
      </c>
      <c r="M139">
        <v>5.4</v>
      </c>
    </row>
    <row r="140" spans="1:13">
      <c r="A140" s="28">
        <v>37460</v>
      </c>
      <c r="B140" t="s">
        <v>277</v>
      </c>
      <c r="C140">
        <v>8340</v>
      </c>
      <c r="D140">
        <v>30</v>
      </c>
      <c r="E140">
        <v>0.36</v>
      </c>
      <c r="F140">
        <v>3133</v>
      </c>
      <c r="G140">
        <v>2.66</v>
      </c>
      <c r="H140" t="s">
        <v>397</v>
      </c>
      <c r="I140" t="s">
        <v>397</v>
      </c>
      <c r="J140">
        <v>20202</v>
      </c>
      <c r="K140">
        <v>0.41</v>
      </c>
      <c r="L140">
        <v>450</v>
      </c>
      <c r="M140">
        <v>5.4</v>
      </c>
    </row>
    <row r="141" spans="1:13">
      <c r="A141" s="28">
        <v>86790</v>
      </c>
      <c r="B141" t="s">
        <v>216</v>
      </c>
      <c r="C141">
        <v>62100</v>
      </c>
      <c r="D141">
        <v>-2500</v>
      </c>
      <c r="E141">
        <v>-3.87</v>
      </c>
      <c r="F141">
        <v>11803</v>
      </c>
      <c r="G141">
        <v>5.26</v>
      </c>
      <c r="H141">
        <v>12813</v>
      </c>
      <c r="I141">
        <v>4.8499999999999996</v>
      </c>
      <c r="J141">
        <v>124935</v>
      </c>
      <c r="K141">
        <v>0.5</v>
      </c>
      <c r="L141">
        <v>3350</v>
      </c>
      <c r="M141">
        <v>5.39</v>
      </c>
    </row>
    <row r="142" spans="1:13">
      <c r="A142" s="28" t="s">
        <v>450</v>
      </c>
      <c r="B142" t="s">
        <v>451</v>
      </c>
      <c r="C142">
        <v>14940</v>
      </c>
      <c r="D142">
        <v>-100</v>
      </c>
      <c r="E142">
        <v>-0.66</v>
      </c>
      <c r="F142" t="s">
        <v>397</v>
      </c>
      <c r="G142" t="s">
        <v>397</v>
      </c>
      <c r="H142" t="s">
        <v>397</v>
      </c>
      <c r="I142" t="s">
        <v>397</v>
      </c>
      <c r="J142" t="s">
        <v>397</v>
      </c>
      <c r="K142" t="s">
        <v>397</v>
      </c>
      <c r="L142">
        <v>800</v>
      </c>
      <c r="M142">
        <v>5.35</v>
      </c>
    </row>
    <row r="143" spans="1:13">
      <c r="A143" s="28">
        <v>111710</v>
      </c>
      <c r="B143" t="s">
        <v>280</v>
      </c>
      <c r="C143">
        <v>5620</v>
      </c>
      <c r="D143">
        <v>-60</v>
      </c>
      <c r="E143">
        <v>-1.06</v>
      </c>
      <c r="F143">
        <v>1003</v>
      </c>
      <c r="G143">
        <v>5.6</v>
      </c>
      <c r="H143" t="s">
        <v>397</v>
      </c>
      <c r="I143" t="s">
        <v>397</v>
      </c>
      <c r="J143">
        <v>8185</v>
      </c>
      <c r="K143">
        <v>0.69</v>
      </c>
      <c r="L143">
        <v>300</v>
      </c>
      <c r="M143">
        <v>5.34</v>
      </c>
    </row>
    <row r="144" spans="1:13">
      <c r="A144" s="28">
        <v>11560</v>
      </c>
      <c r="B144" t="s">
        <v>275</v>
      </c>
      <c r="C144">
        <v>9450</v>
      </c>
      <c r="D144">
        <v>-40</v>
      </c>
      <c r="E144">
        <v>-0.42</v>
      </c>
      <c r="F144">
        <v>2361</v>
      </c>
      <c r="G144">
        <v>4</v>
      </c>
      <c r="H144" t="s">
        <v>397</v>
      </c>
      <c r="I144" t="s">
        <v>397</v>
      </c>
      <c r="J144">
        <v>18328</v>
      </c>
      <c r="K144">
        <v>0.52</v>
      </c>
      <c r="L144">
        <v>500</v>
      </c>
      <c r="M144">
        <v>5.29</v>
      </c>
    </row>
    <row r="145" spans="1:13">
      <c r="A145" s="28">
        <v>241770</v>
      </c>
      <c r="B145" t="s">
        <v>281</v>
      </c>
      <c r="C145">
        <v>8620</v>
      </c>
      <c r="D145">
        <v>0</v>
      </c>
      <c r="E145">
        <v>0</v>
      </c>
      <c r="F145">
        <v>4453</v>
      </c>
      <c r="G145">
        <v>1.94</v>
      </c>
      <c r="H145" t="s">
        <v>397</v>
      </c>
      <c r="I145" t="s">
        <v>397</v>
      </c>
      <c r="J145">
        <v>19540</v>
      </c>
      <c r="K145">
        <v>0.44</v>
      </c>
      <c r="L145">
        <v>455</v>
      </c>
      <c r="M145">
        <v>5.28</v>
      </c>
    </row>
    <row r="146" spans="1:13">
      <c r="A146" s="28">
        <v>92230</v>
      </c>
      <c r="B146" t="s">
        <v>452</v>
      </c>
      <c r="C146">
        <v>57100</v>
      </c>
      <c r="D146">
        <v>400</v>
      </c>
      <c r="E146">
        <v>0.71</v>
      </c>
      <c r="F146">
        <v>2267</v>
      </c>
      <c r="G146">
        <v>25.19</v>
      </c>
      <c r="H146" t="s">
        <v>397</v>
      </c>
      <c r="I146" t="s">
        <v>397</v>
      </c>
      <c r="J146">
        <v>210854</v>
      </c>
      <c r="K146">
        <v>0.27</v>
      </c>
      <c r="L146">
        <v>3000</v>
      </c>
      <c r="M146">
        <v>5.25</v>
      </c>
    </row>
    <row r="147" spans="1:13">
      <c r="A147" s="28">
        <v>57050</v>
      </c>
      <c r="B147" t="s">
        <v>241</v>
      </c>
      <c r="C147">
        <v>49650</v>
      </c>
      <c r="D147">
        <v>350</v>
      </c>
      <c r="E147">
        <v>0.71</v>
      </c>
      <c r="F147">
        <v>7541</v>
      </c>
      <c r="G147">
        <v>6.58</v>
      </c>
      <c r="H147">
        <v>7819</v>
      </c>
      <c r="I147">
        <v>6.35</v>
      </c>
      <c r="J147">
        <v>171103</v>
      </c>
      <c r="K147">
        <v>0.28999999999999998</v>
      </c>
      <c r="L147">
        <v>2600</v>
      </c>
      <c r="M147">
        <v>5.24</v>
      </c>
    </row>
    <row r="148" spans="1:13">
      <c r="A148" s="28">
        <v>21080</v>
      </c>
      <c r="B148" t="s">
        <v>286</v>
      </c>
      <c r="C148">
        <v>2865</v>
      </c>
      <c r="D148">
        <v>-15</v>
      </c>
      <c r="E148">
        <v>-0.52</v>
      </c>
      <c r="F148">
        <v>600</v>
      </c>
      <c r="G148">
        <v>4.78</v>
      </c>
      <c r="H148" t="s">
        <v>397</v>
      </c>
      <c r="I148" t="s">
        <v>397</v>
      </c>
      <c r="J148">
        <v>3553</v>
      </c>
      <c r="K148">
        <v>0.81</v>
      </c>
      <c r="L148">
        <v>150</v>
      </c>
      <c r="M148">
        <v>5.24</v>
      </c>
    </row>
    <row r="149" spans="1:13">
      <c r="A149" s="28">
        <v>1430</v>
      </c>
      <c r="B149" t="s">
        <v>165</v>
      </c>
      <c r="C149">
        <v>22900</v>
      </c>
      <c r="D149">
        <v>-400</v>
      </c>
      <c r="E149">
        <v>-1.72</v>
      </c>
      <c r="F149">
        <v>2572</v>
      </c>
      <c r="G149">
        <v>8.9</v>
      </c>
      <c r="H149">
        <v>3184</v>
      </c>
      <c r="I149">
        <v>7.19</v>
      </c>
      <c r="J149">
        <v>52580</v>
      </c>
      <c r="K149">
        <v>0.44</v>
      </c>
      <c r="L149">
        <v>1200</v>
      </c>
      <c r="M149">
        <v>5.24</v>
      </c>
    </row>
    <row r="150" spans="1:13">
      <c r="A150" s="28">
        <v>4990</v>
      </c>
      <c r="B150" t="s">
        <v>148</v>
      </c>
      <c r="C150">
        <v>28650</v>
      </c>
      <c r="D150">
        <v>-150</v>
      </c>
      <c r="E150">
        <v>-0.52</v>
      </c>
      <c r="F150">
        <v>2387</v>
      </c>
      <c r="G150">
        <v>12</v>
      </c>
      <c r="H150">
        <v>2513</v>
      </c>
      <c r="I150">
        <v>11.4</v>
      </c>
      <c r="J150">
        <v>100489</v>
      </c>
      <c r="K150">
        <v>0.28999999999999998</v>
      </c>
      <c r="L150">
        <v>1500</v>
      </c>
      <c r="M150">
        <v>5.24</v>
      </c>
    </row>
    <row r="151" spans="1:13">
      <c r="A151" s="28">
        <v>3465</v>
      </c>
      <c r="B151" t="s">
        <v>453</v>
      </c>
      <c r="C151">
        <v>2295</v>
      </c>
      <c r="D151">
        <v>-5</v>
      </c>
      <c r="E151">
        <v>-0.22</v>
      </c>
      <c r="F151" t="s">
        <v>397</v>
      </c>
      <c r="G151" t="s">
        <v>397</v>
      </c>
      <c r="H151" t="s">
        <v>397</v>
      </c>
      <c r="I151" t="s">
        <v>397</v>
      </c>
      <c r="J151" t="s">
        <v>397</v>
      </c>
      <c r="K151" t="s">
        <v>397</v>
      </c>
      <c r="L151">
        <v>120</v>
      </c>
      <c r="M151">
        <v>5.23</v>
      </c>
    </row>
    <row r="152" spans="1:13">
      <c r="A152" s="28">
        <v>194370</v>
      </c>
      <c r="B152" t="s">
        <v>197</v>
      </c>
      <c r="C152">
        <v>16280</v>
      </c>
      <c r="D152">
        <v>-120</v>
      </c>
      <c r="E152">
        <v>-0.73</v>
      </c>
      <c r="F152">
        <v>5118</v>
      </c>
      <c r="G152">
        <v>3.18</v>
      </c>
      <c r="H152">
        <v>5943</v>
      </c>
      <c r="I152">
        <v>2.74</v>
      </c>
      <c r="J152">
        <v>20205</v>
      </c>
      <c r="K152">
        <v>0.81</v>
      </c>
      <c r="L152">
        <v>850</v>
      </c>
      <c r="M152">
        <v>5.22</v>
      </c>
    </row>
    <row r="153" spans="1:13">
      <c r="A153" s="28">
        <v>2900</v>
      </c>
      <c r="B153" t="s">
        <v>115</v>
      </c>
      <c r="C153">
        <v>5750</v>
      </c>
      <c r="D153">
        <v>-90</v>
      </c>
      <c r="E153">
        <v>-1.54</v>
      </c>
      <c r="F153">
        <v>2262</v>
      </c>
      <c r="G153">
        <v>2.54</v>
      </c>
      <c r="H153" t="s">
        <v>397</v>
      </c>
      <c r="I153" t="s">
        <v>397</v>
      </c>
      <c r="J153">
        <v>7778</v>
      </c>
      <c r="K153">
        <v>0.74</v>
      </c>
      <c r="L153">
        <v>300</v>
      </c>
      <c r="M153">
        <v>5.22</v>
      </c>
    </row>
    <row r="154" spans="1:13">
      <c r="A154" s="28">
        <v>19210</v>
      </c>
      <c r="B154" t="s">
        <v>284</v>
      </c>
      <c r="C154">
        <v>5750</v>
      </c>
      <c r="D154">
        <v>-90</v>
      </c>
      <c r="E154">
        <v>-1.54</v>
      </c>
      <c r="F154">
        <v>1027</v>
      </c>
      <c r="G154">
        <v>5.6</v>
      </c>
      <c r="H154" t="s">
        <v>397</v>
      </c>
      <c r="I154" t="s">
        <v>397</v>
      </c>
      <c r="J154">
        <v>10943</v>
      </c>
      <c r="K154">
        <v>0.53</v>
      </c>
      <c r="L154">
        <v>300</v>
      </c>
      <c r="M154">
        <v>5.22</v>
      </c>
    </row>
    <row r="155" spans="1:13">
      <c r="A155" s="28">
        <v>14530</v>
      </c>
      <c r="B155" t="s">
        <v>123</v>
      </c>
      <c r="C155">
        <v>3835</v>
      </c>
      <c r="D155">
        <v>-30</v>
      </c>
      <c r="E155">
        <v>-0.78</v>
      </c>
      <c r="F155">
        <v>593</v>
      </c>
      <c r="G155">
        <v>6.47</v>
      </c>
      <c r="H155" t="s">
        <v>397</v>
      </c>
      <c r="I155" t="s">
        <v>397</v>
      </c>
      <c r="J155">
        <v>5808</v>
      </c>
      <c r="K155">
        <v>0.66</v>
      </c>
      <c r="L155">
        <v>200</v>
      </c>
      <c r="M155">
        <v>5.22</v>
      </c>
    </row>
    <row r="156" spans="1:13">
      <c r="A156" s="28" t="s">
        <v>454</v>
      </c>
      <c r="B156" t="s">
        <v>455</v>
      </c>
      <c r="C156">
        <v>3830</v>
      </c>
      <c r="D156">
        <v>-120</v>
      </c>
      <c r="E156">
        <v>-3.04</v>
      </c>
      <c r="F156" t="s">
        <v>397</v>
      </c>
      <c r="G156" t="s">
        <v>397</v>
      </c>
      <c r="H156" t="s">
        <v>397</v>
      </c>
      <c r="I156" t="s">
        <v>397</v>
      </c>
      <c r="J156" t="s">
        <v>397</v>
      </c>
      <c r="K156" t="s">
        <v>397</v>
      </c>
      <c r="L156">
        <v>200</v>
      </c>
      <c r="M156">
        <v>5.22</v>
      </c>
    </row>
    <row r="157" spans="1:13">
      <c r="A157" s="28">
        <v>6200</v>
      </c>
      <c r="B157" t="s">
        <v>222</v>
      </c>
      <c r="C157">
        <v>963</v>
      </c>
      <c r="D157">
        <v>13</v>
      </c>
      <c r="E157">
        <v>1.37</v>
      </c>
      <c r="F157">
        <v>369</v>
      </c>
      <c r="G157">
        <v>2.61</v>
      </c>
      <c r="H157" t="s">
        <v>397</v>
      </c>
      <c r="I157" t="s">
        <v>397</v>
      </c>
      <c r="J157">
        <v>3242</v>
      </c>
      <c r="K157">
        <v>0.3</v>
      </c>
      <c r="L157">
        <v>50</v>
      </c>
      <c r="M157">
        <v>5.19</v>
      </c>
    </row>
    <row r="158" spans="1:13">
      <c r="A158" s="28">
        <v>3690</v>
      </c>
      <c r="B158" t="s">
        <v>202</v>
      </c>
      <c r="C158">
        <v>8320</v>
      </c>
      <c r="D158">
        <v>-50</v>
      </c>
      <c r="E158">
        <v>-0.6</v>
      </c>
      <c r="F158">
        <v>965</v>
      </c>
      <c r="G158">
        <v>8.6199999999999992</v>
      </c>
      <c r="H158">
        <v>1739</v>
      </c>
      <c r="I158">
        <v>4.79</v>
      </c>
      <c r="J158">
        <v>19585</v>
      </c>
      <c r="K158">
        <v>0.42</v>
      </c>
      <c r="L158">
        <v>430</v>
      </c>
      <c r="M158">
        <v>5.17</v>
      </c>
    </row>
    <row r="159" spans="1:13">
      <c r="A159" s="28">
        <v>3800</v>
      </c>
      <c r="B159" t="s">
        <v>279</v>
      </c>
      <c r="C159">
        <v>25800</v>
      </c>
      <c r="D159">
        <v>-50</v>
      </c>
      <c r="E159">
        <v>-0.19</v>
      </c>
      <c r="F159">
        <v>5293</v>
      </c>
      <c r="G159">
        <v>4.87</v>
      </c>
      <c r="H159" t="s">
        <v>397</v>
      </c>
      <c r="I159" t="s">
        <v>397</v>
      </c>
      <c r="J159">
        <v>58224</v>
      </c>
      <c r="K159">
        <v>0.44</v>
      </c>
      <c r="L159">
        <v>1330</v>
      </c>
      <c r="M159">
        <v>5.16</v>
      </c>
    </row>
    <row r="160" spans="1:13">
      <c r="A160" s="28">
        <v>129260</v>
      </c>
      <c r="B160" t="s">
        <v>191</v>
      </c>
      <c r="C160">
        <v>2330</v>
      </c>
      <c r="D160">
        <v>5</v>
      </c>
      <c r="E160">
        <v>0.22</v>
      </c>
      <c r="F160">
        <v>1092</v>
      </c>
      <c r="G160">
        <v>2.13</v>
      </c>
      <c r="H160" t="s">
        <v>397</v>
      </c>
      <c r="I160" t="s">
        <v>397</v>
      </c>
      <c r="J160">
        <v>8867</v>
      </c>
      <c r="K160">
        <v>0.26</v>
      </c>
      <c r="L160">
        <v>120</v>
      </c>
      <c r="M160">
        <v>5.15</v>
      </c>
    </row>
    <row r="161" spans="1:13">
      <c r="A161" s="28">
        <v>30200</v>
      </c>
      <c r="B161" t="s">
        <v>94</v>
      </c>
      <c r="C161">
        <v>38250</v>
      </c>
      <c r="D161">
        <v>-300</v>
      </c>
      <c r="E161">
        <v>-0.78</v>
      </c>
      <c r="F161">
        <v>5209</v>
      </c>
      <c r="G161">
        <v>7.34</v>
      </c>
      <c r="H161">
        <v>4841</v>
      </c>
      <c r="I161">
        <v>7.9</v>
      </c>
      <c r="J161">
        <v>64880</v>
      </c>
      <c r="K161">
        <v>0.59</v>
      </c>
      <c r="L161">
        <v>1960</v>
      </c>
      <c r="M161">
        <v>5.12</v>
      </c>
    </row>
    <row r="162" spans="1:13">
      <c r="A162" s="28">
        <v>5440</v>
      </c>
      <c r="B162" t="s">
        <v>236</v>
      </c>
      <c r="C162">
        <v>4105</v>
      </c>
      <c r="D162">
        <v>5</v>
      </c>
      <c r="E162">
        <v>0.12</v>
      </c>
      <c r="F162">
        <v>640</v>
      </c>
      <c r="G162">
        <v>6.41</v>
      </c>
      <c r="H162">
        <v>1238</v>
      </c>
      <c r="I162">
        <v>3.32</v>
      </c>
      <c r="J162">
        <v>20860</v>
      </c>
      <c r="K162">
        <v>0.2</v>
      </c>
      <c r="L162">
        <v>210</v>
      </c>
      <c r="M162">
        <v>5.12</v>
      </c>
    </row>
    <row r="163" spans="1:13">
      <c r="A163" s="28">
        <v>17940</v>
      </c>
      <c r="B163" t="s">
        <v>80</v>
      </c>
      <c r="C163">
        <v>70400</v>
      </c>
      <c r="D163">
        <v>1100</v>
      </c>
      <c r="E163">
        <v>1.59</v>
      </c>
      <c r="F163">
        <v>24536</v>
      </c>
      <c r="G163">
        <v>2.87</v>
      </c>
      <c r="H163">
        <v>24333</v>
      </c>
      <c r="I163">
        <v>2.89</v>
      </c>
      <c r="J163">
        <v>249560</v>
      </c>
      <c r="K163">
        <v>0.28000000000000003</v>
      </c>
      <c r="L163">
        <v>3600</v>
      </c>
      <c r="M163">
        <v>5.1100000000000003</v>
      </c>
    </row>
    <row r="164" spans="1:13">
      <c r="A164" s="28">
        <v>155650</v>
      </c>
      <c r="B164" t="s">
        <v>282</v>
      </c>
      <c r="C164">
        <v>4940</v>
      </c>
      <c r="D164">
        <v>-50</v>
      </c>
      <c r="E164">
        <v>-1</v>
      </c>
      <c r="F164">
        <v>1041</v>
      </c>
      <c r="G164">
        <v>4.75</v>
      </c>
      <c r="H164" t="s">
        <v>397</v>
      </c>
      <c r="I164" t="s">
        <v>397</v>
      </c>
      <c r="J164">
        <v>5904</v>
      </c>
      <c r="K164">
        <v>0.84</v>
      </c>
      <c r="L164">
        <v>250</v>
      </c>
      <c r="M164">
        <v>5.0599999999999996</v>
      </c>
    </row>
    <row r="165" spans="1:13">
      <c r="A165" s="28">
        <v>78930</v>
      </c>
      <c r="B165" t="s">
        <v>81</v>
      </c>
      <c r="C165">
        <v>49400</v>
      </c>
      <c r="D165">
        <v>-350</v>
      </c>
      <c r="E165">
        <v>-0.7</v>
      </c>
      <c r="F165">
        <v>22634</v>
      </c>
      <c r="G165">
        <v>2.1800000000000002</v>
      </c>
      <c r="H165">
        <v>14475</v>
      </c>
      <c r="I165">
        <v>3.41</v>
      </c>
      <c r="J165">
        <v>133899</v>
      </c>
      <c r="K165">
        <v>0.37</v>
      </c>
      <c r="L165">
        <v>2500</v>
      </c>
      <c r="M165">
        <v>5.0599999999999996</v>
      </c>
    </row>
    <row r="166" spans="1:13">
      <c r="A166" s="28">
        <v>6805</v>
      </c>
      <c r="B166" t="s">
        <v>456</v>
      </c>
      <c r="C166">
        <v>4360</v>
      </c>
      <c r="D166">
        <v>-30</v>
      </c>
      <c r="E166">
        <v>-0.68</v>
      </c>
      <c r="F166" t="s">
        <v>397</v>
      </c>
      <c r="G166" t="s">
        <v>397</v>
      </c>
      <c r="H166" t="s">
        <v>397</v>
      </c>
      <c r="I166" t="s">
        <v>397</v>
      </c>
      <c r="J166" t="s">
        <v>397</v>
      </c>
      <c r="K166" t="s">
        <v>397</v>
      </c>
      <c r="L166">
        <v>220</v>
      </c>
      <c r="M166">
        <v>5.05</v>
      </c>
    </row>
    <row r="167" spans="1:13">
      <c r="A167" s="28">
        <v>244920</v>
      </c>
      <c r="B167" t="s">
        <v>181</v>
      </c>
      <c r="C167">
        <v>3995</v>
      </c>
      <c r="D167">
        <v>-20</v>
      </c>
      <c r="E167">
        <v>-0.5</v>
      </c>
      <c r="F167">
        <v>2226</v>
      </c>
      <c r="G167">
        <v>1.79</v>
      </c>
      <c r="H167" t="s">
        <v>397</v>
      </c>
      <c r="I167" t="s">
        <v>397</v>
      </c>
      <c r="J167">
        <v>6449</v>
      </c>
      <c r="K167">
        <v>0.62</v>
      </c>
      <c r="L167">
        <v>200</v>
      </c>
      <c r="M167">
        <v>5.01</v>
      </c>
    </row>
    <row r="168" spans="1:13">
      <c r="A168" s="28">
        <v>69260</v>
      </c>
      <c r="B168" t="s">
        <v>457</v>
      </c>
      <c r="C168">
        <v>19980</v>
      </c>
      <c r="D168">
        <v>10</v>
      </c>
      <c r="E168">
        <v>0.05</v>
      </c>
      <c r="F168">
        <v>2132</v>
      </c>
      <c r="G168">
        <v>9.3699999999999992</v>
      </c>
      <c r="H168">
        <v>2883</v>
      </c>
      <c r="I168">
        <v>6.93</v>
      </c>
      <c r="J168">
        <v>19290</v>
      </c>
      <c r="K168">
        <v>1.04</v>
      </c>
      <c r="L168">
        <v>1000</v>
      </c>
      <c r="M168">
        <v>5.01</v>
      </c>
    </row>
    <row r="169" spans="1:13">
      <c r="A169" s="28">
        <v>15890</v>
      </c>
      <c r="B169" t="s">
        <v>209</v>
      </c>
      <c r="C169">
        <v>6000</v>
      </c>
      <c r="D169">
        <v>0</v>
      </c>
      <c r="E169">
        <v>0</v>
      </c>
      <c r="F169">
        <v>1154</v>
      </c>
      <c r="G169">
        <v>5.2</v>
      </c>
      <c r="H169" t="s">
        <v>397</v>
      </c>
      <c r="I169" t="s">
        <v>397</v>
      </c>
      <c r="J169">
        <v>10077</v>
      </c>
      <c r="K169">
        <v>0.6</v>
      </c>
      <c r="L169">
        <v>300</v>
      </c>
      <c r="M169">
        <v>5</v>
      </c>
    </row>
    <row r="170" spans="1:13">
      <c r="A170" s="28">
        <v>26040</v>
      </c>
      <c r="B170" t="s">
        <v>458</v>
      </c>
      <c r="C170">
        <v>2010</v>
      </c>
      <c r="D170">
        <v>0</v>
      </c>
      <c r="E170">
        <v>0</v>
      </c>
      <c r="F170">
        <v>85</v>
      </c>
      <c r="G170">
        <v>23.65</v>
      </c>
      <c r="H170" t="s">
        <v>397</v>
      </c>
      <c r="I170" t="s">
        <v>397</v>
      </c>
      <c r="J170">
        <v>3047</v>
      </c>
      <c r="K170">
        <v>0.66</v>
      </c>
      <c r="L170">
        <v>100</v>
      </c>
      <c r="M170">
        <v>4.9800000000000004</v>
      </c>
    </row>
    <row r="171" spans="1:13">
      <c r="A171" s="28">
        <v>93050</v>
      </c>
      <c r="B171" t="s">
        <v>97</v>
      </c>
      <c r="C171">
        <v>14140</v>
      </c>
      <c r="D171">
        <v>0</v>
      </c>
      <c r="E171">
        <v>0</v>
      </c>
      <c r="F171">
        <v>5351</v>
      </c>
      <c r="G171">
        <v>2.64</v>
      </c>
      <c r="H171" t="s">
        <v>397</v>
      </c>
      <c r="I171" t="s">
        <v>397</v>
      </c>
      <c r="J171">
        <v>51612</v>
      </c>
      <c r="K171">
        <v>0.27</v>
      </c>
      <c r="L171">
        <v>700</v>
      </c>
      <c r="M171">
        <v>4.95</v>
      </c>
    </row>
    <row r="172" spans="1:13">
      <c r="A172" s="28">
        <v>9580</v>
      </c>
      <c r="B172" t="s">
        <v>150</v>
      </c>
      <c r="C172">
        <v>3040</v>
      </c>
      <c r="D172">
        <v>0</v>
      </c>
      <c r="E172">
        <v>0</v>
      </c>
      <c r="F172">
        <v>721</v>
      </c>
      <c r="G172">
        <v>4.22</v>
      </c>
      <c r="H172">
        <v>156</v>
      </c>
      <c r="I172">
        <v>19.45</v>
      </c>
      <c r="J172">
        <v>10484</v>
      </c>
      <c r="K172">
        <v>0.28999999999999998</v>
      </c>
      <c r="L172">
        <v>150</v>
      </c>
      <c r="M172">
        <v>4.93</v>
      </c>
    </row>
    <row r="173" spans="1:13">
      <c r="A173" s="28">
        <v>34590</v>
      </c>
      <c r="B173" t="s">
        <v>190</v>
      </c>
      <c r="C173">
        <v>25400</v>
      </c>
      <c r="D173">
        <v>50</v>
      </c>
      <c r="E173">
        <v>0.2</v>
      </c>
      <c r="F173">
        <v>2956</v>
      </c>
      <c r="G173">
        <v>8.59</v>
      </c>
      <c r="H173" t="s">
        <v>397</v>
      </c>
      <c r="I173" t="s">
        <v>397</v>
      </c>
      <c r="J173">
        <v>48520</v>
      </c>
      <c r="K173">
        <v>0.52</v>
      </c>
      <c r="L173">
        <v>1250</v>
      </c>
      <c r="M173">
        <v>4.92</v>
      </c>
    </row>
    <row r="174" spans="1:13">
      <c r="A174" s="28">
        <v>2460</v>
      </c>
      <c r="B174" t="s">
        <v>243</v>
      </c>
      <c r="C174">
        <v>10160</v>
      </c>
      <c r="D174">
        <v>0</v>
      </c>
      <c r="E174">
        <v>0</v>
      </c>
      <c r="F174">
        <v>2229</v>
      </c>
      <c r="G174">
        <v>4.5599999999999996</v>
      </c>
      <c r="H174" t="s">
        <v>397</v>
      </c>
      <c r="I174" t="s">
        <v>397</v>
      </c>
      <c r="J174">
        <v>39046</v>
      </c>
      <c r="K174">
        <v>0.26</v>
      </c>
      <c r="L174">
        <v>500</v>
      </c>
      <c r="M174">
        <v>4.92</v>
      </c>
    </row>
    <row r="175" spans="1:13">
      <c r="A175" s="28">
        <v>70</v>
      </c>
      <c r="B175" t="s">
        <v>157</v>
      </c>
      <c r="C175">
        <v>71300</v>
      </c>
      <c r="D175">
        <v>-1400</v>
      </c>
      <c r="E175">
        <v>-1.93</v>
      </c>
      <c r="F175">
        <v>9173</v>
      </c>
      <c r="G175">
        <v>7.77</v>
      </c>
      <c r="H175" t="s">
        <v>397</v>
      </c>
      <c r="I175" t="s">
        <v>397</v>
      </c>
      <c r="J175">
        <v>240995</v>
      </c>
      <c r="K175">
        <v>0.3</v>
      </c>
      <c r="L175">
        <v>3500</v>
      </c>
      <c r="M175">
        <v>4.91</v>
      </c>
    </row>
    <row r="176" spans="1:13">
      <c r="A176" s="28">
        <v>9680</v>
      </c>
      <c r="B176" t="s">
        <v>149</v>
      </c>
      <c r="C176">
        <v>8170</v>
      </c>
      <c r="D176">
        <v>60</v>
      </c>
      <c r="E176">
        <v>0.74</v>
      </c>
      <c r="F176">
        <v>988</v>
      </c>
      <c r="G176">
        <v>8.27</v>
      </c>
      <c r="H176" t="s">
        <v>397</v>
      </c>
      <c r="I176" t="s">
        <v>397</v>
      </c>
      <c r="J176">
        <v>19912</v>
      </c>
      <c r="K176">
        <v>0.41</v>
      </c>
      <c r="L176">
        <v>400</v>
      </c>
      <c r="M176">
        <v>4.9000000000000004</v>
      </c>
    </row>
    <row r="177" spans="1:13">
      <c r="A177" s="28">
        <v>71055</v>
      </c>
      <c r="B177" t="s">
        <v>459</v>
      </c>
      <c r="C177">
        <v>48400</v>
      </c>
      <c r="D177">
        <v>-1200</v>
      </c>
      <c r="E177">
        <v>-2.42</v>
      </c>
      <c r="F177" t="s">
        <v>397</v>
      </c>
      <c r="G177" t="s">
        <v>397</v>
      </c>
      <c r="H177" t="s">
        <v>397</v>
      </c>
      <c r="I177" t="s">
        <v>397</v>
      </c>
      <c r="J177" t="s">
        <v>397</v>
      </c>
      <c r="K177" t="s">
        <v>397</v>
      </c>
      <c r="L177">
        <v>2362</v>
      </c>
      <c r="M177">
        <v>4.88</v>
      </c>
    </row>
    <row r="178" spans="1:13">
      <c r="A178" s="28">
        <v>10770</v>
      </c>
      <c r="B178" t="s">
        <v>460</v>
      </c>
      <c r="C178">
        <v>3075</v>
      </c>
      <c r="D178">
        <v>0</v>
      </c>
      <c r="E178">
        <v>0</v>
      </c>
      <c r="F178" t="s">
        <v>397</v>
      </c>
      <c r="G178" t="s">
        <v>397</v>
      </c>
      <c r="H178" t="s">
        <v>397</v>
      </c>
      <c r="I178" t="s">
        <v>397</v>
      </c>
      <c r="J178">
        <v>7178</v>
      </c>
      <c r="K178">
        <v>0.43</v>
      </c>
      <c r="L178">
        <v>150</v>
      </c>
      <c r="M178">
        <v>4.88</v>
      </c>
    </row>
    <row r="179" spans="1:13">
      <c r="A179" s="28">
        <v>96770</v>
      </c>
      <c r="B179" t="s">
        <v>111</v>
      </c>
      <c r="C179">
        <v>120000</v>
      </c>
      <c r="D179">
        <v>-700</v>
      </c>
      <c r="E179">
        <v>-0.57999999999999996</v>
      </c>
      <c r="F179">
        <v>18214</v>
      </c>
      <c r="G179">
        <v>6.59</v>
      </c>
      <c r="H179">
        <v>12428</v>
      </c>
      <c r="I179">
        <v>9.66</v>
      </c>
      <c r="J179">
        <v>229593</v>
      </c>
      <c r="K179">
        <v>0.52</v>
      </c>
      <c r="L179">
        <v>5840</v>
      </c>
      <c r="M179">
        <v>4.87</v>
      </c>
    </row>
    <row r="180" spans="1:13">
      <c r="A180" s="28">
        <v>1800</v>
      </c>
      <c r="B180" t="s">
        <v>185</v>
      </c>
      <c r="C180">
        <v>14440</v>
      </c>
      <c r="D180">
        <v>100</v>
      </c>
      <c r="E180">
        <v>0.7</v>
      </c>
      <c r="F180">
        <v>1712</v>
      </c>
      <c r="G180">
        <v>8.43</v>
      </c>
      <c r="H180">
        <v>1632</v>
      </c>
      <c r="I180">
        <v>8.85</v>
      </c>
      <c r="J180">
        <v>35982</v>
      </c>
      <c r="K180">
        <v>0.4</v>
      </c>
      <c r="L180">
        <v>700</v>
      </c>
      <c r="M180">
        <v>4.8499999999999996</v>
      </c>
    </row>
    <row r="181" spans="1:13">
      <c r="A181" s="28">
        <v>5305</v>
      </c>
      <c r="B181" t="s">
        <v>461</v>
      </c>
      <c r="C181">
        <v>68100</v>
      </c>
      <c r="D181">
        <v>0</v>
      </c>
      <c r="E181">
        <v>0</v>
      </c>
      <c r="F181" t="s">
        <v>397</v>
      </c>
      <c r="G181" t="s">
        <v>397</v>
      </c>
      <c r="H181" t="s">
        <v>397</v>
      </c>
      <c r="I181" t="s">
        <v>397</v>
      </c>
      <c r="J181" t="s">
        <v>397</v>
      </c>
      <c r="K181" t="s">
        <v>397</v>
      </c>
      <c r="L181">
        <v>3305</v>
      </c>
      <c r="M181">
        <v>4.8499999999999996</v>
      </c>
    </row>
    <row r="182" spans="1:13">
      <c r="A182" s="28">
        <v>9160</v>
      </c>
      <c r="B182" t="s">
        <v>107</v>
      </c>
      <c r="C182">
        <v>4130</v>
      </c>
      <c r="D182">
        <v>160</v>
      </c>
      <c r="E182">
        <v>4.03</v>
      </c>
      <c r="F182">
        <v>1381</v>
      </c>
      <c r="G182">
        <v>2.99</v>
      </c>
      <c r="H182" t="s">
        <v>397</v>
      </c>
      <c r="I182" t="s">
        <v>397</v>
      </c>
      <c r="J182">
        <v>11050</v>
      </c>
      <c r="K182">
        <v>0.37</v>
      </c>
      <c r="L182">
        <v>200</v>
      </c>
      <c r="M182">
        <v>4.84</v>
      </c>
    </row>
    <row r="183" spans="1:13">
      <c r="A183" s="28">
        <v>3460</v>
      </c>
      <c r="B183" t="s">
        <v>462</v>
      </c>
      <c r="C183">
        <v>2280</v>
      </c>
      <c r="D183">
        <v>5</v>
      </c>
      <c r="E183">
        <v>0.22</v>
      </c>
      <c r="F183">
        <v>67</v>
      </c>
      <c r="G183">
        <v>34.03</v>
      </c>
      <c r="H183" t="s">
        <v>397</v>
      </c>
      <c r="I183" t="s">
        <v>397</v>
      </c>
      <c r="J183">
        <v>10892</v>
      </c>
      <c r="K183">
        <v>0.21</v>
      </c>
      <c r="L183">
        <v>110</v>
      </c>
      <c r="M183">
        <v>4.82</v>
      </c>
    </row>
    <row r="184" spans="1:13">
      <c r="A184" s="28">
        <v>8370</v>
      </c>
      <c r="B184" t="s">
        <v>285</v>
      </c>
      <c r="C184">
        <v>4155</v>
      </c>
      <c r="D184">
        <v>-5</v>
      </c>
      <c r="E184">
        <v>-0.12</v>
      </c>
      <c r="F184">
        <v>739</v>
      </c>
      <c r="G184">
        <v>5.62</v>
      </c>
      <c r="H184" t="s">
        <v>397</v>
      </c>
      <c r="I184" t="s">
        <v>397</v>
      </c>
      <c r="J184">
        <v>7508</v>
      </c>
      <c r="K184">
        <v>0.55000000000000004</v>
      </c>
      <c r="L184">
        <v>200</v>
      </c>
      <c r="M184">
        <v>4.8099999999999996</v>
      </c>
    </row>
    <row r="185" spans="1:13">
      <c r="A185" s="28">
        <v>67570</v>
      </c>
      <c r="B185" t="s">
        <v>463</v>
      </c>
      <c r="C185">
        <v>2500</v>
      </c>
      <c r="D185">
        <v>-40</v>
      </c>
      <c r="E185">
        <v>-1.57</v>
      </c>
      <c r="F185" t="s">
        <v>397</v>
      </c>
      <c r="G185" t="s">
        <v>397</v>
      </c>
      <c r="H185" t="s">
        <v>397</v>
      </c>
      <c r="I185" t="s">
        <v>397</v>
      </c>
      <c r="J185">
        <v>4693</v>
      </c>
      <c r="K185">
        <v>0.53</v>
      </c>
      <c r="L185">
        <v>120</v>
      </c>
      <c r="M185">
        <v>4.8</v>
      </c>
    </row>
    <row r="186" spans="1:13">
      <c r="A186" s="28">
        <v>300720</v>
      </c>
      <c r="B186" t="s">
        <v>232</v>
      </c>
      <c r="C186">
        <v>12090</v>
      </c>
      <c r="D186">
        <v>-90</v>
      </c>
      <c r="E186">
        <v>-0.74</v>
      </c>
      <c r="F186">
        <v>1138</v>
      </c>
      <c r="G186">
        <v>10.62</v>
      </c>
      <c r="H186">
        <v>2685</v>
      </c>
      <c r="I186">
        <v>4.5</v>
      </c>
      <c r="J186">
        <v>20910</v>
      </c>
      <c r="K186">
        <v>0.57999999999999996</v>
      </c>
      <c r="L186">
        <v>580</v>
      </c>
      <c r="M186">
        <v>4.8</v>
      </c>
    </row>
    <row r="187" spans="1:13">
      <c r="A187" s="28">
        <v>124560</v>
      </c>
      <c r="B187" t="s">
        <v>292</v>
      </c>
      <c r="C187">
        <v>3180</v>
      </c>
      <c r="D187">
        <v>-55</v>
      </c>
      <c r="E187">
        <v>-1.7</v>
      </c>
      <c r="F187">
        <v>2494</v>
      </c>
      <c r="G187">
        <v>1.28</v>
      </c>
      <c r="H187" t="s">
        <v>397</v>
      </c>
      <c r="I187" t="s">
        <v>397</v>
      </c>
      <c r="J187">
        <v>5614</v>
      </c>
      <c r="K187">
        <v>0.56999999999999995</v>
      </c>
      <c r="L187">
        <v>150</v>
      </c>
      <c r="M187">
        <v>4.72</v>
      </c>
    </row>
    <row r="188" spans="1:13">
      <c r="A188" s="28">
        <v>145995</v>
      </c>
      <c r="B188" t="s">
        <v>464</v>
      </c>
      <c r="C188">
        <v>27600</v>
      </c>
      <c r="D188">
        <v>200</v>
      </c>
      <c r="E188">
        <v>0.73</v>
      </c>
      <c r="F188" t="s">
        <v>397</v>
      </c>
      <c r="G188" t="s">
        <v>397</v>
      </c>
      <c r="H188" t="s">
        <v>397</v>
      </c>
      <c r="I188" t="s">
        <v>397</v>
      </c>
      <c r="J188" t="s">
        <v>397</v>
      </c>
      <c r="K188" t="s">
        <v>397</v>
      </c>
      <c r="L188">
        <v>1300</v>
      </c>
      <c r="M188">
        <v>4.71</v>
      </c>
    </row>
    <row r="189" spans="1:13">
      <c r="A189" s="28">
        <v>92440</v>
      </c>
      <c r="B189" t="s">
        <v>465</v>
      </c>
      <c r="C189">
        <v>3190</v>
      </c>
      <c r="D189">
        <v>-30</v>
      </c>
      <c r="E189">
        <v>-0.93</v>
      </c>
      <c r="F189">
        <v>150</v>
      </c>
      <c r="G189">
        <v>21.27</v>
      </c>
      <c r="H189" t="s">
        <v>397</v>
      </c>
      <c r="I189" t="s">
        <v>397</v>
      </c>
      <c r="J189">
        <v>8601</v>
      </c>
      <c r="K189">
        <v>0.37</v>
      </c>
      <c r="L189">
        <v>150</v>
      </c>
      <c r="M189">
        <v>4.7</v>
      </c>
    </row>
    <row r="190" spans="1:13">
      <c r="A190" s="28">
        <v>41520</v>
      </c>
      <c r="B190" t="s">
        <v>466</v>
      </c>
      <c r="C190">
        <v>6400</v>
      </c>
      <c r="D190">
        <v>-10</v>
      </c>
      <c r="E190">
        <v>-0.16</v>
      </c>
      <c r="F190" t="s">
        <v>397</v>
      </c>
      <c r="G190" t="s">
        <v>397</v>
      </c>
      <c r="H190" t="s">
        <v>397</v>
      </c>
      <c r="I190" t="s">
        <v>397</v>
      </c>
      <c r="J190">
        <v>16304</v>
      </c>
      <c r="K190">
        <v>0.39</v>
      </c>
      <c r="L190">
        <v>300</v>
      </c>
      <c r="M190">
        <v>4.6900000000000004</v>
      </c>
    </row>
    <row r="191" spans="1:13">
      <c r="A191" s="28">
        <v>80</v>
      </c>
      <c r="B191" t="s">
        <v>467</v>
      </c>
      <c r="C191">
        <v>20300</v>
      </c>
      <c r="D191">
        <v>0</v>
      </c>
      <c r="E191">
        <v>0</v>
      </c>
      <c r="F191">
        <v>1250</v>
      </c>
      <c r="G191">
        <v>16.239999999999998</v>
      </c>
      <c r="H191">
        <v>1265</v>
      </c>
      <c r="I191">
        <v>16.05</v>
      </c>
      <c r="J191">
        <v>16906</v>
      </c>
      <c r="K191">
        <v>1.2</v>
      </c>
      <c r="L191">
        <v>950</v>
      </c>
      <c r="M191">
        <v>4.68</v>
      </c>
    </row>
    <row r="192" spans="1:13">
      <c r="A192" s="28">
        <v>5389</v>
      </c>
      <c r="B192" t="s">
        <v>468</v>
      </c>
      <c r="C192">
        <v>151000</v>
      </c>
      <c r="D192">
        <v>-5700</v>
      </c>
      <c r="E192">
        <v>-3.64</v>
      </c>
      <c r="F192" t="s">
        <v>397</v>
      </c>
      <c r="G192" t="s">
        <v>397</v>
      </c>
      <c r="H192" t="s">
        <v>397</v>
      </c>
      <c r="I192" t="s">
        <v>397</v>
      </c>
      <c r="J192" t="s">
        <v>397</v>
      </c>
      <c r="K192" t="s">
        <v>397</v>
      </c>
      <c r="L192">
        <v>7050</v>
      </c>
      <c r="M192">
        <v>4.67</v>
      </c>
    </row>
    <row r="193" spans="1:13">
      <c r="A193" s="28">
        <v>95720</v>
      </c>
      <c r="B193" t="s">
        <v>469</v>
      </c>
      <c r="C193">
        <v>2360</v>
      </c>
      <c r="D193">
        <v>-5</v>
      </c>
      <c r="E193">
        <v>-0.21</v>
      </c>
      <c r="F193">
        <v>27</v>
      </c>
      <c r="G193">
        <v>87.41</v>
      </c>
      <c r="H193">
        <v>219</v>
      </c>
      <c r="I193">
        <v>10.75</v>
      </c>
      <c r="J193">
        <v>3142</v>
      </c>
      <c r="K193">
        <v>0.75</v>
      </c>
      <c r="L193">
        <v>110</v>
      </c>
      <c r="M193">
        <v>4.66</v>
      </c>
    </row>
    <row r="194" spans="1:13">
      <c r="A194" s="28">
        <v>3080</v>
      </c>
      <c r="B194" t="s">
        <v>164</v>
      </c>
      <c r="C194">
        <v>2900</v>
      </c>
      <c r="D194">
        <v>0</v>
      </c>
      <c r="E194">
        <v>0</v>
      </c>
      <c r="F194">
        <v>204</v>
      </c>
      <c r="G194">
        <v>14.22</v>
      </c>
      <c r="H194" t="s">
        <v>397</v>
      </c>
      <c r="I194" t="s">
        <v>397</v>
      </c>
      <c r="J194">
        <v>6994</v>
      </c>
      <c r="K194">
        <v>0.41</v>
      </c>
      <c r="L194">
        <v>135</v>
      </c>
      <c r="M194">
        <v>4.66</v>
      </c>
    </row>
    <row r="195" spans="1:13">
      <c r="A195" s="28">
        <v>36190</v>
      </c>
      <c r="B195" t="s">
        <v>283</v>
      </c>
      <c r="C195">
        <v>27950</v>
      </c>
      <c r="D195">
        <v>50</v>
      </c>
      <c r="E195">
        <v>0.18</v>
      </c>
      <c r="F195">
        <v>4707</v>
      </c>
      <c r="G195">
        <v>5.94</v>
      </c>
      <c r="H195" t="s">
        <v>397</v>
      </c>
      <c r="I195" t="s">
        <v>397</v>
      </c>
      <c r="J195">
        <v>50316</v>
      </c>
      <c r="K195">
        <v>0.56000000000000005</v>
      </c>
      <c r="L195">
        <v>1300</v>
      </c>
      <c r="M195">
        <v>4.6500000000000004</v>
      </c>
    </row>
    <row r="196" spans="1:13">
      <c r="A196" s="28">
        <v>34300</v>
      </c>
      <c r="B196" t="s">
        <v>470</v>
      </c>
      <c r="C196">
        <v>10830</v>
      </c>
      <c r="D196">
        <v>-150</v>
      </c>
      <c r="E196">
        <v>-1.37</v>
      </c>
      <c r="F196" t="s">
        <v>397</v>
      </c>
      <c r="G196" t="s">
        <v>397</v>
      </c>
      <c r="H196" t="s">
        <v>397</v>
      </c>
      <c r="I196" t="s">
        <v>397</v>
      </c>
      <c r="J196">
        <v>70930</v>
      </c>
      <c r="K196">
        <v>0.15</v>
      </c>
      <c r="L196">
        <v>500</v>
      </c>
      <c r="M196">
        <v>4.62</v>
      </c>
    </row>
    <row r="197" spans="1:13">
      <c r="A197" s="28">
        <v>145</v>
      </c>
      <c r="B197" t="s">
        <v>471</v>
      </c>
      <c r="C197">
        <v>12000</v>
      </c>
      <c r="D197">
        <v>0</v>
      </c>
      <c r="E197">
        <v>0</v>
      </c>
      <c r="F197" t="s">
        <v>397</v>
      </c>
      <c r="G197" t="s">
        <v>397</v>
      </c>
      <c r="H197" t="s">
        <v>397</v>
      </c>
      <c r="I197" t="s">
        <v>397</v>
      </c>
      <c r="J197" t="s">
        <v>397</v>
      </c>
      <c r="K197" t="s">
        <v>397</v>
      </c>
      <c r="L197">
        <v>550</v>
      </c>
      <c r="M197">
        <v>4.58</v>
      </c>
    </row>
    <row r="198" spans="1:13">
      <c r="A198" s="28">
        <v>3555</v>
      </c>
      <c r="B198" t="s">
        <v>472</v>
      </c>
      <c r="C198">
        <v>66700</v>
      </c>
      <c r="D198">
        <v>-700</v>
      </c>
      <c r="E198">
        <v>-1.04</v>
      </c>
      <c r="F198" t="s">
        <v>397</v>
      </c>
      <c r="G198" t="s">
        <v>397</v>
      </c>
      <c r="H198" t="s">
        <v>397</v>
      </c>
      <c r="I198" t="s">
        <v>397</v>
      </c>
      <c r="J198" t="s">
        <v>397</v>
      </c>
      <c r="K198" t="s">
        <v>397</v>
      </c>
      <c r="L198">
        <v>3050</v>
      </c>
      <c r="M198">
        <v>4.57</v>
      </c>
    </row>
    <row r="199" spans="1:13">
      <c r="A199" s="28">
        <v>227840</v>
      </c>
      <c r="B199" t="s">
        <v>239</v>
      </c>
      <c r="C199">
        <v>10940</v>
      </c>
      <c r="D199">
        <v>-10</v>
      </c>
      <c r="E199">
        <v>-0.09</v>
      </c>
      <c r="F199">
        <v>3810</v>
      </c>
      <c r="G199">
        <v>2.87</v>
      </c>
      <c r="H199" t="s">
        <v>397</v>
      </c>
      <c r="I199" t="s">
        <v>397</v>
      </c>
      <c r="J199">
        <v>25341</v>
      </c>
      <c r="K199">
        <v>0.43</v>
      </c>
      <c r="L199">
        <v>500</v>
      </c>
      <c r="M199">
        <v>4.57</v>
      </c>
    </row>
    <row r="200" spans="1:13">
      <c r="A200" s="28">
        <v>2995</v>
      </c>
      <c r="B200" t="s">
        <v>473</v>
      </c>
      <c r="C200">
        <v>12080</v>
      </c>
      <c r="D200">
        <v>-220</v>
      </c>
      <c r="E200">
        <v>-1.79</v>
      </c>
      <c r="F200" t="s">
        <v>397</v>
      </c>
      <c r="G200" t="s">
        <v>397</v>
      </c>
      <c r="H200" t="s">
        <v>397</v>
      </c>
      <c r="I200" t="s">
        <v>397</v>
      </c>
      <c r="J200" t="s">
        <v>397</v>
      </c>
      <c r="K200" t="s">
        <v>397</v>
      </c>
      <c r="L200">
        <v>550</v>
      </c>
      <c r="M200">
        <v>4.55</v>
      </c>
    </row>
    <row r="201" spans="1:13">
      <c r="A201" s="28">
        <v>33920</v>
      </c>
      <c r="B201" t="s">
        <v>358</v>
      </c>
      <c r="C201">
        <v>5070</v>
      </c>
      <c r="D201">
        <v>-10</v>
      </c>
      <c r="E201">
        <v>-0.2</v>
      </c>
      <c r="F201" t="s">
        <v>397</v>
      </c>
      <c r="G201" t="s">
        <v>397</v>
      </c>
      <c r="H201" t="s">
        <v>397</v>
      </c>
      <c r="I201" t="s">
        <v>397</v>
      </c>
      <c r="J201">
        <v>18143</v>
      </c>
      <c r="K201">
        <v>0.28000000000000003</v>
      </c>
      <c r="L201">
        <v>230</v>
      </c>
      <c r="M201">
        <v>4.54</v>
      </c>
    </row>
    <row r="202" spans="1:13">
      <c r="A202" s="28">
        <v>5830</v>
      </c>
      <c r="B202" t="s">
        <v>474</v>
      </c>
      <c r="C202">
        <v>101900</v>
      </c>
      <c r="D202">
        <v>-4300</v>
      </c>
      <c r="E202">
        <v>-4.05</v>
      </c>
      <c r="F202">
        <v>16373</v>
      </c>
      <c r="G202">
        <v>6.22</v>
      </c>
      <c r="H202">
        <v>20030</v>
      </c>
      <c r="I202">
        <v>5.09</v>
      </c>
      <c r="J202">
        <v>89508</v>
      </c>
      <c r="K202">
        <v>1.1399999999999999</v>
      </c>
      <c r="L202">
        <v>4600</v>
      </c>
      <c r="M202">
        <v>4.51</v>
      </c>
    </row>
    <row r="203" spans="1:13">
      <c r="A203" s="28">
        <v>267290</v>
      </c>
      <c r="B203" t="s">
        <v>117</v>
      </c>
      <c r="C203">
        <v>19380</v>
      </c>
      <c r="D203">
        <v>70</v>
      </c>
      <c r="E203">
        <v>0.36</v>
      </c>
      <c r="F203">
        <v>4105</v>
      </c>
      <c r="G203">
        <v>4.72</v>
      </c>
      <c r="H203" t="s">
        <v>397</v>
      </c>
      <c r="I203" t="s">
        <v>397</v>
      </c>
      <c r="J203">
        <v>67007</v>
      </c>
      <c r="K203">
        <v>0.28999999999999998</v>
      </c>
      <c r="L203">
        <v>875</v>
      </c>
      <c r="M203">
        <v>4.51</v>
      </c>
    </row>
    <row r="204" spans="1:13">
      <c r="A204" s="28">
        <v>5387</v>
      </c>
      <c r="B204" t="s">
        <v>475</v>
      </c>
      <c r="C204">
        <v>157700</v>
      </c>
      <c r="D204">
        <v>-8300</v>
      </c>
      <c r="E204">
        <v>-5</v>
      </c>
      <c r="F204" t="s">
        <v>397</v>
      </c>
      <c r="G204" t="s">
        <v>397</v>
      </c>
      <c r="H204" t="s">
        <v>397</v>
      </c>
      <c r="I204" t="s">
        <v>397</v>
      </c>
      <c r="J204" t="s">
        <v>397</v>
      </c>
      <c r="K204" t="s">
        <v>397</v>
      </c>
      <c r="L204">
        <v>7100</v>
      </c>
      <c r="M204">
        <v>4.5</v>
      </c>
    </row>
    <row r="205" spans="1:13">
      <c r="A205" s="28">
        <v>23530</v>
      </c>
      <c r="B205" t="s">
        <v>476</v>
      </c>
      <c r="C205">
        <v>73600</v>
      </c>
      <c r="D205">
        <v>1100</v>
      </c>
      <c r="E205">
        <v>1.52</v>
      </c>
      <c r="F205" t="s">
        <v>397</v>
      </c>
      <c r="G205" t="s">
        <v>397</v>
      </c>
      <c r="H205">
        <v>9362</v>
      </c>
      <c r="I205">
        <v>7.86</v>
      </c>
      <c r="J205">
        <v>338431</v>
      </c>
      <c r="K205">
        <v>0.22</v>
      </c>
      <c r="L205">
        <v>3300</v>
      </c>
      <c r="M205">
        <v>4.4800000000000004</v>
      </c>
    </row>
    <row r="206" spans="1:13">
      <c r="A206" s="28">
        <v>2025</v>
      </c>
      <c r="B206" t="s">
        <v>477</v>
      </c>
      <c r="C206">
        <v>13390</v>
      </c>
      <c r="D206">
        <v>100</v>
      </c>
      <c r="E206">
        <v>0.75</v>
      </c>
      <c r="F206" t="s">
        <v>397</v>
      </c>
      <c r="G206" t="s">
        <v>397</v>
      </c>
      <c r="H206" t="s">
        <v>397</v>
      </c>
      <c r="I206" t="s">
        <v>397</v>
      </c>
      <c r="J206" t="s">
        <v>397</v>
      </c>
      <c r="K206" t="s">
        <v>397</v>
      </c>
      <c r="L206">
        <v>600</v>
      </c>
      <c r="M206">
        <v>4.4800000000000004</v>
      </c>
    </row>
    <row r="207" spans="1:13">
      <c r="A207" s="28">
        <v>950</v>
      </c>
      <c r="B207" t="s">
        <v>196</v>
      </c>
      <c r="C207">
        <v>22300</v>
      </c>
      <c r="D207">
        <v>50</v>
      </c>
      <c r="E207">
        <v>0.22</v>
      </c>
      <c r="F207">
        <v>59197</v>
      </c>
      <c r="G207">
        <v>0.38</v>
      </c>
      <c r="H207" t="s">
        <v>397</v>
      </c>
      <c r="I207" t="s">
        <v>397</v>
      </c>
      <c r="J207">
        <v>184874</v>
      </c>
      <c r="K207">
        <v>0.12</v>
      </c>
      <c r="L207">
        <v>1000</v>
      </c>
      <c r="M207">
        <v>4.4800000000000004</v>
      </c>
    </row>
    <row r="208" spans="1:13">
      <c r="A208" s="28">
        <v>810</v>
      </c>
      <c r="B208" t="s">
        <v>478</v>
      </c>
      <c r="C208">
        <v>309500</v>
      </c>
      <c r="D208">
        <v>-7000</v>
      </c>
      <c r="E208">
        <v>-2.21</v>
      </c>
      <c r="F208">
        <v>30113</v>
      </c>
      <c r="G208">
        <v>10.28</v>
      </c>
      <c r="H208">
        <v>39032</v>
      </c>
      <c r="I208">
        <v>7.93</v>
      </c>
      <c r="J208">
        <v>276525</v>
      </c>
      <c r="K208">
        <v>1.1200000000000001</v>
      </c>
      <c r="L208">
        <v>13800</v>
      </c>
      <c r="M208">
        <v>4.46</v>
      </c>
    </row>
    <row r="209" spans="1:13">
      <c r="A209" s="28">
        <v>5385</v>
      </c>
      <c r="B209" t="s">
        <v>479</v>
      </c>
      <c r="C209">
        <v>158000</v>
      </c>
      <c r="D209">
        <v>-6300</v>
      </c>
      <c r="E209">
        <v>-3.83</v>
      </c>
      <c r="F209" t="s">
        <v>397</v>
      </c>
      <c r="G209" t="s">
        <v>397</v>
      </c>
      <c r="H209" t="s">
        <v>397</v>
      </c>
      <c r="I209" t="s">
        <v>397</v>
      </c>
      <c r="J209" t="s">
        <v>397</v>
      </c>
      <c r="K209" t="s">
        <v>397</v>
      </c>
      <c r="L209">
        <v>7050</v>
      </c>
      <c r="M209">
        <v>4.46</v>
      </c>
    </row>
    <row r="210" spans="1:13">
      <c r="A210" s="28">
        <v>23760</v>
      </c>
      <c r="B210" t="s">
        <v>291</v>
      </c>
      <c r="C210">
        <v>630</v>
      </c>
      <c r="D210">
        <v>-3</v>
      </c>
      <c r="E210">
        <v>-0.47</v>
      </c>
      <c r="F210">
        <v>200</v>
      </c>
      <c r="G210">
        <v>3.15</v>
      </c>
      <c r="H210" t="s">
        <v>397</v>
      </c>
      <c r="I210" t="s">
        <v>397</v>
      </c>
      <c r="J210">
        <v>1461</v>
      </c>
      <c r="K210">
        <v>0.43</v>
      </c>
      <c r="L210">
        <v>28</v>
      </c>
      <c r="M210">
        <v>4.4400000000000004</v>
      </c>
    </row>
    <row r="211" spans="1:13">
      <c r="A211" s="28">
        <v>10130</v>
      </c>
      <c r="B211" t="s">
        <v>119</v>
      </c>
      <c r="C211">
        <v>450500</v>
      </c>
      <c r="D211">
        <v>-4000</v>
      </c>
      <c r="E211">
        <v>-0.88</v>
      </c>
      <c r="F211">
        <v>42967</v>
      </c>
      <c r="G211">
        <v>10.48</v>
      </c>
      <c r="H211">
        <v>28197</v>
      </c>
      <c r="I211">
        <v>15.98</v>
      </c>
      <c r="J211">
        <v>455251</v>
      </c>
      <c r="K211">
        <v>0.99</v>
      </c>
      <c r="L211">
        <v>20000</v>
      </c>
      <c r="M211">
        <v>4.4400000000000004</v>
      </c>
    </row>
    <row r="212" spans="1:13">
      <c r="A212" s="28">
        <v>383800</v>
      </c>
      <c r="B212" t="s">
        <v>101</v>
      </c>
      <c r="C212">
        <v>7000</v>
      </c>
      <c r="D212">
        <v>-30</v>
      </c>
      <c r="E212">
        <v>-0.43</v>
      </c>
      <c r="F212">
        <v>2190</v>
      </c>
      <c r="G212">
        <v>3.2</v>
      </c>
      <c r="H212">
        <v>1508</v>
      </c>
      <c r="I212">
        <v>4.6399999999999997</v>
      </c>
      <c r="J212">
        <v>21133</v>
      </c>
      <c r="K212">
        <v>0.33</v>
      </c>
      <c r="L212">
        <v>310</v>
      </c>
      <c r="M212">
        <v>4.43</v>
      </c>
    </row>
    <row r="213" spans="1:13">
      <c r="A213" s="28">
        <v>44340</v>
      </c>
      <c r="B213" t="s">
        <v>480</v>
      </c>
      <c r="C213">
        <v>9060</v>
      </c>
      <c r="D213">
        <v>-80</v>
      </c>
      <c r="E213">
        <v>-0.88</v>
      </c>
      <c r="F213">
        <v>138</v>
      </c>
      <c r="G213">
        <v>65.650000000000006</v>
      </c>
      <c r="H213" t="s">
        <v>397</v>
      </c>
      <c r="I213" t="s">
        <v>397</v>
      </c>
      <c r="J213">
        <v>12784</v>
      </c>
      <c r="K213">
        <v>0.71</v>
      </c>
      <c r="L213">
        <v>400</v>
      </c>
      <c r="M213">
        <v>4.42</v>
      </c>
    </row>
    <row r="214" spans="1:13">
      <c r="A214" s="28">
        <v>4960</v>
      </c>
      <c r="B214" t="s">
        <v>230</v>
      </c>
      <c r="C214">
        <v>6800</v>
      </c>
      <c r="D214">
        <v>-50</v>
      </c>
      <c r="E214">
        <v>-0.73</v>
      </c>
      <c r="F214">
        <v>3928</v>
      </c>
      <c r="G214">
        <v>1.73</v>
      </c>
      <c r="H214" t="s">
        <v>397</v>
      </c>
      <c r="I214" t="s">
        <v>397</v>
      </c>
      <c r="J214">
        <v>63050</v>
      </c>
      <c r="K214">
        <v>0.11</v>
      </c>
      <c r="L214">
        <v>300</v>
      </c>
      <c r="M214">
        <v>4.41</v>
      </c>
    </row>
    <row r="215" spans="1:13">
      <c r="A215" s="28">
        <v>192400</v>
      </c>
      <c r="B215" t="s">
        <v>206</v>
      </c>
      <c r="C215">
        <v>18150</v>
      </c>
      <c r="D215">
        <v>70</v>
      </c>
      <c r="E215">
        <v>0.39</v>
      </c>
      <c r="F215">
        <v>3755</v>
      </c>
      <c r="G215">
        <v>4.83</v>
      </c>
      <c r="H215" t="s">
        <v>397</v>
      </c>
      <c r="I215" t="s">
        <v>397</v>
      </c>
      <c r="J215">
        <v>31140</v>
      </c>
      <c r="K215">
        <v>0.57999999999999996</v>
      </c>
      <c r="L215">
        <v>800</v>
      </c>
      <c r="M215">
        <v>4.41</v>
      </c>
    </row>
    <row r="216" spans="1:13">
      <c r="A216" s="28">
        <v>102260</v>
      </c>
      <c r="B216" t="s">
        <v>141</v>
      </c>
      <c r="C216">
        <v>4535</v>
      </c>
      <c r="D216">
        <v>-5</v>
      </c>
      <c r="E216">
        <v>-0.11</v>
      </c>
      <c r="F216">
        <v>714</v>
      </c>
      <c r="G216">
        <v>6.35</v>
      </c>
      <c r="H216" t="s">
        <v>397</v>
      </c>
      <c r="I216" t="s">
        <v>397</v>
      </c>
      <c r="J216">
        <v>7735</v>
      </c>
      <c r="K216">
        <v>0.59</v>
      </c>
      <c r="L216">
        <v>200</v>
      </c>
      <c r="M216">
        <v>4.41</v>
      </c>
    </row>
    <row r="217" spans="1:13">
      <c r="A217" s="28">
        <v>204610</v>
      </c>
      <c r="B217" t="s">
        <v>287</v>
      </c>
      <c r="C217">
        <v>1360</v>
      </c>
      <c r="D217">
        <v>-4</v>
      </c>
      <c r="E217">
        <v>-0.28999999999999998</v>
      </c>
      <c r="F217">
        <v>220</v>
      </c>
      <c r="G217">
        <v>6.18</v>
      </c>
      <c r="H217" t="s">
        <v>397</v>
      </c>
      <c r="I217" t="s">
        <v>397</v>
      </c>
      <c r="J217">
        <v>1498</v>
      </c>
      <c r="K217">
        <v>0.91</v>
      </c>
      <c r="L217">
        <v>60</v>
      </c>
      <c r="M217">
        <v>4.41</v>
      </c>
    </row>
    <row r="218" spans="1:13">
      <c r="A218" s="28">
        <v>1795</v>
      </c>
      <c r="B218" t="s">
        <v>481</v>
      </c>
      <c r="C218">
        <v>2840</v>
      </c>
      <c r="D218">
        <v>15</v>
      </c>
      <c r="E218">
        <v>0.53</v>
      </c>
      <c r="F218" t="s">
        <v>397</v>
      </c>
      <c r="G218" t="s">
        <v>397</v>
      </c>
      <c r="H218" t="s">
        <v>397</v>
      </c>
      <c r="I218" t="s">
        <v>397</v>
      </c>
      <c r="J218" t="s">
        <v>397</v>
      </c>
      <c r="K218" t="s">
        <v>397</v>
      </c>
      <c r="L218">
        <v>125</v>
      </c>
      <c r="M218">
        <v>4.4000000000000004</v>
      </c>
    </row>
    <row r="219" spans="1:13">
      <c r="A219" s="28">
        <v>298050</v>
      </c>
      <c r="B219" t="s">
        <v>482</v>
      </c>
      <c r="C219">
        <v>342000</v>
      </c>
      <c r="D219">
        <v>-500</v>
      </c>
      <c r="E219">
        <v>-0.15</v>
      </c>
      <c r="F219">
        <v>28053</v>
      </c>
      <c r="G219">
        <v>12.19</v>
      </c>
      <c r="H219">
        <v>28178</v>
      </c>
      <c r="I219">
        <v>12.14</v>
      </c>
      <c r="J219">
        <v>158341</v>
      </c>
      <c r="K219">
        <v>2.16</v>
      </c>
      <c r="L219">
        <v>15000</v>
      </c>
      <c r="M219">
        <v>4.3899999999999997</v>
      </c>
    </row>
    <row r="220" spans="1:13">
      <c r="A220" s="28">
        <v>2810</v>
      </c>
      <c r="B220" t="s">
        <v>158</v>
      </c>
      <c r="C220">
        <v>13720</v>
      </c>
      <c r="D220">
        <v>-240</v>
      </c>
      <c r="E220">
        <v>-1.72</v>
      </c>
      <c r="F220">
        <v>3054</v>
      </c>
      <c r="G220">
        <v>4.49</v>
      </c>
      <c r="H220" t="s">
        <v>397</v>
      </c>
      <c r="I220" t="s">
        <v>397</v>
      </c>
      <c r="J220">
        <v>26238</v>
      </c>
      <c r="K220">
        <v>0.52</v>
      </c>
      <c r="L220">
        <v>600</v>
      </c>
      <c r="M220">
        <v>4.37</v>
      </c>
    </row>
    <row r="221" spans="1:13">
      <c r="A221" s="28" t="s">
        <v>483</v>
      </c>
      <c r="B221" t="s">
        <v>484</v>
      </c>
      <c r="C221">
        <v>35800</v>
      </c>
      <c r="D221">
        <v>-150</v>
      </c>
      <c r="E221">
        <v>-0.42</v>
      </c>
      <c r="F221" t="s">
        <v>397</v>
      </c>
      <c r="G221" t="s">
        <v>397</v>
      </c>
      <c r="H221" t="s">
        <v>397</v>
      </c>
      <c r="I221" t="s">
        <v>397</v>
      </c>
      <c r="J221" t="s">
        <v>397</v>
      </c>
      <c r="K221" t="s">
        <v>397</v>
      </c>
      <c r="L221">
        <v>1550</v>
      </c>
      <c r="M221">
        <v>4.33</v>
      </c>
    </row>
    <row r="222" spans="1:13">
      <c r="A222" s="28">
        <v>320</v>
      </c>
      <c r="B222" t="s">
        <v>127</v>
      </c>
      <c r="C222">
        <v>11560</v>
      </c>
      <c r="D222">
        <v>-210</v>
      </c>
      <c r="E222">
        <v>-1.78</v>
      </c>
      <c r="F222">
        <v>2391</v>
      </c>
      <c r="G222">
        <v>4.83</v>
      </c>
      <c r="H222" t="s">
        <v>397</v>
      </c>
      <c r="I222" t="s">
        <v>397</v>
      </c>
      <c r="J222">
        <v>38479</v>
      </c>
      <c r="K222">
        <v>0.3</v>
      </c>
      <c r="L222">
        <v>500</v>
      </c>
      <c r="M222">
        <v>4.33</v>
      </c>
    </row>
    <row r="223" spans="1:13">
      <c r="A223" s="28">
        <v>5810</v>
      </c>
      <c r="B223" t="s">
        <v>215</v>
      </c>
      <c r="C223">
        <v>30100</v>
      </c>
      <c r="D223">
        <v>-150</v>
      </c>
      <c r="E223">
        <v>-0.5</v>
      </c>
      <c r="F223">
        <v>5150</v>
      </c>
      <c r="G223">
        <v>5.84</v>
      </c>
      <c r="H223" t="s">
        <v>397</v>
      </c>
      <c r="I223" t="s">
        <v>397</v>
      </c>
      <c r="J223">
        <v>67355</v>
      </c>
      <c r="K223">
        <v>0.45</v>
      </c>
      <c r="L223">
        <v>1300</v>
      </c>
      <c r="M223">
        <v>4.32</v>
      </c>
    </row>
    <row r="224" spans="1:13">
      <c r="A224" s="28">
        <v>109860</v>
      </c>
      <c r="B224" t="s">
        <v>294</v>
      </c>
      <c r="C224">
        <v>9260</v>
      </c>
      <c r="D224">
        <v>-40</v>
      </c>
      <c r="E224">
        <v>-0.43</v>
      </c>
      <c r="F224">
        <v>1646</v>
      </c>
      <c r="G224">
        <v>5.63</v>
      </c>
      <c r="H224" t="s">
        <v>397</v>
      </c>
      <c r="I224" t="s">
        <v>397</v>
      </c>
      <c r="J224">
        <v>18061</v>
      </c>
      <c r="K224">
        <v>0.51</v>
      </c>
      <c r="L224">
        <v>400</v>
      </c>
      <c r="M224">
        <v>4.32</v>
      </c>
    </row>
    <row r="225" spans="1:13">
      <c r="A225" s="28">
        <v>306200</v>
      </c>
      <c r="B225" t="s">
        <v>166</v>
      </c>
      <c r="C225">
        <v>138800</v>
      </c>
      <c r="D225">
        <v>1000</v>
      </c>
      <c r="E225">
        <v>0.73</v>
      </c>
      <c r="F225">
        <v>56889</v>
      </c>
      <c r="G225">
        <v>2.44</v>
      </c>
      <c r="H225">
        <v>58014</v>
      </c>
      <c r="I225">
        <v>2.39</v>
      </c>
      <c r="J225">
        <v>296062</v>
      </c>
      <c r="K225">
        <v>0.47</v>
      </c>
      <c r="L225">
        <v>6000</v>
      </c>
      <c r="M225">
        <v>4.32</v>
      </c>
    </row>
    <row r="226" spans="1:13">
      <c r="A226" s="28">
        <v>23410</v>
      </c>
      <c r="B226" t="s">
        <v>288</v>
      </c>
      <c r="C226">
        <v>3940</v>
      </c>
      <c r="D226">
        <v>135</v>
      </c>
      <c r="E226">
        <v>3.55</v>
      </c>
      <c r="F226">
        <v>407</v>
      </c>
      <c r="G226">
        <v>9.68</v>
      </c>
      <c r="H226" t="s">
        <v>397</v>
      </c>
      <c r="I226" t="s">
        <v>397</v>
      </c>
      <c r="J226">
        <v>12896</v>
      </c>
      <c r="K226">
        <v>0.31</v>
      </c>
      <c r="L226">
        <v>170</v>
      </c>
      <c r="M226">
        <v>4.3099999999999996</v>
      </c>
    </row>
    <row r="227" spans="1:13">
      <c r="A227" s="28">
        <v>2920</v>
      </c>
      <c r="B227" t="s">
        <v>187</v>
      </c>
      <c r="C227">
        <v>2790</v>
      </c>
      <c r="D227">
        <v>-10</v>
      </c>
      <c r="E227">
        <v>-0.36</v>
      </c>
      <c r="F227">
        <v>741</v>
      </c>
      <c r="G227">
        <v>3.77</v>
      </c>
      <c r="H227" t="s">
        <v>397</v>
      </c>
      <c r="I227" t="s">
        <v>397</v>
      </c>
      <c r="J227">
        <v>11419</v>
      </c>
      <c r="K227">
        <v>0.24</v>
      </c>
      <c r="L227">
        <v>120</v>
      </c>
      <c r="M227">
        <v>4.3</v>
      </c>
    </row>
    <row r="228" spans="1:13">
      <c r="A228" s="28">
        <v>4590</v>
      </c>
      <c r="B228" t="s">
        <v>290</v>
      </c>
      <c r="C228">
        <v>4075</v>
      </c>
      <c r="D228">
        <v>-5</v>
      </c>
      <c r="E228">
        <v>-0.12</v>
      </c>
      <c r="F228">
        <v>786</v>
      </c>
      <c r="G228">
        <v>5.18</v>
      </c>
      <c r="H228" t="s">
        <v>397</v>
      </c>
      <c r="I228" t="s">
        <v>397</v>
      </c>
      <c r="J228">
        <v>11011</v>
      </c>
      <c r="K228">
        <v>0.37</v>
      </c>
      <c r="L228">
        <v>175</v>
      </c>
      <c r="M228">
        <v>4.29</v>
      </c>
    </row>
    <row r="229" spans="1:13">
      <c r="A229" s="28">
        <v>1685</v>
      </c>
      <c r="B229" t="s">
        <v>485</v>
      </c>
      <c r="C229">
        <v>18880</v>
      </c>
      <c r="D229">
        <v>-370</v>
      </c>
      <c r="E229">
        <v>-1.92</v>
      </c>
      <c r="F229" t="s">
        <v>397</v>
      </c>
      <c r="G229" t="s">
        <v>397</v>
      </c>
      <c r="H229" t="s">
        <v>397</v>
      </c>
      <c r="I229" t="s">
        <v>397</v>
      </c>
      <c r="J229" t="s">
        <v>397</v>
      </c>
      <c r="K229" t="s">
        <v>397</v>
      </c>
      <c r="L229">
        <v>810</v>
      </c>
      <c r="M229">
        <v>4.29</v>
      </c>
    </row>
    <row r="230" spans="1:13">
      <c r="A230" s="28">
        <v>18670</v>
      </c>
      <c r="B230" t="s">
        <v>108</v>
      </c>
      <c r="C230">
        <v>151900</v>
      </c>
      <c r="D230">
        <v>-100</v>
      </c>
      <c r="E230">
        <v>-7.0000000000000007E-2</v>
      </c>
      <c r="F230">
        <v>28644</v>
      </c>
      <c r="G230">
        <v>5.3</v>
      </c>
      <c r="H230">
        <v>26836</v>
      </c>
      <c r="I230">
        <v>5.66</v>
      </c>
      <c r="J230">
        <v>260823</v>
      </c>
      <c r="K230">
        <v>0.57999999999999996</v>
      </c>
      <c r="L230">
        <v>6500</v>
      </c>
      <c r="M230">
        <v>4.28</v>
      </c>
    </row>
    <row r="231" spans="1:13">
      <c r="A231" s="28" t="s">
        <v>486</v>
      </c>
      <c r="B231" t="s">
        <v>487</v>
      </c>
      <c r="C231">
        <v>9480</v>
      </c>
      <c r="D231">
        <v>30</v>
      </c>
      <c r="E231">
        <v>0.32</v>
      </c>
      <c r="F231" t="s">
        <v>397</v>
      </c>
      <c r="G231" t="s">
        <v>397</v>
      </c>
      <c r="H231" t="s">
        <v>397</v>
      </c>
      <c r="I231" t="s">
        <v>397</v>
      </c>
      <c r="J231" t="s">
        <v>397</v>
      </c>
      <c r="K231" t="s">
        <v>397</v>
      </c>
      <c r="L231">
        <v>405</v>
      </c>
      <c r="M231">
        <v>4.2699999999999996</v>
      </c>
    </row>
    <row r="232" spans="1:13">
      <c r="A232" s="28">
        <v>44450</v>
      </c>
      <c r="B232" t="s">
        <v>93</v>
      </c>
      <c r="C232">
        <v>8190</v>
      </c>
      <c r="D232">
        <v>-250</v>
      </c>
      <c r="E232">
        <v>-2.96</v>
      </c>
      <c r="F232">
        <v>2016</v>
      </c>
      <c r="G232">
        <v>4.0599999999999996</v>
      </c>
      <c r="H232" t="s">
        <v>397</v>
      </c>
      <c r="I232" t="s">
        <v>397</v>
      </c>
      <c r="J232">
        <v>17995</v>
      </c>
      <c r="K232">
        <v>0.46</v>
      </c>
      <c r="L232">
        <v>350</v>
      </c>
      <c r="M232">
        <v>4.2699999999999996</v>
      </c>
    </row>
    <row r="233" spans="1:13">
      <c r="A233" s="28">
        <v>215</v>
      </c>
      <c r="B233" t="s">
        <v>488</v>
      </c>
      <c r="C233">
        <v>24650</v>
      </c>
      <c r="D233">
        <v>-950</v>
      </c>
      <c r="E233">
        <v>-3.71</v>
      </c>
      <c r="F233" t="s">
        <v>397</v>
      </c>
      <c r="G233" t="s">
        <v>397</v>
      </c>
      <c r="H233" t="s">
        <v>397</v>
      </c>
      <c r="I233" t="s">
        <v>397</v>
      </c>
      <c r="J233" t="s">
        <v>397</v>
      </c>
      <c r="K233" t="s">
        <v>397</v>
      </c>
      <c r="L233">
        <v>1050</v>
      </c>
      <c r="M233">
        <v>4.26</v>
      </c>
    </row>
    <row r="234" spans="1:13">
      <c r="A234" s="28">
        <v>104700</v>
      </c>
      <c r="B234" t="s">
        <v>224</v>
      </c>
      <c r="C234">
        <v>7050</v>
      </c>
      <c r="D234">
        <v>20</v>
      </c>
      <c r="E234">
        <v>0.28000000000000003</v>
      </c>
      <c r="F234">
        <v>2055</v>
      </c>
      <c r="G234">
        <v>3.43</v>
      </c>
      <c r="H234">
        <v>1667</v>
      </c>
      <c r="I234">
        <v>4.2300000000000004</v>
      </c>
      <c r="J234">
        <v>20372</v>
      </c>
      <c r="K234">
        <v>0.35</v>
      </c>
      <c r="L234">
        <v>300</v>
      </c>
      <c r="M234">
        <v>4.26</v>
      </c>
    </row>
    <row r="235" spans="1:13">
      <c r="A235" s="28">
        <v>1045</v>
      </c>
      <c r="B235" t="s">
        <v>489</v>
      </c>
      <c r="C235">
        <v>59800</v>
      </c>
      <c r="D235">
        <v>2300</v>
      </c>
      <c r="E235">
        <v>4</v>
      </c>
      <c r="F235" t="s">
        <v>397</v>
      </c>
      <c r="G235" t="s">
        <v>397</v>
      </c>
      <c r="H235" t="s">
        <v>397</v>
      </c>
      <c r="I235" t="s">
        <v>397</v>
      </c>
      <c r="J235" t="s">
        <v>397</v>
      </c>
      <c r="K235" t="s">
        <v>397</v>
      </c>
      <c r="L235">
        <v>2550</v>
      </c>
      <c r="M235">
        <v>4.26</v>
      </c>
    </row>
    <row r="236" spans="1:13">
      <c r="A236" s="28">
        <v>39240</v>
      </c>
      <c r="B236" t="s">
        <v>293</v>
      </c>
      <c r="C236">
        <v>3065</v>
      </c>
      <c r="D236">
        <v>35</v>
      </c>
      <c r="E236">
        <v>1.1599999999999999</v>
      </c>
      <c r="F236">
        <v>358</v>
      </c>
      <c r="G236">
        <v>8.56</v>
      </c>
      <c r="H236" t="s">
        <v>397</v>
      </c>
      <c r="I236" t="s">
        <v>397</v>
      </c>
      <c r="J236">
        <v>3837</v>
      </c>
      <c r="K236">
        <v>0.8</v>
      </c>
      <c r="L236">
        <v>130</v>
      </c>
      <c r="M236">
        <v>4.24</v>
      </c>
    </row>
    <row r="237" spans="1:13">
      <c r="A237" s="28">
        <v>12750</v>
      </c>
      <c r="B237" t="s">
        <v>490</v>
      </c>
      <c r="C237">
        <v>58900</v>
      </c>
      <c r="D237">
        <v>-400</v>
      </c>
      <c r="E237">
        <v>-0.67</v>
      </c>
      <c r="F237">
        <v>4467</v>
      </c>
      <c r="G237">
        <v>13.19</v>
      </c>
      <c r="H237">
        <v>4651</v>
      </c>
      <c r="I237">
        <v>12.66</v>
      </c>
      <c r="J237">
        <v>45045</v>
      </c>
      <c r="K237">
        <v>1.31</v>
      </c>
      <c r="L237">
        <v>2500</v>
      </c>
      <c r="M237">
        <v>4.24</v>
      </c>
    </row>
    <row r="238" spans="1:13">
      <c r="A238" s="28">
        <v>111110</v>
      </c>
      <c r="B238" t="s">
        <v>242</v>
      </c>
      <c r="C238">
        <v>7100</v>
      </c>
      <c r="D238">
        <v>-40</v>
      </c>
      <c r="E238">
        <v>-0.56000000000000005</v>
      </c>
      <c r="F238">
        <v>2932</v>
      </c>
      <c r="G238">
        <v>2.42</v>
      </c>
      <c r="H238" t="s">
        <v>397</v>
      </c>
      <c r="I238" t="s">
        <v>397</v>
      </c>
      <c r="J238">
        <v>14510</v>
      </c>
      <c r="K238">
        <v>0.49</v>
      </c>
      <c r="L238">
        <v>300</v>
      </c>
      <c r="M238">
        <v>4.2300000000000004</v>
      </c>
    </row>
    <row r="239" spans="1:13">
      <c r="A239" s="28">
        <v>3070</v>
      </c>
      <c r="B239" t="s">
        <v>204</v>
      </c>
      <c r="C239">
        <v>9470</v>
      </c>
      <c r="D239">
        <v>120</v>
      </c>
      <c r="E239">
        <v>1.28</v>
      </c>
      <c r="F239">
        <v>5710</v>
      </c>
      <c r="G239">
        <v>1.66</v>
      </c>
      <c r="H239">
        <v>635</v>
      </c>
      <c r="I239">
        <v>14.9</v>
      </c>
      <c r="J239">
        <v>22544</v>
      </c>
      <c r="K239">
        <v>0.42</v>
      </c>
      <c r="L239">
        <v>400</v>
      </c>
      <c r="M239">
        <v>4.22</v>
      </c>
    </row>
    <row r="240" spans="1:13">
      <c r="A240" s="28">
        <v>1680</v>
      </c>
      <c r="B240" t="s">
        <v>131</v>
      </c>
      <c r="C240">
        <v>19190</v>
      </c>
      <c r="D240">
        <v>110</v>
      </c>
      <c r="E240">
        <v>0.57999999999999996</v>
      </c>
      <c r="F240">
        <v>2306</v>
      </c>
      <c r="G240">
        <v>8.32</v>
      </c>
      <c r="H240">
        <v>3380</v>
      </c>
      <c r="I240">
        <v>5.68</v>
      </c>
      <c r="J240">
        <v>37616</v>
      </c>
      <c r="K240">
        <v>0.51</v>
      </c>
      <c r="L240">
        <v>800</v>
      </c>
      <c r="M240">
        <v>4.17</v>
      </c>
    </row>
    <row r="241" spans="1:13">
      <c r="A241" s="28">
        <v>26960</v>
      </c>
      <c r="B241" t="s">
        <v>491</v>
      </c>
      <c r="C241">
        <v>17520</v>
      </c>
      <c r="D241">
        <v>-140</v>
      </c>
      <c r="E241">
        <v>-0.79</v>
      </c>
      <c r="F241">
        <v>1701</v>
      </c>
      <c r="G241">
        <v>10.3</v>
      </c>
      <c r="H241" t="s">
        <v>397</v>
      </c>
      <c r="I241" t="s">
        <v>397</v>
      </c>
      <c r="J241">
        <v>15510</v>
      </c>
      <c r="K241">
        <v>1.1299999999999999</v>
      </c>
      <c r="L241">
        <v>730</v>
      </c>
      <c r="M241">
        <v>4.17</v>
      </c>
    </row>
    <row r="242" spans="1:13">
      <c r="A242" s="28">
        <v>272550</v>
      </c>
      <c r="B242" t="s">
        <v>492</v>
      </c>
      <c r="C242">
        <v>17970</v>
      </c>
      <c r="D242">
        <v>20</v>
      </c>
      <c r="E242">
        <v>0.11</v>
      </c>
      <c r="F242">
        <v>777</v>
      </c>
      <c r="G242">
        <v>23.13</v>
      </c>
      <c r="H242" t="s">
        <v>397</v>
      </c>
      <c r="I242" t="s">
        <v>397</v>
      </c>
      <c r="J242">
        <v>22869</v>
      </c>
      <c r="K242">
        <v>0.79</v>
      </c>
      <c r="L242">
        <v>750</v>
      </c>
      <c r="M242">
        <v>4.17</v>
      </c>
    </row>
    <row r="243" spans="1:13">
      <c r="A243" s="28">
        <v>75130</v>
      </c>
      <c r="B243" t="s">
        <v>493</v>
      </c>
      <c r="C243">
        <v>2400</v>
      </c>
      <c r="D243">
        <v>-60</v>
      </c>
      <c r="E243">
        <v>-2.44</v>
      </c>
      <c r="F243" t="s">
        <v>397</v>
      </c>
      <c r="G243" t="s">
        <v>397</v>
      </c>
      <c r="H243" t="s">
        <v>397</v>
      </c>
      <c r="I243" t="s">
        <v>397</v>
      </c>
      <c r="J243">
        <v>4387</v>
      </c>
      <c r="K243">
        <v>0.55000000000000004</v>
      </c>
      <c r="L243">
        <v>100</v>
      </c>
      <c r="M243">
        <v>4.17</v>
      </c>
    </row>
    <row r="244" spans="1:13">
      <c r="A244" s="28">
        <v>53620</v>
      </c>
      <c r="B244" t="s">
        <v>295</v>
      </c>
      <c r="C244">
        <v>7210</v>
      </c>
      <c r="D244">
        <v>60</v>
      </c>
      <c r="E244">
        <v>0.84</v>
      </c>
      <c r="F244">
        <v>827</v>
      </c>
      <c r="G244">
        <v>8.7200000000000006</v>
      </c>
      <c r="H244" t="s">
        <v>397</v>
      </c>
      <c r="I244" t="s">
        <v>397</v>
      </c>
      <c r="J244">
        <v>21811</v>
      </c>
      <c r="K244">
        <v>0.33</v>
      </c>
      <c r="L244">
        <v>300</v>
      </c>
      <c r="M244">
        <v>4.16</v>
      </c>
    </row>
    <row r="245" spans="1:13">
      <c r="A245" s="28">
        <v>121440</v>
      </c>
      <c r="B245" t="s">
        <v>297</v>
      </c>
      <c r="C245">
        <v>3920</v>
      </c>
      <c r="D245">
        <v>30</v>
      </c>
      <c r="E245">
        <v>0.77</v>
      </c>
      <c r="F245">
        <v>2032</v>
      </c>
      <c r="G245">
        <v>1.93</v>
      </c>
      <c r="H245" t="s">
        <v>397</v>
      </c>
      <c r="I245" t="s">
        <v>397</v>
      </c>
      <c r="J245">
        <v>15929</v>
      </c>
      <c r="K245">
        <v>0.25</v>
      </c>
      <c r="L245">
        <v>163</v>
      </c>
      <c r="M245">
        <v>4.16</v>
      </c>
    </row>
    <row r="246" spans="1:13">
      <c r="A246" s="28">
        <v>55550</v>
      </c>
      <c r="B246" t="s">
        <v>177</v>
      </c>
      <c r="C246">
        <v>49600</v>
      </c>
      <c r="D246">
        <v>-1900</v>
      </c>
      <c r="E246">
        <v>-3.69</v>
      </c>
      <c r="F246">
        <v>8454</v>
      </c>
      <c r="G246">
        <v>5.87</v>
      </c>
      <c r="H246">
        <v>9339</v>
      </c>
      <c r="I246">
        <v>5.31</v>
      </c>
      <c r="J246">
        <v>95206</v>
      </c>
      <c r="K246">
        <v>0.52</v>
      </c>
      <c r="L246">
        <v>2065</v>
      </c>
      <c r="M246">
        <v>4.16</v>
      </c>
    </row>
    <row r="247" spans="1:13">
      <c r="A247" s="28">
        <v>35510</v>
      </c>
      <c r="B247" t="s">
        <v>173</v>
      </c>
      <c r="C247">
        <v>12030</v>
      </c>
      <c r="D247">
        <v>-150</v>
      </c>
      <c r="E247">
        <v>-1.23</v>
      </c>
      <c r="F247">
        <v>6381</v>
      </c>
      <c r="G247">
        <v>1.89</v>
      </c>
      <c r="H247" t="s">
        <v>397</v>
      </c>
      <c r="I247" t="s">
        <v>397</v>
      </c>
      <c r="J247">
        <v>27495</v>
      </c>
      <c r="K247">
        <v>0.44</v>
      </c>
      <c r="L247">
        <v>500</v>
      </c>
      <c r="M247">
        <v>4.16</v>
      </c>
    </row>
    <row r="248" spans="1:13">
      <c r="A248" s="28">
        <v>97955</v>
      </c>
      <c r="B248" t="s">
        <v>494</v>
      </c>
      <c r="C248">
        <v>133900</v>
      </c>
      <c r="D248">
        <v>-2300</v>
      </c>
      <c r="E248">
        <v>-1.69</v>
      </c>
      <c r="F248" t="s">
        <v>397</v>
      </c>
      <c r="G248" t="s">
        <v>397</v>
      </c>
      <c r="H248" t="s">
        <v>397</v>
      </c>
      <c r="I248" t="s">
        <v>397</v>
      </c>
      <c r="J248" t="s">
        <v>397</v>
      </c>
      <c r="K248" t="s">
        <v>397</v>
      </c>
      <c r="L248">
        <v>5550</v>
      </c>
      <c r="M248">
        <v>4.1399999999999997</v>
      </c>
    </row>
    <row r="249" spans="1:13">
      <c r="A249" s="28">
        <v>16360</v>
      </c>
      <c r="B249" t="s">
        <v>155</v>
      </c>
      <c r="C249">
        <v>41050</v>
      </c>
      <c r="D249">
        <v>-900</v>
      </c>
      <c r="E249">
        <v>-2.15</v>
      </c>
      <c r="F249">
        <v>4730</v>
      </c>
      <c r="G249">
        <v>8.68</v>
      </c>
      <c r="H249">
        <v>6992</v>
      </c>
      <c r="I249">
        <v>5.87</v>
      </c>
      <c r="J249">
        <v>69383</v>
      </c>
      <c r="K249">
        <v>0.59</v>
      </c>
      <c r="L249">
        <v>1700</v>
      </c>
      <c r="M249">
        <v>4.1399999999999997</v>
      </c>
    </row>
    <row r="250" spans="1:13">
      <c r="A250" s="28">
        <v>363280</v>
      </c>
      <c r="B250" t="s">
        <v>213</v>
      </c>
      <c r="C250">
        <v>3625</v>
      </c>
      <c r="D250">
        <v>-155</v>
      </c>
      <c r="E250">
        <v>-4.0999999999999996</v>
      </c>
      <c r="F250">
        <v>2579</v>
      </c>
      <c r="G250">
        <v>1.41</v>
      </c>
      <c r="H250" t="s">
        <v>397</v>
      </c>
      <c r="I250" t="s">
        <v>397</v>
      </c>
      <c r="J250">
        <v>42418</v>
      </c>
      <c r="K250">
        <v>0.09</v>
      </c>
      <c r="L250">
        <v>150</v>
      </c>
      <c r="M250">
        <v>4.1399999999999997</v>
      </c>
    </row>
    <row r="251" spans="1:13">
      <c r="A251" s="28" t="s">
        <v>495</v>
      </c>
      <c r="B251" t="s">
        <v>496</v>
      </c>
      <c r="C251">
        <v>24200</v>
      </c>
      <c r="D251">
        <v>-300</v>
      </c>
      <c r="E251">
        <v>-1.22</v>
      </c>
      <c r="F251" t="s">
        <v>397</v>
      </c>
      <c r="G251" t="s">
        <v>397</v>
      </c>
      <c r="H251" t="s">
        <v>397</v>
      </c>
      <c r="I251" t="s">
        <v>397</v>
      </c>
      <c r="J251" t="s">
        <v>397</v>
      </c>
      <c r="K251" t="s">
        <v>397</v>
      </c>
      <c r="L251">
        <v>1000</v>
      </c>
      <c r="M251">
        <v>4.13</v>
      </c>
    </row>
    <row r="252" spans="1:13">
      <c r="A252" s="28">
        <v>79000</v>
      </c>
      <c r="B252" t="s">
        <v>296</v>
      </c>
      <c r="C252">
        <v>4855</v>
      </c>
      <c r="D252">
        <v>55</v>
      </c>
      <c r="E252">
        <v>1.1499999999999999</v>
      </c>
      <c r="F252">
        <v>738</v>
      </c>
      <c r="G252">
        <v>6.58</v>
      </c>
      <c r="H252" t="s">
        <v>397</v>
      </c>
      <c r="I252" t="s">
        <v>397</v>
      </c>
      <c r="J252">
        <v>10822</v>
      </c>
      <c r="K252">
        <v>0.45</v>
      </c>
      <c r="L252">
        <v>200</v>
      </c>
      <c r="M252">
        <v>4.12</v>
      </c>
    </row>
    <row r="253" spans="1:13">
      <c r="A253" s="28">
        <v>1520</v>
      </c>
      <c r="B253" t="s">
        <v>497</v>
      </c>
      <c r="C253">
        <v>975</v>
      </c>
      <c r="D253">
        <v>1</v>
      </c>
      <c r="E253">
        <v>0.1</v>
      </c>
      <c r="F253" t="s">
        <v>397</v>
      </c>
      <c r="G253" t="s">
        <v>397</v>
      </c>
      <c r="H253" t="s">
        <v>397</v>
      </c>
      <c r="I253" t="s">
        <v>397</v>
      </c>
      <c r="J253">
        <v>4062</v>
      </c>
      <c r="K253">
        <v>0.24</v>
      </c>
      <c r="L253">
        <v>40</v>
      </c>
      <c r="M253">
        <v>4.0999999999999996</v>
      </c>
    </row>
    <row r="254" spans="1:13">
      <c r="A254" s="28">
        <v>46440</v>
      </c>
      <c r="B254" t="s">
        <v>302</v>
      </c>
      <c r="C254">
        <v>5360</v>
      </c>
      <c r="D254">
        <v>-40</v>
      </c>
      <c r="E254">
        <v>-0.74</v>
      </c>
      <c r="F254">
        <v>754</v>
      </c>
      <c r="G254">
        <v>7.11</v>
      </c>
      <c r="H254">
        <v>719</v>
      </c>
      <c r="I254">
        <v>7.45</v>
      </c>
      <c r="J254">
        <v>8294</v>
      </c>
      <c r="K254">
        <v>0.65</v>
      </c>
      <c r="L254">
        <v>220</v>
      </c>
      <c r="M254">
        <v>4.0999999999999996</v>
      </c>
    </row>
    <row r="255" spans="1:13">
      <c r="A255" s="28">
        <v>147830</v>
      </c>
      <c r="B255" t="s">
        <v>289</v>
      </c>
      <c r="C255">
        <v>3670</v>
      </c>
      <c r="D255">
        <v>-15</v>
      </c>
      <c r="E255">
        <v>-0.41</v>
      </c>
      <c r="F255">
        <v>457</v>
      </c>
      <c r="G255">
        <v>8.0299999999999994</v>
      </c>
      <c r="H255" t="s">
        <v>397</v>
      </c>
      <c r="I255" t="s">
        <v>397</v>
      </c>
      <c r="J255">
        <v>3740</v>
      </c>
      <c r="K255">
        <v>0.98</v>
      </c>
      <c r="L255">
        <v>150</v>
      </c>
      <c r="M255">
        <v>4.09</v>
      </c>
    </row>
    <row r="256" spans="1:13">
      <c r="A256" s="28">
        <v>169330</v>
      </c>
      <c r="B256" t="s">
        <v>498</v>
      </c>
      <c r="C256">
        <v>2940</v>
      </c>
      <c r="D256">
        <v>40</v>
      </c>
      <c r="E256">
        <v>1.38</v>
      </c>
      <c r="F256">
        <v>218</v>
      </c>
      <c r="G256">
        <v>13.49</v>
      </c>
      <c r="H256" t="s">
        <v>397</v>
      </c>
      <c r="I256" t="s">
        <v>397</v>
      </c>
      <c r="J256">
        <v>1676</v>
      </c>
      <c r="K256">
        <v>1.75</v>
      </c>
      <c r="L256">
        <v>120</v>
      </c>
      <c r="M256">
        <v>4.08</v>
      </c>
    </row>
    <row r="257" spans="1:13">
      <c r="A257" s="28">
        <v>58860</v>
      </c>
      <c r="B257" t="s">
        <v>96</v>
      </c>
      <c r="C257">
        <v>2940</v>
      </c>
      <c r="D257">
        <v>-15</v>
      </c>
      <c r="E257">
        <v>-0.51</v>
      </c>
      <c r="F257">
        <v>501</v>
      </c>
      <c r="G257">
        <v>5.87</v>
      </c>
      <c r="H257" t="s">
        <v>397</v>
      </c>
      <c r="I257" t="s">
        <v>397</v>
      </c>
      <c r="J257">
        <v>6434</v>
      </c>
      <c r="K257">
        <v>0.46</v>
      </c>
      <c r="L257">
        <v>120</v>
      </c>
      <c r="M257">
        <v>4.08</v>
      </c>
    </row>
    <row r="258" spans="1:13">
      <c r="A258" s="28">
        <v>4365</v>
      </c>
      <c r="B258" t="s">
        <v>499</v>
      </c>
      <c r="C258">
        <v>7550</v>
      </c>
      <c r="D258">
        <v>50</v>
      </c>
      <c r="E258">
        <v>0.67</v>
      </c>
      <c r="F258" t="s">
        <v>397</v>
      </c>
      <c r="G258" t="s">
        <v>397</v>
      </c>
      <c r="H258" t="s">
        <v>397</v>
      </c>
      <c r="I258" t="s">
        <v>397</v>
      </c>
      <c r="J258" t="s">
        <v>397</v>
      </c>
      <c r="K258" t="s">
        <v>397</v>
      </c>
      <c r="L258">
        <v>305</v>
      </c>
      <c r="M258">
        <v>4.04</v>
      </c>
    </row>
    <row r="259" spans="1:13">
      <c r="A259" s="28">
        <v>30210</v>
      </c>
      <c r="B259" t="s">
        <v>129</v>
      </c>
      <c r="C259">
        <v>3715</v>
      </c>
      <c r="D259">
        <v>-5</v>
      </c>
      <c r="E259">
        <v>-0.13</v>
      </c>
      <c r="F259">
        <v>1019</v>
      </c>
      <c r="G259">
        <v>3.65</v>
      </c>
      <c r="H259" t="s">
        <v>397</v>
      </c>
      <c r="I259" t="s">
        <v>397</v>
      </c>
      <c r="J259">
        <v>11357</v>
      </c>
      <c r="K259">
        <v>0.33</v>
      </c>
      <c r="L259">
        <v>150</v>
      </c>
      <c r="M259">
        <v>4.04</v>
      </c>
    </row>
    <row r="260" spans="1:13">
      <c r="A260" s="28">
        <v>3470</v>
      </c>
      <c r="B260" t="s">
        <v>189</v>
      </c>
      <c r="C260">
        <v>2730</v>
      </c>
      <c r="D260">
        <v>0</v>
      </c>
      <c r="E260">
        <v>0</v>
      </c>
      <c r="F260">
        <v>209</v>
      </c>
      <c r="G260">
        <v>13.06</v>
      </c>
      <c r="H260" t="s">
        <v>397</v>
      </c>
      <c r="I260" t="s">
        <v>397</v>
      </c>
      <c r="J260">
        <v>8081</v>
      </c>
      <c r="K260">
        <v>0.34</v>
      </c>
      <c r="L260">
        <v>110</v>
      </c>
      <c r="M260">
        <v>4.03</v>
      </c>
    </row>
    <row r="261" spans="1:13">
      <c r="A261" s="28">
        <v>115310</v>
      </c>
      <c r="B261" t="s">
        <v>299</v>
      </c>
      <c r="C261">
        <v>22350</v>
      </c>
      <c r="D261">
        <v>50</v>
      </c>
      <c r="E261">
        <v>0.22</v>
      </c>
      <c r="F261">
        <v>2806</v>
      </c>
      <c r="G261">
        <v>7.97</v>
      </c>
      <c r="H261" t="s">
        <v>397</v>
      </c>
      <c r="I261" t="s">
        <v>397</v>
      </c>
      <c r="J261">
        <v>47617</v>
      </c>
      <c r="K261">
        <v>0.47</v>
      </c>
      <c r="L261">
        <v>900</v>
      </c>
      <c r="M261">
        <v>4.03</v>
      </c>
    </row>
    <row r="262" spans="1:13">
      <c r="A262" s="28">
        <v>25530</v>
      </c>
      <c r="B262" t="s">
        <v>500</v>
      </c>
      <c r="C262">
        <v>3725</v>
      </c>
      <c r="D262">
        <v>-105</v>
      </c>
      <c r="E262">
        <v>-2.74</v>
      </c>
      <c r="F262">
        <v>127</v>
      </c>
      <c r="G262">
        <v>29.33</v>
      </c>
      <c r="H262" t="s">
        <v>397</v>
      </c>
      <c r="I262" t="s">
        <v>397</v>
      </c>
      <c r="J262">
        <v>11073</v>
      </c>
      <c r="K262">
        <v>0.34</v>
      </c>
      <c r="L262">
        <v>150</v>
      </c>
      <c r="M262">
        <v>4.03</v>
      </c>
    </row>
    <row r="263" spans="1:13">
      <c r="A263" s="28">
        <v>29530</v>
      </c>
      <c r="B263" t="s">
        <v>171</v>
      </c>
      <c r="C263">
        <v>37300</v>
      </c>
      <c r="D263">
        <v>-300</v>
      </c>
      <c r="E263">
        <v>-0.8</v>
      </c>
      <c r="F263">
        <v>5007</v>
      </c>
      <c r="G263">
        <v>7.45</v>
      </c>
      <c r="H263" t="s">
        <v>397</v>
      </c>
      <c r="I263" t="s">
        <v>397</v>
      </c>
      <c r="J263">
        <v>109950</v>
      </c>
      <c r="K263">
        <v>0.34</v>
      </c>
      <c r="L263">
        <v>1500</v>
      </c>
      <c r="M263">
        <v>4.0199999999999996</v>
      </c>
    </row>
    <row r="264" spans="1:13">
      <c r="A264" s="28">
        <v>92220</v>
      </c>
      <c r="B264" t="s">
        <v>91</v>
      </c>
      <c r="C264">
        <v>1494</v>
      </c>
      <c r="D264">
        <v>-23</v>
      </c>
      <c r="E264">
        <v>-1.52</v>
      </c>
      <c r="F264">
        <v>140</v>
      </c>
      <c r="G264">
        <v>10.67</v>
      </c>
      <c r="H264" t="s">
        <v>397</v>
      </c>
      <c r="I264" t="s">
        <v>397</v>
      </c>
      <c r="J264">
        <v>1912</v>
      </c>
      <c r="K264">
        <v>0.78</v>
      </c>
      <c r="L264">
        <v>60</v>
      </c>
      <c r="M264">
        <v>4.0199999999999996</v>
      </c>
    </row>
    <row r="265" spans="1:13">
      <c r="A265" s="28">
        <v>6390</v>
      </c>
      <c r="B265" t="s">
        <v>233</v>
      </c>
      <c r="C265">
        <v>15010</v>
      </c>
      <c r="D265">
        <v>-80</v>
      </c>
      <c r="E265">
        <v>-0.53</v>
      </c>
      <c r="F265">
        <v>1971</v>
      </c>
      <c r="G265">
        <v>7.62</v>
      </c>
      <c r="H265">
        <v>1979</v>
      </c>
      <c r="I265">
        <v>7.58</v>
      </c>
      <c r="J265">
        <v>18827</v>
      </c>
      <c r="K265">
        <v>0.8</v>
      </c>
      <c r="L265">
        <v>600</v>
      </c>
      <c r="M265">
        <v>4</v>
      </c>
    </row>
    <row r="266" spans="1:13">
      <c r="A266" s="28">
        <v>234080</v>
      </c>
      <c r="B266" t="s">
        <v>501</v>
      </c>
      <c r="C266">
        <v>12500</v>
      </c>
      <c r="D266">
        <v>-80</v>
      </c>
      <c r="E266">
        <v>-0.64</v>
      </c>
      <c r="F266">
        <v>966</v>
      </c>
      <c r="G266">
        <v>12.94</v>
      </c>
      <c r="H266" t="s">
        <v>397</v>
      </c>
      <c r="I266" t="s">
        <v>397</v>
      </c>
      <c r="J266">
        <v>9063</v>
      </c>
      <c r="K266">
        <v>1.38</v>
      </c>
      <c r="L266">
        <v>500</v>
      </c>
      <c r="M266">
        <v>4</v>
      </c>
    </row>
    <row r="267" spans="1:13">
      <c r="A267" s="28">
        <v>5500</v>
      </c>
      <c r="B267" t="s">
        <v>162</v>
      </c>
      <c r="C267">
        <v>20050</v>
      </c>
      <c r="D267">
        <v>-200</v>
      </c>
      <c r="E267">
        <v>-0.99</v>
      </c>
      <c r="F267">
        <v>1728</v>
      </c>
      <c r="G267">
        <v>11.6</v>
      </c>
      <c r="H267">
        <v>1371</v>
      </c>
      <c r="I267">
        <v>14.63</v>
      </c>
      <c r="J267">
        <v>20811</v>
      </c>
      <c r="K267">
        <v>0.96</v>
      </c>
      <c r="L267">
        <v>800</v>
      </c>
      <c r="M267">
        <v>3.99</v>
      </c>
    </row>
    <row r="268" spans="1:13">
      <c r="A268" s="28">
        <v>332370</v>
      </c>
      <c r="B268" t="s">
        <v>298</v>
      </c>
      <c r="C268">
        <v>3755</v>
      </c>
      <c r="D268">
        <v>20</v>
      </c>
      <c r="E268">
        <v>0.54</v>
      </c>
      <c r="F268">
        <v>778</v>
      </c>
      <c r="G268">
        <v>4.83</v>
      </c>
      <c r="H268">
        <v>878</v>
      </c>
      <c r="I268">
        <v>4.28</v>
      </c>
      <c r="J268">
        <v>3813</v>
      </c>
      <c r="K268">
        <v>0.98</v>
      </c>
      <c r="L268">
        <v>150</v>
      </c>
      <c r="M268">
        <v>3.99</v>
      </c>
    </row>
    <row r="269" spans="1:13">
      <c r="A269" s="28">
        <v>240</v>
      </c>
      <c r="B269" t="s">
        <v>220</v>
      </c>
      <c r="C269">
        <v>16350</v>
      </c>
      <c r="D269">
        <v>-430</v>
      </c>
      <c r="E269">
        <v>-2.56</v>
      </c>
      <c r="F269">
        <v>1749</v>
      </c>
      <c r="G269">
        <v>9.35</v>
      </c>
      <c r="H269" t="s">
        <v>397</v>
      </c>
      <c r="I269" t="s">
        <v>397</v>
      </c>
      <c r="J269">
        <v>40622</v>
      </c>
      <c r="K269">
        <v>0.4</v>
      </c>
      <c r="L269">
        <v>650</v>
      </c>
      <c r="M269">
        <v>3.98</v>
      </c>
    </row>
    <row r="270" spans="1:13">
      <c r="A270" s="28">
        <v>4150</v>
      </c>
      <c r="B270" t="s">
        <v>229</v>
      </c>
      <c r="C270">
        <v>3015</v>
      </c>
      <c r="D270">
        <v>-25</v>
      </c>
      <c r="E270">
        <v>-0.82</v>
      </c>
      <c r="F270">
        <v>1144</v>
      </c>
      <c r="G270">
        <v>2.64</v>
      </c>
      <c r="H270" t="s">
        <v>397</v>
      </c>
      <c r="I270" t="s">
        <v>397</v>
      </c>
      <c r="J270">
        <v>13522</v>
      </c>
      <c r="K270">
        <v>0.22</v>
      </c>
      <c r="L270">
        <v>120</v>
      </c>
      <c r="M270">
        <v>3.98</v>
      </c>
    </row>
    <row r="271" spans="1:13">
      <c r="A271" s="28">
        <v>51390</v>
      </c>
      <c r="B271" t="s">
        <v>300</v>
      </c>
      <c r="C271">
        <v>3770</v>
      </c>
      <c r="D271">
        <v>-10</v>
      </c>
      <c r="E271">
        <v>-0.26</v>
      </c>
      <c r="F271">
        <v>352</v>
      </c>
      <c r="G271">
        <v>10.71</v>
      </c>
      <c r="H271" t="s">
        <v>397</v>
      </c>
      <c r="I271" t="s">
        <v>397</v>
      </c>
      <c r="J271">
        <v>8894</v>
      </c>
      <c r="K271">
        <v>0.42</v>
      </c>
      <c r="L271">
        <v>150</v>
      </c>
      <c r="M271">
        <v>3.98</v>
      </c>
    </row>
    <row r="272" spans="1:13">
      <c r="A272" s="28">
        <v>2100</v>
      </c>
      <c r="B272" t="s">
        <v>116</v>
      </c>
      <c r="C272">
        <v>10040</v>
      </c>
      <c r="D272">
        <v>30</v>
      </c>
      <c r="E272">
        <v>0.3</v>
      </c>
      <c r="F272">
        <v>1503</v>
      </c>
      <c r="G272">
        <v>6.68</v>
      </c>
      <c r="H272" t="s">
        <v>397</v>
      </c>
      <c r="I272" t="s">
        <v>397</v>
      </c>
      <c r="J272">
        <v>12997</v>
      </c>
      <c r="K272">
        <v>0.77</v>
      </c>
      <c r="L272">
        <v>400</v>
      </c>
      <c r="M272">
        <v>3.98</v>
      </c>
    </row>
    <row r="273" spans="1:13">
      <c r="A273" s="28">
        <v>53280</v>
      </c>
      <c r="B273" t="s">
        <v>502</v>
      </c>
      <c r="C273">
        <v>5020</v>
      </c>
      <c r="D273">
        <v>65</v>
      </c>
      <c r="E273">
        <v>1.31</v>
      </c>
      <c r="F273">
        <v>57</v>
      </c>
      <c r="G273">
        <v>88.07</v>
      </c>
      <c r="H273" t="s">
        <v>397</v>
      </c>
      <c r="I273" t="s">
        <v>397</v>
      </c>
      <c r="J273">
        <v>7341</v>
      </c>
      <c r="K273">
        <v>0.68</v>
      </c>
      <c r="L273">
        <v>200</v>
      </c>
      <c r="M273">
        <v>3.98</v>
      </c>
    </row>
    <row r="274" spans="1:13">
      <c r="A274" s="28">
        <v>128660</v>
      </c>
      <c r="B274" t="s">
        <v>503</v>
      </c>
      <c r="C274">
        <v>3405</v>
      </c>
      <c r="D274">
        <v>5</v>
      </c>
      <c r="E274">
        <v>0.15</v>
      </c>
      <c r="F274">
        <v>233</v>
      </c>
      <c r="G274">
        <v>14.61</v>
      </c>
      <c r="H274" t="s">
        <v>397</v>
      </c>
      <c r="I274" t="s">
        <v>397</v>
      </c>
      <c r="J274">
        <v>2462</v>
      </c>
      <c r="K274">
        <v>1.38</v>
      </c>
      <c r="L274">
        <v>135</v>
      </c>
      <c r="M274">
        <v>3.96</v>
      </c>
    </row>
    <row r="275" spans="1:13">
      <c r="A275" s="28">
        <v>7590</v>
      </c>
      <c r="B275" t="s">
        <v>139</v>
      </c>
      <c r="C275">
        <v>6310</v>
      </c>
      <c r="D275">
        <v>30</v>
      </c>
      <c r="E275">
        <v>0.48</v>
      </c>
      <c r="F275">
        <v>546</v>
      </c>
      <c r="G275">
        <v>11.56</v>
      </c>
      <c r="H275" t="s">
        <v>397</v>
      </c>
      <c r="I275" t="s">
        <v>397</v>
      </c>
      <c r="J275">
        <v>12112</v>
      </c>
      <c r="K275">
        <v>0.52</v>
      </c>
      <c r="L275">
        <v>250</v>
      </c>
      <c r="M275">
        <v>3.96</v>
      </c>
    </row>
    <row r="276" spans="1:13">
      <c r="A276" s="28">
        <v>9770</v>
      </c>
      <c r="B276" t="s">
        <v>504</v>
      </c>
      <c r="C276">
        <v>25350</v>
      </c>
      <c r="D276">
        <v>0</v>
      </c>
      <c r="E276">
        <v>0</v>
      </c>
      <c r="F276" t="s">
        <v>397</v>
      </c>
      <c r="G276" t="s">
        <v>397</v>
      </c>
      <c r="H276" t="s">
        <v>397</v>
      </c>
      <c r="I276" t="s">
        <v>397</v>
      </c>
      <c r="J276">
        <v>85204</v>
      </c>
      <c r="K276">
        <v>0.3</v>
      </c>
      <c r="L276">
        <v>1000</v>
      </c>
      <c r="M276">
        <v>3.94</v>
      </c>
    </row>
    <row r="277" spans="1:13">
      <c r="A277" s="28">
        <v>81660</v>
      </c>
      <c r="B277" t="s">
        <v>505</v>
      </c>
      <c r="C277">
        <v>40200</v>
      </c>
      <c r="D277">
        <v>-1050</v>
      </c>
      <c r="E277">
        <v>-2.5499999999999998</v>
      </c>
      <c r="F277">
        <v>5720</v>
      </c>
      <c r="G277">
        <v>7.03</v>
      </c>
      <c r="H277">
        <v>3996</v>
      </c>
      <c r="I277">
        <v>10.06</v>
      </c>
      <c r="J277">
        <v>31226</v>
      </c>
      <c r="K277">
        <v>1.29</v>
      </c>
      <c r="L277">
        <v>1580</v>
      </c>
      <c r="M277">
        <v>3.93</v>
      </c>
    </row>
    <row r="278" spans="1:13">
      <c r="A278" s="28">
        <v>2450</v>
      </c>
      <c r="B278" t="s">
        <v>161</v>
      </c>
      <c r="C278">
        <v>1274</v>
      </c>
      <c r="D278">
        <v>13</v>
      </c>
      <c r="E278">
        <v>1.03</v>
      </c>
      <c r="F278">
        <v>186</v>
      </c>
      <c r="G278">
        <v>6.85</v>
      </c>
      <c r="H278" t="s">
        <v>397</v>
      </c>
      <c r="I278" t="s">
        <v>397</v>
      </c>
      <c r="J278">
        <v>3225</v>
      </c>
      <c r="K278">
        <v>0.4</v>
      </c>
      <c r="L278">
        <v>50</v>
      </c>
      <c r="M278">
        <v>3.92</v>
      </c>
    </row>
    <row r="279" spans="1:13">
      <c r="A279" s="28">
        <v>23150</v>
      </c>
      <c r="B279" t="s">
        <v>102</v>
      </c>
      <c r="C279">
        <v>6390</v>
      </c>
      <c r="D279">
        <v>-10</v>
      </c>
      <c r="E279">
        <v>-0.16</v>
      </c>
      <c r="F279">
        <v>766</v>
      </c>
      <c r="G279">
        <v>8.34</v>
      </c>
      <c r="H279" t="s">
        <v>397</v>
      </c>
      <c r="I279" t="s">
        <v>397</v>
      </c>
      <c r="J279">
        <v>10227</v>
      </c>
      <c r="K279">
        <v>0.62</v>
      </c>
      <c r="L279">
        <v>250</v>
      </c>
      <c r="M279">
        <v>3.91</v>
      </c>
    </row>
    <row r="280" spans="1:13">
      <c r="A280" s="28">
        <v>10240</v>
      </c>
      <c r="B280" t="s">
        <v>304</v>
      </c>
      <c r="C280">
        <v>5660</v>
      </c>
      <c r="D280">
        <v>30</v>
      </c>
      <c r="E280">
        <v>0.53</v>
      </c>
      <c r="F280">
        <v>740</v>
      </c>
      <c r="G280">
        <v>7.65</v>
      </c>
      <c r="H280" t="s">
        <v>397</v>
      </c>
      <c r="I280" t="s">
        <v>397</v>
      </c>
      <c r="J280">
        <v>7971</v>
      </c>
      <c r="K280">
        <v>0.71</v>
      </c>
      <c r="L280">
        <v>220</v>
      </c>
      <c r="M280">
        <v>3.89</v>
      </c>
    </row>
    <row r="281" spans="1:13">
      <c r="A281" s="28">
        <v>143240</v>
      </c>
      <c r="B281" t="s">
        <v>506</v>
      </c>
      <c r="C281">
        <v>18000</v>
      </c>
      <c r="D281">
        <v>0</v>
      </c>
      <c r="E281">
        <v>0</v>
      </c>
      <c r="F281">
        <v>2656</v>
      </c>
      <c r="G281">
        <v>6.78</v>
      </c>
      <c r="H281" t="s">
        <v>397</v>
      </c>
      <c r="I281" t="s">
        <v>397</v>
      </c>
      <c r="J281">
        <v>15673</v>
      </c>
      <c r="K281">
        <v>1.1499999999999999</v>
      </c>
      <c r="L281">
        <v>700</v>
      </c>
      <c r="M281">
        <v>3.89</v>
      </c>
    </row>
    <row r="282" spans="1:13">
      <c r="A282" s="28">
        <v>105560</v>
      </c>
      <c r="B282" t="s">
        <v>89</v>
      </c>
      <c r="C282">
        <v>76200</v>
      </c>
      <c r="D282">
        <v>-2400</v>
      </c>
      <c r="E282">
        <v>-3.05</v>
      </c>
      <c r="F282">
        <v>10955</v>
      </c>
      <c r="G282">
        <v>6.96</v>
      </c>
      <c r="H282">
        <v>12810</v>
      </c>
      <c r="I282">
        <v>5.95</v>
      </c>
      <c r="J282">
        <v>124124</v>
      </c>
      <c r="K282">
        <v>0.61</v>
      </c>
      <c r="L282">
        <v>2950</v>
      </c>
      <c r="M282">
        <v>3.87</v>
      </c>
    </row>
    <row r="283" spans="1:13">
      <c r="A283" s="28">
        <v>11780</v>
      </c>
      <c r="B283" t="s">
        <v>125</v>
      </c>
      <c r="C283">
        <v>139700</v>
      </c>
      <c r="D283">
        <v>-500</v>
      </c>
      <c r="E283">
        <v>-0.36</v>
      </c>
      <c r="F283">
        <v>37290</v>
      </c>
      <c r="G283">
        <v>3.75</v>
      </c>
      <c r="H283">
        <v>13275</v>
      </c>
      <c r="I283">
        <v>10.52</v>
      </c>
      <c r="J283">
        <v>234861</v>
      </c>
      <c r="K283">
        <v>0.59</v>
      </c>
      <c r="L283">
        <v>5400</v>
      </c>
      <c r="M283">
        <v>3.87</v>
      </c>
    </row>
    <row r="284" spans="1:13">
      <c r="A284" s="28">
        <v>13890</v>
      </c>
      <c r="B284" t="s">
        <v>199</v>
      </c>
      <c r="C284">
        <v>13730</v>
      </c>
      <c r="D284">
        <v>-170</v>
      </c>
      <c r="E284">
        <v>-1.22</v>
      </c>
      <c r="F284">
        <v>1512</v>
      </c>
      <c r="G284">
        <v>9.08</v>
      </c>
      <c r="H284" t="s">
        <v>397</v>
      </c>
      <c r="I284" t="s">
        <v>397</v>
      </c>
      <c r="J284">
        <v>31128</v>
      </c>
      <c r="K284">
        <v>0.44</v>
      </c>
      <c r="L284">
        <v>530</v>
      </c>
      <c r="M284">
        <v>3.86</v>
      </c>
    </row>
    <row r="285" spans="1:13">
      <c r="A285" s="28">
        <v>6120</v>
      </c>
      <c r="B285" t="s">
        <v>109</v>
      </c>
      <c r="C285">
        <v>44150</v>
      </c>
      <c r="D285">
        <v>-1050</v>
      </c>
      <c r="E285">
        <v>-2.3199999999999998</v>
      </c>
      <c r="F285">
        <v>21631</v>
      </c>
      <c r="G285">
        <v>2.04</v>
      </c>
      <c r="H285" t="s">
        <v>397</v>
      </c>
      <c r="I285" t="s">
        <v>397</v>
      </c>
      <c r="J285">
        <v>153209</v>
      </c>
      <c r="K285">
        <v>0.28999999999999998</v>
      </c>
      <c r="L285">
        <v>1700</v>
      </c>
      <c r="M285">
        <v>3.85</v>
      </c>
    </row>
    <row r="286" spans="1:13">
      <c r="A286" s="28">
        <v>4450</v>
      </c>
      <c r="B286" t="s">
        <v>507</v>
      </c>
      <c r="C286">
        <v>31250</v>
      </c>
      <c r="D286">
        <v>150</v>
      </c>
      <c r="E286">
        <v>0.48</v>
      </c>
      <c r="F286" t="s">
        <v>397</v>
      </c>
      <c r="G286" t="s">
        <v>397</v>
      </c>
      <c r="H286" t="s">
        <v>397</v>
      </c>
      <c r="I286" t="s">
        <v>397</v>
      </c>
      <c r="J286">
        <v>65831</v>
      </c>
      <c r="K286">
        <v>0.47</v>
      </c>
      <c r="L286">
        <v>1200</v>
      </c>
      <c r="M286">
        <v>3.84</v>
      </c>
    </row>
    <row r="287" spans="1:13">
      <c r="A287" s="28">
        <v>161000</v>
      </c>
      <c r="B287" t="s">
        <v>179</v>
      </c>
      <c r="C287">
        <v>14330</v>
      </c>
      <c r="D287">
        <v>-90</v>
      </c>
      <c r="E287">
        <v>-0.62</v>
      </c>
      <c r="F287">
        <v>1249</v>
      </c>
      <c r="G287">
        <v>11.47</v>
      </c>
      <c r="H287" t="s">
        <v>397</v>
      </c>
      <c r="I287" t="s">
        <v>397</v>
      </c>
      <c r="J287">
        <v>15115</v>
      </c>
      <c r="K287">
        <v>0.95</v>
      </c>
      <c r="L287">
        <v>550</v>
      </c>
      <c r="M287">
        <v>3.84</v>
      </c>
    </row>
    <row r="288" spans="1:13">
      <c r="A288" s="28">
        <v>101240</v>
      </c>
      <c r="B288" t="s">
        <v>307</v>
      </c>
      <c r="C288">
        <v>4705</v>
      </c>
      <c r="D288">
        <v>25</v>
      </c>
      <c r="E288">
        <v>0.53</v>
      </c>
      <c r="F288">
        <v>590</v>
      </c>
      <c r="G288">
        <v>7.97</v>
      </c>
      <c r="H288" t="s">
        <v>397</v>
      </c>
      <c r="I288" t="s">
        <v>397</v>
      </c>
      <c r="J288">
        <v>7099</v>
      </c>
      <c r="K288">
        <v>0.66</v>
      </c>
      <c r="L288">
        <v>180</v>
      </c>
      <c r="M288">
        <v>3.83</v>
      </c>
    </row>
    <row r="289" spans="1:13">
      <c r="A289" s="28">
        <v>390</v>
      </c>
      <c r="B289" t="s">
        <v>357</v>
      </c>
      <c r="C289">
        <v>6540</v>
      </c>
      <c r="D289">
        <v>-30</v>
      </c>
      <c r="E289">
        <v>-0.46</v>
      </c>
      <c r="F289">
        <v>237</v>
      </c>
      <c r="G289">
        <v>27.59</v>
      </c>
      <c r="H289" t="s">
        <v>397</v>
      </c>
      <c r="I289" t="s">
        <v>397</v>
      </c>
      <c r="J289">
        <v>12654</v>
      </c>
      <c r="K289">
        <v>0.52</v>
      </c>
      <c r="L289">
        <v>250</v>
      </c>
      <c r="M289">
        <v>3.82</v>
      </c>
    </row>
    <row r="290" spans="1:13">
      <c r="A290" s="28">
        <v>264660</v>
      </c>
      <c r="B290" t="s">
        <v>508</v>
      </c>
      <c r="C290">
        <v>13090</v>
      </c>
      <c r="D290">
        <v>80</v>
      </c>
      <c r="E290">
        <v>0.61</v>
      </c>
      <c r="F290">
        <v>2062</v>
      </c>
      <c r="G290">
        <v>6.35</v>
      </c>
      <c r="H290" t="s">
        <v>397</v>
      </c>
      <c r="I290" t="s">
        <v>397</v>
      </c>
      <c r="J290">
        <v>11308</v>
      </c>
      <c r="K290">
        <v>1.1599999999999999</v>
      </c>
      <c r="L290">
        <v>500</v>
      </c>
      <c r="M290">
        <v>3.82</v>
      </c>
    </row>
    <row r="291" spans="1:13">
      <c r="A291" s="28">
        <v>91700</v>
      </c>
      <c r="B291" t="s">
        <v>303</v>
      </c>
      <c r="C291">
        <v>7870</v>
      </c>
      <c r="D291">
        <v>-120</v>
      </c>
      <c r="E291">
        <v>-1.5</v>
      </c>
      <c r="F291">
        <v>700</v>
      </c>
      <c r="G291">
        <v>11.24</v>
      </c>
      <c r="H291">
        <v>718</v>
      </c>
      <c r="I291">
        <v>10.96</v>
      </c>
      <c r="J291">
        <v>8739</v>
      </c>
      <c r="K291">
        <v>0.9</v>
      </c>
      <c r="L291">
        <v>300</v>
      </c>
      <c r="M291">
        <v>3.81</v>
      </c>
    </row>
    <row r="292" spans="1:13">
      <c r="A292" s="28">
        <v>100030</v>
      </c>
      <c r="B292" t="s">
        <v>509</v>
      </c>
      <c r="C292">
        <v>18900</v>
      </c>
      <c r="D292">
        <v>350</v>
      </c>
      <c r="E292">
        <v>1.89</v>
      </c>
      <c r="F292">
        <v>1360</v>
      </c>
      <c r="G292">
        <v>13.9</v>
      </c>
      <c r="H292" t="s">
        <v>397</v>
      </c>
      <c r="I292" t="s">
        <v>397</v>
      </c>
      <c r="J292">
        <v>18065</v>
      </c>
      <c r="K292">
        <v>1.05</v>
      </c>
      <c r="L292">
        <v>720</v>
      </c>
      <c r="M292">
        <v>3.81</v>
      </c>
    </row>
    <row r="293" spans="1:13">
      <c r="A293" s="28">
        <v>32540</v>
      </c>
      <c r="B293" t="s">
        <v>380</v>
      </c>
      <c r="C293">
        <v>6060</v>
      </c>
      <c r="D293">
        <v>-10</v>
      </c>
      <c r="E293">
        <v>-0.16</v>
      </c>
      <c r="F293">
        <v>322</v>
      </c>
      <c r="G293">
        <v>18.82</v>
      </c>
      <c r="H293" t="s">
        <v>397</v>
      </c>
      <c r="I293" t="s">
        <v>397</v>
      </c>
      <c r="J293">
        <v>6121</v>
      </c>
      <c r="K293">
        <v>0.99</v>
      </c>
      <c r="L293">
        <v>230</v>
      </c>
      <c r="M293">
        <v>3.8</v>
      </c>
    </row>
    <row r="294" spans="1:13">
      <c r="A294" s="28">
        <v>216050</v>
      </c>
      <c r="B294" t="s">
        <v>510</v>
      </c>
      <c r="C294">
        <v>10250</v>
      </c>
      <c r="D294">
        <v>-180</v>
      </c>
      <c r="E294">
        <v>-1.73</v>
      </c>
      <c r="F294">
        <v>1281</v>
      </c>
      <c r="G294">
        <v>8</v>
      </c>
      <c r="H294">
        <v>1213</v>
      </c>
      <c r="I294">
        <v>8.4499999999999993</v>
      </c>
      <c r="J294">
        <v>8792</v>
      </c>
      <c r="K294">
        <v>1.17</v>
      </c>
      <c r="L294">
        <v>389</v>
      </c>
      <c r="M294">
        <v>3.8</v>
      </c>
    </row>
    <row r="295" spans="1:13">
      <c r="A295" s="28">
        <v>136540</v>
      </c>
      <c r="B295" t="s">
        <v>301</v>
      </c>
      <c r="C295">
        <v>13160</v>
      </c>
      <c r="D295">
        <v>310</v>
      </c>
      <c r="E295">
        <v>2.41</v>
      </c>
      <c r="F295">
        <v>1537</v>
      </c>
      <c r="G295">
        <v>8.56</v>
      </c>
      <c r="H295" t="s">
        <v>397</v>
      </c>
      <c r="I295" t="s">
        <v>397</v>
      </c>
      <c r="J295">
        <v>13734</v>
      </c>
      <c r="K295">
        <v>0.96</v>
      </c>
      <c r="L295">
        <v>500</v>
      </c>
      <c r="M295">
        <v>3.8</v>
      </c>
    </row>
    <row r="296" spans="1:13">
      <c r="A296" s="28">
        <v>30720</v>
      </c>
      <c r="B296" t="s">
        <v>143</v>
      </c>
      <c r="C296">
        <v>6590</v>
      </c>
      <c r="D296">
        <v>10</v>
      </c>
      <c r="E296">
        <v>0.15</v>
      </c>
      <c r="F296">
        <v>1328</v>
      </c>
      <c r="G296">
        <v>4.96</v>
      </c>
      <c r="H296" t="s">
        <v>397</v>
      </c>
      <c r="I296" t="s">
        <v>397</v>
      </c>
      <c r="J296">
        <v>13454</v>
      </c>
      <c r="K296">
        <v>0.49</v>
      </c>
      <c r="L296">
        <v>250</v>
      </c>
      <c r="M296">
        <v>3.79</v>
      </c>
    </row>
    <row r="297" spans="1:13">
      <c r="A297" s="28">
        <v>5725</v>
      </c>
      <c r="B297" t="s">
        <v>511</v>
      </c>
      <c r="C297">
        <v>3035</v>
      </c>
      <c r="D297">
        <v>30</v>
      </c>
      <c r="E297">
        <v>1</v>
      </c>
      <c r="F297" t="s">
        <v>397</v>
      </c>
      <c r="G297" t="s">
        <v>397</v>
      </c>
      <c r="H297" t="s">
        <v>397</v>
      </c>
      <c r="I297" t="s">
        <v>397</v>
      </c>
      <c r="J297" t="s">
        <v>397</v>
      </c>
      <c r="K297" t="s">
        <v>397</v>
      </c>
      <c r="L297">
        <v>115</v>
      </c>
      <c r="M297">
        <v>3.79</v>
      </c>
    </row>
    <row r="298" spans="1:13">
      <c r="A298" s="28">
        <v>20000</v>
      </c>
      <c r="B298" t="s">
        <v>226</v>
      </c>
      <c r="C298">
        <v>19850</v>
      </c>
      <c r="D298">
        <v>120</v>
      </c>
      <c r="E298">
        <v>0.61</v>
      </c>
      <c r="F298">
        <v>5599</v>
      </c>
      <c r="G298">
        <v>3.55</v>
      </c>
      <c r="H298">
        <v>3987</v>
      </c>
      <c r="I298">
        <v>4.9800000000000004</v>
      </c>
      <c r="J298">
        <v>60819</v>
      </c>
      <c r="K298">
        <v>0.33</v>
      </c>
      <c r="L298">
        <v>750</v>
      </c>
      <c r="M298">
        <v>3.78</v>
      </c>
    </row>
    <row r="299" spans="1:13">
      <c r="A299" s="28">
        <v>190650</v>
      </c>
      <c r="B299" t="s">
        <v>512</v>
      </c>
      <c r="C299">
        <v>5290</v>
      </c>
      <c r="D299">
        <v>-110</v>
      </c>
      <c r="E299">
        <v>-2.04</v>
      </c>
      <c r="F299" t="s">
        <v>397</v>
      </c>
      <c r="G299" t="s">
        <v>397</v>
      </c>
      <c r="H299" t="s">
        <v>397</v>
      </c>
      <c r="I299" t="s">
        <v>397</v>
      </c>
      <c r="J299">
        <v>13824</v>
      </c>
      <c r="K299">
        <v>0.38</v>
      </c>
      <c r="L299">
        <v>200</v>
      </c>
      <c r="M299">
        <v>3.78</v>
      </c>
    </row>
    <row r="300" spans="1:13">
      <c r="A300" s="28">
        <v>2600</v>
      </c>
      <c r="B300" t="s">
        <v>198</v>
      </c>
      <c r="C300">
        <v>172800</v>
      </c>
      <c r="D300">
        <v>0</v>
      </c>
      <c r="E300">
        <v>0</v>
      </c>
      <c r="F300">
        <v>18552</v>
      </c>
      <c r="G300">
        <v>9.31</v>
      </c>
      <c r="H300" t="s">
        <v>397</v>
      </c>
      <c r="I300" t="s">
        <v>397</v>
      </c>
      <c r="J300">
        <v>256975</v>
      </c>
      <c r="K300">
        <v>0.67</v>
      </c>
      <c r="L300">
        <v>6500</v>
      </c>
      <c r="M300">
        <v>3.76</v>
      </c>
    </row>
    <row r="301" spans="1:13">
      <c r="A301" s="28">
        <v>28100</v>
      </c>
      <c r="B301" t="s">
        <v>513</v>
      </c>
      <c r="C301">
        <v>13300</v>
      </c>
      <c r="D301">
        <v>170</v>
      </c>
      <c r="E301">
        <v>1.29</v>
      </c>
      <c r="F301" t="s">
        <v>397</v>
      </c>
      <c r="G301" t="s">
        <v>397</v>
      </c>
      <c r="H301" t="s">
        <v>397</v>
      </c>
      <c r="I301" t="s">
        <v>397</v>
      </c>
      <c r="J301">
        <v>15999</v>
      </c>
      <c r="K301">
        <v>0.83</v>
      </c>
      <c r="L301">
        <v>500</v>
      </c>
      <c r="M301">
        <v>3.76</v>
      </c>
    </row>
    <row r="302" spans="1:13">
      <c r="A302" s="28">
        <v>293480</v>
      </c>
      <c r="B302" t="s">
        <v>217</v>
      </c>
      <c r="C302">
        <v>13590</v>
      </c>
      <c r="D302">
        <v>-60</v>
      </c>
      <c r="E302">
        <v>-0.44</v>
      </c>
      <c r="F302">
        <v>1405</v>
      </c>
      <c r="G302">
        <v>9.67</v>
      </c>
      <c r="H302" t="s">
        <v>397</v>
      </c>
      <c r="I302" t="s">
        <v>397</v>
      </c>
      <c r="J302">
        <v>15515</v>
      </c>
      <c r="K302">
        <v>0.88</v>
      </c>
      <c r="L302">
        <v>510</v>
      </c>
      <c r="M302">
        <v>3.75</v>
      </c>
    </row>
    <row r="303" spans="1:13">
      <c r="A303" s="28">
        <v>4255</v>
      </c>
      <c r="B303" t="s">
        <v>514</v>
      </c>
      <c r="C303">
        <v>2800</v>
      </c>
      <c r="D303">
        <v>-50</v>
      </c>
      <c r="E303">
        <v>-1.75</v>
      </c>
      <c r="F303" t="s">
        <v>397</v>
      </c>
      <c r="G303" t="s">
        <v>397</v>
      </c>
      <c r="H303" t="s">
        <v>397</v>
      </c>
      <c r="I303" t="s">
        <v>397</v>
      </c>
      <c r="J303" t="s">
        <v>397</v>
      </c>
      <c r="K303" t="s">
        <v>397</v>
      </c>
      <c r="L303">
        <v>105</v>
      </c>
      <c r="M303">
        <v>3.75</v>
      </c>
    </row>
    <row r="304" spans="1:13">
      <c r="A304" s="28">
        <v>43650</v>
      </c>
      <c r="B304" t="s">
        <v>515</v>
      </c>
      <c r="C304">
        <v>5620</v>
      </c>
      <c r="D304">
        <v>-100</v>
      </c>
      <c r="E304">
        <v>-1.75</v>
      </c>
      <c r="F304" t="s">
        <v>397</v>
      </c>
      <c r="G304" t="s">
        <v>397</v>
      </c>
      <c r="H304" t="s">
        <v>397</v>
      </c>
      <c r="I304" t="s">
        <v>397</v>
      </c>
      <c r="J304">
        <v>14755</v>
      </c>
      <c r="K304">
        <v>0.38</v>
      </c>
      <c r="L304">
        <v>210</v>
      </c>
      <c r="M304">
        <v>3.74</v>
      </c>
    </row>
    <row r="305" spans="1:13">
      <c r="A305" s="28">
        <v>54040</v>
      </c>
      <c r="B305" t="s">
        <v>311</v>
      </c>
      <c r="C305">
        <v>6690</v>
      </c>
      <c r="D305">
        <v>-40</v>
      </c>
      <c r="E305">
        <v>-0.59</v>
      </c>
      <c r="F305">
        <v>1102</v>
      </c>
      <c r="G305">
        <v>6.07</v>
      </c>
      <c r="H305">
        <v>1690</v>
      </c>
      <c r="I305">
        <v>3.96</v>
      </c>
      <c r="J305">
        <v>8505</v>
      </c>
      <c r="K305">
        <v>0.79</v>
      </c>
      <c r="L305">
        <v>250</v>
      </c>
      <c r="M305">
        <v>3.74</v>
      </c>
    </row>
    <row r="306" spans="1:13">
      <c r="A306" s="28">
        <v>30610</v>
      </c>
      <c r="B306" t="s">
        <v>121</v>
      </c>
      <c r="C306">
        <v>5360</v>
      </c>
      <c r="D306">
        <v>20</v>
      </c>
      <c r="E306">
        <v>0.37</v>
      </c>
      <c r="F306">
        <v>681</v>
      </c>
      <c r="G306">
        <v>7.87</v>
      </c>
      <c r="H306" t="s">
        <v>397</v>
      </c>
      <c r="I306" t="s">
        <v>397</v>
      </c>
      <c r="J306">
        <v>24572</v>
      </c>
      <c r="K306">
        <v>0.22</v>
      </c>
      <c r="L306">
        <v>200</v>
      </c>
      <c r="M306">
        <v>3.73</v>
      </c>
    </row>
    <row r="307" spans="1:13">
      <c r="A307" s="28">
        <v>1790</v>
      </c>
      <c r="B307" t="s">
        <v>135</v>
      </c>
      <c r="C307">
        <v>3230</v>
      </c>
      <c r="D307">
        <v>-15</v>
      </c>
      <c r="E307">
        <v>-0.46</v>
      </c>
      <c r="F307">
        <v>276</v>
      </c>
      <c r="G307">
        <v>11.7</v>
      </c>
      <c r="H307" t="s">
        <v>397</v>
      </c>
      <c r="I307" t="s">
        <v>397</v>
      </c>
      <c r="J307">
        <v>5992</v>
      </c>
      <c r="K307">
        <v>0.54</v>
      </c>
      <c r="L307">
        <v>120</v>
      </c>
      <c r="M307">
        <v>3.72</v>
      </c>
    </row>
    <row r="308" spans="1:13">
      <c r="A308" s="28">
        <v>263770</v>
      </c>
      <c r="B308" t="s">
        <v>314</v>
      </c>
      <c r="C308">
        <v>2695</v>
      </c>
      <c r="D308">
        <v>-25</v>
      </c>
      <c r="E308">
        <v>-0.92</v>
      </c>
      <c r="F308">
        <v>533</v>
      </c>
      <c r="G308">
        <v>5.0599999999999996</v>
      </c>
      <c r="H308" t="s">
        <v>397</v>
      </c>
      <c r="I308" t="s">
        <v>397</v>
      </c>
      <c r="J308">
        <v>2949</v>
      </c>
      <c r="K308">
        <v>0.91</v>
      </c>
      <c r="L308">
        <v>100</v>
      </c>
      <c r="M308">
        <v>3.71</v>
      </c>
    </row>
    <row r="309" spans="1:13">
      <c r="A309" s="28">
        <v>16610</v>
      </c>
      <c r="B309" t="s">
        <v>516</v>
      </c>
      <c r="C309">
        <v>4580</v>
      </c>
      <c r="D309">
        <v>60</v>
      </c>
      <c r="E309">
        <v>1.33</v>
      </c>
      <c r="F309" t="s">
        <v>397</v>
      </c>
      <c r="G309" t="s">
        <v>397</v>
      </c>
      <c r="H309" t="s">
        <v>397</v>
      </c>
      <c r="I309" t="s">
        <v>397</v>
      </c>
      <c r="J309">
        <v>22203</v>
      </c>
      <c r="K309">
        <v>0.21</v>
      </c>
      <c r="L309">
        <v>170</v>
      </c>
      <c r="M309">
        <v>3.71</v>
      </c>
    </row>
    <row r="310" spans="1:13">
      <c r="A310" s="28">
        <v>37760</v>
      </c>
      <c r="B310" t="s">
        <v>313</v>
      </c>
      <c r="C310">
        <v>1346</v>
      </c>
      <c r="D310">
        <v>1</v>
      </c>
      <c r="E310">
        <v>7.0000000000000007E-2</v>
      </c>
      <c r="F310">
        <v>272</v>
      </c>
      <c r="G310">
        <v>4.95</v>
      </c>
      <c r="H310" t="s">
        <v>397</v>
      </c>
      <c r="I310" t="s">
        <v>397</v>
      </c>
      <c r="J310">
        <v>2867</v>
      </c>
      <c r="K310">
        <v>0.47</v>
      </c>
      <c r="L310">
        <v>50</v>
      </c>
      <c r="M310">
        <v>3.71</v>
      </c>
    </row>
    <row r="311" spans="1:13">
      <c r="A311" s="28">
        <v>49960</v>
      </c>
      <c r="B311" t="s">
        <v>310</v>
      </c>
      <c r="C311">
        <v>12200</v>
      </c>
      <c r="D311">
        <v>140</v>
      </c>
      <c r="E311">
        <v>1.1599999999999999</v>
      </c>
      <c r="F311">
        <v>1201</v>
      </c>
      <c r="G311">
        <v>10.16</v>
      </c>
      <c r="H311" t="s">
        <v>397</v>
      </c>
      <c r="I311" t="s">
        <v>397</v>
      </c>
      <c r="J311">
        <v>15794</v>
      </c>
      <c r="K311">
        <v>0.77</v>
      </c>
      <c r="L311">
        <v>450</v>
      </c>
      <c r="M311">
        <v>3.69</v>
      </c>
    </row>
    <row r="312" spans="1:13">
      <c r="A312" s="28">
        <v>34120</v>
      </c>
      <c r="B312" t="s">
        <v>105</v>
      </c>
      <c r="C312">
        <v>27150</v>
      </c>
      <c r="D312">
        <v>-100</v>
      </c>
      <c r="E312">
        <v>-0.37</v>
      </c>
      <c r="F312">
        <v>8623</v>
      </c>
      <c r="G312">
        <v>3.15</v>
      </c>
      <c r="H312">
        <v>3096</v>
      </c>
      <c r="I312">
        <v>8.77</v>
      </c>
      <c r="J312">
        <v>46405</v>
      </c>
      <c r="K312">
        <v>0.59</v>
      </c>
      <c r="L312">
        <v>1000</v>
      </c>
      <c r="M312">
        <v>3.68</v>
      </c>
    </row>
    <row r="313" spans="1:13">
      <c r="A313" s="28">
        <v>178920</v>
      </c>
      <c r="B313" t="s">
        <v>517</v>
      </c>
      <c r="C313">
        <v>21200</v>
      </c>
      <c r="D313">
        <v>-350</v>
      </c>
      <c r="E313">
        <v>-1.62</v>
      </c>
      <c r="F313">
        <v>1557</v>
      </c>
      <c r="G313">
        <v>13.62</v>
      </c>
      <c r="H313">
        <v>1046</v>
      </c>
      <c r="I313">
        <v>20.260000000000002</v>
      </c>
      <c r="J313">
        <v>11627</v>
      </c>
      <c r="K313">
        <v>1.82</v>
      </c>
      <c r="L313">
        <v>779</v>
      </c>
      <c r="M313">
        <v>3.67</v>
      </c>
    </row>
    <row r="314" spans="1:13">
      <c r="A314" s="28">
        <v>72710</v>
      </c>
      <c r="B314" t="s">
        <v>128</v>
      </c>
      <c r="C314">
        <v>68200</v>
      </c>
      <c r="D314">
        <v>700</v>
      </c>
      <c r="E314">
        <v>1.04</v>
      </c>
      <c r="F314">
        <v>7353</v>
      </c>
      <c r="G314">
        <v>9.2799999999999994</v>
      </c>
      <c r="H314" t="s">
        <v>397</v>
      </c>
      <c r="I314" t="s">
        <v>397</v>
      </c>
      <c r="J314">
        <v>231914</v>
      </c>
      <c r="K314">
        <v>0.28999999999999998</v>
      </c>
      <c r="L314">
        <v>2500</v>
      </c>
      <c r="M314">
        <v>3.67</v>
      </c>
    </row>
    <row r="315" spans="1:13">
      <c r="A315" s="28">
        <v>7690</v>
      </c>
      <c r="B315" t="s">
        <v>122</v>
      </c>
      <c r="C315">
        <v>38500</v>
      </c>
      <c r="D315">
        <v>-550</v>
      </c>
      <c r="E315">
        <v>-1.41</v>
      </c>
      <c r="F315">
        <v>8626</v>
      </c>
      <c r="G315">
        <v>4.46</v>
      </c>
      <c r="H315">
        <v>3256</v>
      </c>
      <c r="I315">
        <v>11.82</v>
      </c>
      <c r="J315">
        <v>99565</v>
      </c>
      <c r="K315">
        <v>0.39</v>
      </c>
      <c r="L315">
        <v>1400</v>
      </c>
      <c r="M315">
        <v>3.64</v>
      </c>
    </row>
    <row r="316" spans="1:13">
      <c r="A316" s="28">
        <v>101530</v>
      </c>
      <c r="B316" t="s">
        <v>518</v>
      </c>
      <c r="C316">
        <v>5500</v>
      </c>
      <c r="D316">
        <v>-50</v>
      </c>
      <c r="E316">
        <v>-0.9</v>
      </c>
      <c r="F316" t="s">
        <v>397</v>
      </c>
      <c r="G316" t="s">
        <v>397</v>
      </c>
      <c r="H316" t="s">
        <v>397</v>
      </c>
      <c r="I316" t="s">
        <v>397</v>
      </c>
      <c r="J316">
        <v>9537</v>
      </c>
      <c r="K316">
        <v>0.57999999999999996</v>
      </c>
      <c r="L316">
        <v>200</v>
      </c>
      <c r="M316">
        <v>3.64</v>
      </c>
    </row>
    <row r="317" spans="1:13">
      <c r="A317" s="28">
        <v>111380</v>
      </c>
      <c r="B317" t="s">
        <v>519</v>
      </c>
      <c r="C317">
        <v>22050</v>
      </c>
      <c r="D317">
        <v>-900</v>
      </c>
      <c r="E317">
        <v>-3.92</v>
      </c>
      <c r="F317">
        <v>5665</v>
      </c>
      <c r="G317">
        <v>3.89</v>
      </c>
      <c r="H317">
        <v>5946</v>
      </c>
      <c r="I317">
        <v>3.71</v>
      </c>
      <c r="J317">
        <v>10236</v>
      </c>
      <c r="K317">
        <v>2.15</v>
      </c>
      <c r="L317">
        <v>800</v>
      </c>
      <c r="M317">
        <v>3.63</v>
      </c>
    </row>
    <row r="318" spans="1:13">
      <c r="A318" s="28">
        <v>23000</v>
      </c>
      <c r="B318" t="s">
        <v>160</v>
      </c>
      <c r="C318">
        <v>2895</v>
      </c>
      <c r="D318">
        <v>10</v>
      </c>
      <c r="E318">
        <v>0.35</v>
      </c>
      <c r="F318">
        <v>327</v>
      </c>
      <c r="G318">
        <v>8.85</v>
      </c>
      <c r="H318" t="s">
        <v>397</v>
      </c>
      <c r="I318" t="s">
        <v>397</v>
      </c>
      <c r="J318">
        <v>5807</v>
      </c>
      <c r="K318">
        <v>0.5</v>
      </c>
      <c r="L318">
        <v>105</v>
      </c>
      <c r="M318">
        <v>3.63</v>
      </c>
    </row>
    <row r="319" spans="1:13">
      <c r="A319" s="28">
        <v>111770</v>
      </c>
      <c r="B319" t="s">
        <v>182</v>
      </c>
      <c r="C319">
        <v>42250</v>
      </c>
      <c r="D319">
        <v>-250</v>
      </c>
      <c r="E319">
        <v>-0.59</v>
      </c>
      <c r="F319">
        <v>15377</v>
      </c>
      <c r="G319">
        <v>2.75</v>
      </c>
      <c r="H319">
        <v>10085</v>
      </c>
      <c r="I319">
        <v>4.1900000000000004</v>
      </c>
      <c r="J319">
        <v>64162</v>
      </c>
      <c r="K319">
        <v>0.66</v>
      </c>
      <c r="L319">
        <v>1530</v>
      </c>
      <c r="M319">
        <v>3.62</v>
      </c>
    </row>
    <row r="320" spans="1:13">
      <c r="A320" s="28">
        <v>24720</v>
      </c>
      <c r="B320" t="s">
        <v>520</v>
      </c>
      <c r="C320">
        <v>8280</v>
      </c>
      <c r="D320">
        <v>20</v>
      </c>
      <c r="E320">
        <v>0.24</v>
      </c>
      <c r="F320" t="s">
        <v>397</v>
      </c>
      <c r="G320" t="s">
        <v>397</v>
      </c>
      <c r="H320" t="s">
        <v>397</v>
      </c>
      <c r="I320" t="s">
        <v>397</v>
      </c>
      <c r="J320">
        <v>16735</v>
      </c>
      <c r="K320">
        <v>0.49</v>
      </c>
      <c r="L320">
        <v>300</v>
      </c>
      <c r="M320">
        <v>3.62</v>
      </c>
    </row>
    <row r="321" spans="1:13">
      <c r="A321" s="28">
        <v>36640</v>
      </c>
      <c r="B321" t="s">
        <v>306</v>
      </c>
      <c r="C321">
        <v>5520</v>
      </c>
      <c r="D321">
        <v>-60</v>
      </c>
      <c r="E321">
        <v>-1.08</v>
      </c>
      <c r="F321">
        <v>628</v>
      </c>
      <c r="G321">
        <v>8.7899999999999991</v>
      </c>
      <c r="H321" t="s">
        <v>397</v>
      </c>
      <c r="I321" t="s">
        <v>397</v>
      </c>
      <c r="J321">
        <v>6661</v>
      </c>
      <c r="K321">
        <v>0.83</v>
      </c>
      <c r="L321">
        <v>200</v>
      </c>
      <c r="M321">
        <v>3.62</v>
      </c>
    </row>
    <row r="322" spans="1:13">
      <c r="A322" s="28">
        <v>91590</v>
      </c>
      <c r="B322" t="s">
        <v>324</v>
      </c>
      <c r="C322">
        <v>5530</v>
      </c>
      <c r="D322">
        <v>-30</v>
      </c>
      <c r="E322">
        <v>-0.54</v>
      </c>
      <c r="F322">
        <v>1719</v>
      </c>
      <c r="G322">
        <v>3.22</v>
      </c>
      <c r="H322" t="s">
        <v>397</v>
      </c>
      <c r="I322" t="s">
        <v>397</v>
      </c>
      <c r="J322">
        <v>14298</v>
      </c>
      <c r="K322">
        <v>0.39</v>
      </c>
      <c r="L322">
        <v>200</v>
      </c>
      <c r="M322">
        <v>3.62</v>
      </c>
    </row>
    <row r="323" spans="1:13">
      <c r="A323" s="28">
        <v>297890</v>
      </c>
      <c r="B323" t="s">
        <v>521</v>
      </c>
      <c r="C323">
        <v>4155</v>
      </c>
      <c r="D323">
        <v>-45</v>
      </c>
      <c r="E323">
        <v>-1.07</v>
      </c>
      <c r="F323">
        <v>653</v>
      </c>
      <c r="G323">
        <v>6.36</v>
      </c>
      <c r="H323" t="s">
        <v>397</v>
      </c>
      <c r="I323" t="s">
        <v>397</v>
      </c>
      <c r="J323">
        <v>2190</v>
      </c>
      <c r="K323">
        <v>1.9</v>
      </c>
      <c r="L323">
        <v>150</v>
      </c>
      <c r="M323">
        <v>3.61</v>
      </c>
    </row>
    <row r="324" spans="1:13">
      <c r="A324" s="28">
        <v>13580</v>
      </c>
      <c r="B324" t="s">
        <v>118</v>
      </c>
      <c r="C324">
        <v>13850</v>
      </c>
      <c r="D324">
        <v>-100</v>
      </c>
      <c r="E324">
        <v>-0.72</v>
      </c>
      <c r="F324">
        <v>6828</v>
      </c>
      <c r="G324">
        <v>2.0299999999999998</v>
      </c>
      <c r="H324" t="s">
        <v>397</v>
      </c>
      <c r="I324" t="s">
        <v>397</v>
      </c>
      <c r="J324">
        <v>84371</v>
      </c>
      <c r="K324">
        <v>0.16</v>
      </c>
      <c r="L324">
        <v>500</v>
      </c>
      <c r="M324">
        <v>3.61</v>
      </c>
    </row>
    <row r="325" spans="1:13">
      <c r="A325" s="28">
        <v>75180</v>
      </c>
      <c r="B325" t="s">
        <v>522</v>
      </c>
      <c r="C325">
        <v>3890</v>
      </c>
      <c r="D325">
        <v>30</v>
      </c>
      <c r="E325">
        <v>0.78</v>
      </c>
      <c r="F325" t="s">
        <v>397</v>
      </c>
      <c r="G325" t="s">
        <v>397</v>
      </c>
      <c r="H325" t="s">
        <v>397</v>
      </c>
      <c r="I325" t="s">
        <v>397</v>
      </c>
      <c r="J325">
        <v>11978</v>
      </c>
      <c r="K325">
        <v>0.32</v>
      </c>
      <c r="L325">
        <v>140</v>
      </c>
      <c r="M325">
        <v>3.6</v>
      </c>
    </row>
    <row r="326" spans="1:13">
      <c r="A326" s="28">
        <v>2290</v>
      </c>
      <c r="B326" t="s">
        <v>321</v>
      </c>
      <c r="C326">
        <v>3470</v>
      </c>
      <c r="D326">
        <v>20</v>
      </c>
      <c r="E326">
        <v>0.57999999999999996</v>
      </c>
      <c r="F326">
        <v>201</v>
      </c>
      <c r="G326">
        <v>17.260000000000002</v>
      </c>
      <c r="H326" t="s">
        <v>397</v>
      </c>
      <c r="I326" t="s">
        <v>397</v>
      </c>
      <c r="J326">
        <v>5077</v>
      </c>
      <c r="K326">
        <v>0.68</v>
      </c>
      <c r="L326">
        <v>125</v>
      </c>
      <c r="M326">
        <v>3.6</v>
      </c>
    </row>
    <row r="327" spans="1:13">
      <c r="A327" s="28">
        <v>93380</v>
      </c>
      <c r="B327" t="s">
        <v>319</v>
      </c>
      <c r="C327">
        <v>3625</v>
      </c>
      <c r="D327">
        <v>-15</v>
      </c>
      <c r="E327">
        <v>-0.41</v>
      </c>
      <c r="F327">
        <v>444</v>
      </c>
      <c r="G327">
        <v>8.16</v>
      </c>
      <c r="H327" t="s">
        <v>397</v>
      </c>
      <c r="I327" t="s">
        <v>397</v>
      </c>
      <c r="J327">
        <v>7221</v>
      </c>
      <c r="K327">
        <v>0.5</v>
      </c>
      <c r="L327">
        <v>130</v>
      </c>
      <c r="M327">
        <v>3.59</v>
      </c>
    </row>
    <row r="328" spans="1:13">
      <c r="A328" s="28">
        <v>2150</v>
      </c>
      <c r="B328" t="s">
        <v>523</v>
      </c>
      <c r="C328">
        <v>7790</v>
      </c>
      <c r="D328">
        <v>40</v>
      </c>
      <c r="E328">
        <v>0.52</v>
      </c>
      <c r="F328">
        <v>47</v>
      </c>
      <c r="G328">
        <v>165.74</v>
      </c>
      <c r="H328" t="s">
        <v>397</v>
      </c>
      <c r="I328" t="s">
        <v>397</v>
      </c>
      <c r="J328">
        <v>7986</v>
      </c>
      <c r="K328">
        <v>0.98</v>
      </c>
      <c r="L328">
        <v>280</v>
      </c>
      <c r="M328">
        <v>3.59</v>
      </c>
    </row>
    <row r="329" spans="1:13">
      <c r="A329" s="28" t="s">
        <v>524</v>
      </c>
      <c r="B329" t="s">
        <v>525</v>
      </c>
      <c r="C329">
        <v>18560</v>
      </c>
      <c r="D329">
        <v>-10</v>
      </c>
      <c r="E329">
        <v>-0.05</v>
      </c>
      <c r="F329" t="s">
        <v>397</v>
      </c>
      <c r="G329" t="s">
        <v>397</v>
      </c>
      <c r="H329" t="s">
        <v>397</v>
      </c>
      <c r="I329" t="s">
        <v>397</v>
      </c>
      <c r="J329" t="s">
        <v>397</v>
      </c>
      <c r="K329" t="s">
        <v>397</v>
      </c>
      <c r="L329">
        <v>667</v>
      </c>
      <c r="M329">
        <v>3.59</v>
      </c>
    </row>
    <row r="330" spans="1:13">
      <c r="A330" s="28">
        <v>221980</v>
      </c>
      <c r="B330" t="s">
        <v>320</v>
      </c>
      <c r="C330">
        <v>12020</v>
      </c>
      <c r="D330">
        <v>-80</v>
      </c>
      <c r="E330">
        <v>-0.66</v>
      </c>
      <c r="F330">
        <v>2136</v>
      </c>
      <c r="G330">
        <v>5.63</v>
      </c>
      <c r="H330" t="s">
        <v>397</v>
      </c>
      <c r="I330" t="s">
        <v>397</v>
      </c>
      <c r="J330">
        <v>25215</v>
      </c>
      <c r="K330">
        <v>0.48</v>
      </c>
      <c r="L330">
        <v>430</v>
      </c>
      <c r="M330">
        <v>3.58</v>
      </c>
    </row>
    <row r="331" spans="1:13">
      <c r="A331" s="28">
        <v>134380</v>
      </c>
      <c r="B331" t="s">
        <v>526</v>
      </c>
      <c r="C331">
        <v>69800</v>
      </c>
      <c r="D331">
        <v>200</v>
      </c>
      <c r="E331">
        <v>0.28999999999999998</v>
      </c>
      <c r="F331">
        <v>7959</v>
      </c>
      <c r="G331">
        <v>8.77</v>
      </c>
      <c r="H331" t="s">
        <v>397</v>
      </c>
      <c r="I331" t="s">
        <v>397</v>
      </c>
      <c r="J331">
        <v>64815</v>
      </c>
      <c r="K331">
        <v>1.08</v>
      </c>
      <c r="L331">
        <v>2500</v>
      </c>
      <c r="M331">
        <v>3.58</v>
      </c>
    </row>
    <row r="332" spans="1:13">
      <c r="A332" s="28">
        <v>45100</v>
      </c>
      <c r="B332" t="s">
        <v>312</v>
      </c>
      <c r="C332">
        <v>16770</v>
      </c>
      <c r="D332">
        <v>-380</v>
      </c>
      <c r="E332">
        <v>-2.2200000000000002</v>
      </c>
      <c r="F332">
        <v>4044</v>
      </c>
      <c r="G332">
        <v>4.1500000000000004</v>
      </c>
      <c r="H332" t="s">
        <v>397</v>
      </c>
      <c r="I332" t="s">
        <v>397</v>
      </c>
      <c r="J332">
        <v>27595</v>
      </c>
      <c r="K332">
        <v>0.61</v>
      </c>
      <c r="L332">
        <v>600</v>
      </c>
      <c r="M332">
        <v>3.58</v>
      </c>
    </row>
    <row r="333" spans="1:13">
      <c r="A333" s="28">
        <v>15230</v>
      </c>
      <c r="B333" t="s">
        <v>133</v>
      </c>
      <c r="C333">
        <v>5600</v>
      </c>
      <c r="D333">
        <v>50</v>
      </c>
      <c r="E333">
        <v>0.9</v>
      </c>
      <c r="F333">
        <v>1417</v>
      </c>
      <c r="G333">
        <v>3.95</v>
      </c>
      <c r="H333" t="s">
        <v>397</v>
      </c>
      <c r="I333" t="s">
        <v>397</v>
      </c>
      <c r="J333">
        <v>9161</v>
      </c>
      <c r="K333">
        <v>0.61</v>
      </c>
      <c r="L333">
        <v>200</v>
      </c>
      <c r="M333">
        <v>3.57</v>
      </c>
    </row>
    <row r="334" spans="1:13">
      <c r="A334" s="28">
        <v>5950</v>
      </c>
      <c r="B334" t="s">
        <v>527</v>
      </c>
      <c r="C334">
        <v>14040</v>
      </c>
      <c r="D334">
        <v>-280</v>
      </c>
      <c r="E334">
        <v>-1.96</v>
      </c>
      <c r="F334">
        <v>1019</v>
      </c>
      <c r="G334">
        <v>13.78</v>
      </c>
      <c r="H334" t="s">
        <v>397</v>
      </c>
      <c r="I334" t="s">
        <v>397</v>
      </c>
      <c r="J334">
        <v>11236</v>
      </c>
      <c r="K334">
        <v>1.25</v>
      </c>
      <c r="L334">
        <v>500</v>
      </c>
      <c r="M334">
        <v>3.56</v>
      </c>
    </row>
    <row r="335" spans="1:13">
      <c r="A335" s="28">
        <v>215200</v>
      </c>
      <c r="B335" t="s">
        <v>528</v>
      </c>
      <c r="C335">
        <v>59000</v>
      </c>
      <c r="D335">
        <v>-1600</v>
      </c>
      <c r="E335">
        <v>-2.64</v>
      </c>
      <c r="F335">
        <v>8793</v>
      </c>
      <c r="G335">
        <v>6.71</v>
      </c>
      <c r="H335">
        <v>10535</v>
      </c>
      <c r="I335">
        <v>5.6</v>
      </c>
      <c r="J335">
        <v>35711</v>
      </c>
      <c r="K335">
        <v>1.65</v>
      </c>
      <c r="L335">
        <v>2100</v>
      </c>
      <c r="M335">
        <v>3.56</v>
      </c>
    </row>
    <row r="336" spans="1:13">
      <c r="A336" s="28">
        <v>55490</v>
      </c>
      <c r="B336" t="s">
        <v>211</v>
      </c>
      <c r="C336">
        <v>25250</v>
      </c>
      <c r="D336">
        <v>-650</v>
      </c>
      <c r="E336">
        <v>-2.5099999999999998</v>
      </c>
      <c r="F336">
        <v>4013</v>
      </c>
      <c r="G336">
        <v>6.29</v>
      </c>
      <c r="H336" t="s">
        <v>397</v>
      </c>
      <c r="I336" t="s">
        <v>397</v>
      </c>
      <c r="J336">
        <v>31365</v>
      </c>
      <c r="K336">
        <v>0.81</v>
      </c>
      <c r="L336">
        <v>900</v>
      </c>
      <c r="M336">
        <v>3.56</v>
      </c>
    </row>
    <row r="337" spans="1:13">
      <c r="A337" s="28">
        <v>58650</v>
      </c>
      <c r="B337" t="s">
        <v>168</v>
      </c>
      <c r="C337">
        <v>112400</v>
      </c>
      <c r="D337">
        <v>900</v>
      </c>
      <c r="E337">
        <v>0.81</v>
      </c>
      <c r="F337">
        <v>31597</v>
      </c>
      <c r="G337">
        <v>3.56</v>
      </c>
      <c r="H337" t="s">
        <v>397</v>
      </c>
      <c r="I337" t="s">
        <v>397</v>
      </c>
      <c r="J337">
        <v>530930</v>
      </c>
      <c r="K337">
        <v>0.21</v>
      </c>
      <c r="L337">
        <v>4000</v>
      </c>
      <c r="M337">
        <v>3.56</v>
      </c>
    </row>
    <row r="338" spans="1:13">
      <c r="A338" s="28">
        <v>131180</v>
      </c>
      <c r="B338" t="s">
        <v>309</v>
      </c>
      <c r="C338">
        <v>1125</v>
      </c>
      <c r="D338">
        <v>5</v>
      </c>
      <c r="E338">
        <v>0.45</v>
      </c>
      <c r="F338">
        <v>94</v>
      </c>
      <c r="G338">
        <v>11.97</v>
      </c>
      <c r="H338" t="s">
        <v>397</v>
      </c>
      <c r="I338" t="s">
        <v>397</v>
      </c>
      <c r="J338">
        <v>2103</v>
      </c>
      <c r="K338">
        <v>0.53</v>
      </c>
      <c r="L338">
        <v>40</v>
      </c>
      <c r="M338">
        <v>3.56</v>
      </c>
    </row>
    <row r="339" spans="1:13">
      <c r="A339" s="28">
        <v>64960</v>
      </c>
      <c r="B339" t="s">
        <v>112</v>
      </c>
      <c r="C339">
        <v>45200</v>
      </c>
      <c r="D339">
        <v>250</v>
      </c>
      <c r="E339">
        <v>0.56000000000000005</v>
      </c>
      <c r="F339">
        <v>6470</v>
      </c>
      <c r="G339">
        <v>6.99</v>
      </c>
      <c r="H339">
        <v>7201</v>
      </c>
      <c r="I339">
        <v>6.28</v>
      </c>
      <c r="J339">
        <v>66442</v>
      </c>
      <c r="K339">
        <v>0.68</v>
      </c>
      <c r="L339">
        <v>1600</v>
      </c>
      <c r="M339">
        <v>3.54</v>
      </c>
    </row>
    <row r="340" spans="1:13">
      <c r="A340" s="28">
        <v>241790</v>
      </c>
      <c r="B340" t="s">
        <v>529</v>
      </c>
      <c r="C340">
        <v>11900</v>
      </c>
      <c r="D340">
        <v>-170</v>
      </c>
      <c r="E340">
        <v>-1.41</v>
      </c>
      <c r="F340">
        <v>1488</v>
      </c>
      <c r="G340">
        <v>8</v>
      </c>
      <c r="H340" t="s">
        <v>397</v>
      </c>
      <c r="I340" t="s">
        <v>397</v>
      </c>
      <c r="J340">
        <v>9808</v>
      </c>
      <c r="K340">
        <v>1.21</v>
      </c>
      <c r="L340">
        <v>420</v>
      </c>
      <c r="M340">
        <v>3.53</v>
      </c>
    </row>
    <row r="341" spans="1:13">
      <c r="A341" s="28" t="s">
        <v>530</v>
      </c>
      <c r="B341" t="s">
        <v>531</v>
      </c>
      <c r="C341">
        <v>2860</v>
      </c>
      <c r="D341">
        <v>5</v>
      </c>
      <c r="E341">
        <v>0.18</v>
      </c>
      <c r="F341" t="s">
        <v>397</v>
      </c>
      <c r="G341" t="s">
        <v>397</v>
      </c>
      <c r="H341" t="s">
        <v>397</v>
      </c>
      <c r="I341" t="s">
        <v>397</v>
      </c>
      <c r="J341" t="s">
        <v>397</v>
      </c>
      <c r="K341" t="s">
        <v>397</v>
      </c>
      <c r="L341">
        <v>101</v>
      </c>
      <c r="M341">
        <v>3.53</v>
      </c>
    </row>
    <row r="342" spans="1:13">
      <c r="A342" s="28">
        <v>37560</v>
      </c>
      <c r="B342" t="s">
        <v>532</v>
      </c>
      <c r="C342">
        <v>3395</v>
      </c>
      <c r="D342">
        <v>-80</v>
      </c>
      <c r="E342">
        <v>-2.2999999999999998</v>
      </c>
      <c r="F342" t="s">
        <v>397</v>
      </c>
      <c r="G342" t="s">
        <v>397</v>
      </c>
      <c r="H342">
        <v>508</v>
      </c>
      <c r="I342">
        <v>6.68</v>
      </c>
      <c r="J342">
        <v>8077</v>
      </c>
      <c r="K342">
        <v>0.42</v>
      </c>
      <c r="L342">
        <v>120</v>
      </c>
      <c r="M342">
        <v>3.53</v>
      </c>
    </row>
    <row r="343" spans="1:13">
      <c r="A343" s="28">
        <v>69510</v>
      </c>
      <c r="B343" t="s">
        <v>317</v>
      </c>
      <c r="C343">
        <v>8530</v>
      </c>
      <c r="D343">
        <v>40</v>
      </c>
      <c r="E343">
        <v>0.47</v>
      </c>
      <c r="F343">
        <v>1134</v>
      </c>
      <c r="G343">
        <v>7.52</v>
      </c>
      <c r="H343" t="s">
        <v>397</v>
      </c>
      <c r="I343" t="s">
        <v>397</v>
      </c>
      <c r="J343">
        <v>16586</v>
      </c>
      <c r="K343">
        <v>0.51</v>
      </c>
      <c r="L343">
        <v>300</v>
      </c>
      <c r="M343">
        <v>3.52</v>
      </c>
    </row>
    <row r="344" spans="1:13">
      <c r="A344" s="28" t="s">
        <v>533</v>
      </c>
      <c r="B344" t="s">
        <v>534</v>
      </c>
      <c r="C344">
        <v>9120</v>
      </c>
      <c r="D344">
        <v>0</v>
      </c>
      <c r="E344">
        <v>0</v>
      </c>
      <c r="F344" t="s">
        <v>397</v>
      </c>
      <c r="G344" t="s">
        <v>397</v>
      </c>
      <c r="H344" t="s">
        <v>397</v>
      </c>
      <c r="I344" t="s">
        <v>397</v>
      </c>
      <c r="J344" t="s">
        <v>397</v>
      </c>
      <c r="K344" t="s">
        <v>397</v>
      </c>
      <c r="L344">
        <v>320</v>
      </c>
      <c r="M344">
        <v>3.51</v>
      </c>
    </row>
    <row r="345" spans="1:13">
      <c r="A345" s="28">
        <v>57030</v>
      </c>
      <c r="B345" t="s">
        <v>535</v>
      </c>
      <c r="C345">
        <v>4285</v>
      </c>
      <c r="D345">
        <v>-115</v>
      </c>
      <c r="E345">
        <v>-2.61</v>
      </c>
      <c r="F345">
        <v>472</v>
      </c>
      <c r="G345">
        <v>9.08</v>
      </c>
      <c r="H345" t="s">
        <v>397</v>
      </c>
      <c r="I345" t="s">
        <v>397</v>
      </c>
      <c r="J345">
        <v>3039</v>
      </c>
      <c r="K345">
        <v>1.41</v>
      </c>
      <c r="L345">
        <v>150</v>
      </c>
      <c r="M345">
        <v>3.5</v>
      </c>
    </row>
    <row r="346" spans="1:13">
      <c r="A346" s="28">
        <v>51600</v>
      </c>
      <c r="B346" t="s">
        <v>536</v>
      </c>
      <c r="C346">
        <v>37300</v>
      </c>
      <c r="D346">
        <v>-500</v>
      </c>
      <c r="E346">
        <v>-1.32</v>
      </c>
      <c r="F346">
        <v>2226</v>
      </c>
      <c r="G346">
        <v>16.760000000000002</v>
      </c>
      <c r="H346">
        <v>3479</v>
      </c>
      <c r="I346">
        <v>10.72</v>
      </c>
      <c r="J346">
        <v>27016</v>
      </c>
      <c r="K346">
        <v>1.38</v>
      </c>
      <c r="L346">
        <v>1305</v>
      </c>
      <c r="M346">
        <v>3.5</v>
      </c>
    </row>
    <row r="347" spans="1:13">
      <c r="A347" s="28">
        <v>208140</v>
      </c>
      <c r="B347" t="s">
        <v>305</v>
      </c>
      <c r="C347">
        <v>2865</v>
      </c>
      <c r="D347">
        <v>-50</v>
      </c>
      <c r="E347">
        <v>-1.72</v>
      </c>
      <c r="F347">
        <v>470</v>
      </c>
      <c r="G347">
        <v>6.1</v>
      </c>
      <c r="H347">
        <v>1049</v>
      </c>
      <c r="I347">
        <v>2.73</v>
      </c>
      <c r="J347">
        <v>2849</v>
      </c>
      <c r="K347">
        <v>1.01</v>
      </c>
      <c r="L347">
        <v>100</v>
      </c>
      <c r="M347">
        <v>3.49</v>
      </c>
    </row>
    <row r="348" spans="1:13">
      <c r="A348" s="28">
        <v>110790</v>
      </c>
      <c r="B348" t="s">
        <v>326</v>
      </c>
      <c r="C348">
        <v>7190</v>
      </c>
      <c r="D348">
        <v>-10</v>
      </c>
      <c r="E348">
        <v>-0.14000000000000001</v>
      </c>
      <c r="F348">
        <v>1228</v>
      </c>
      <c r="G348">
        <v>5.86</v>
      </c>
      <c r="H348" t="s">
        <v>397</v>
      </c>
      <c r="I348" t="s">
        <v>397</v>
      </c>
      <c r="J348">
        <v>14784</v>
      </c>
      <c r="K348">
        <v>0.49</v>
      </c>
      <c r="L348">
        <v>250</v>
      </c>
      <c r="M348">
        <v>3.48</v>
      </c>
    </row>
    <row r="349" spans="1:13">
      <c r="A349" s="28">
        <v>30190</v>
      </c>
      <c r="B349" t="s">
        <v>537</v>
      </c>
      <c r="C349">
        <v>10620</v>
      </c>
      <c r="D349">
        <v>-30</v>
      </c>
      <c r="E349">
        <v>-0.28000000000000003</v>
      </c>
      <c r="F349">
        <v>882</v>
      </c>
      <c r="G349">
        <v>12.04</v>
      </c>
      <c r="H349">
        <v>932</v>
      </c>
      <c r="I349">
        <v>11.4</v>
      </c>
      <c r="J349">
        <v>5732</v>
      </c>
      <c r="K349">
        <v>1.85</v>
      </c>
      <c r="L349">
        <v>370</v>
      </c>
      <c r="M349">
        <v>3.48</v>
      </c>
    </row>
    <row r="350" spans="1:13">
      <c r="A350" s="28">
        <v>189690</v>
      </c>
      <c r="B350" t="s">
        <v>538</v>
      </c>
      <c r="C350">
        <v>2885</v>
      </c>
      <c r="D350">
        <v>65</v>
      </c>
      <c r="E350">
        <v>2.2999999999999998</v>
      </c>
      <c r="F350">
        <v>192</v>
      </c>
      <c r="G350">
        <v>15.03</v>
      </c>
      <c r="H350" t="s">
        <v>397</v>
      </c>
      <c r="I350" t="s">
        <v>397</v>
      </c>
      <c r="J350">
        <v>2585</v>
      </c>
      <c r="K350">
        <v>1.1200000000000001</v>
      </c>
      <c r="L350">
        <v>100</v>
      </c>
      <c r="M350">
        <v>3.47</v>
      </c>
    </row>
    <row r="351" spans="1:13">
      <c r="A351" s="28" t="s">
        <v>539</v>
      </c>
      <c r="B351" t="s">
        <v>540</v>
      </c>
      <c r="C351">
        <v>146500</v>
      </c>
      <c r="D351">
        <v>-100</v>
      </c>
      <c r="E351">
        <v>-7.0000000000000007E-2</v>
      </c>
      <c r="F351" t="s">
        <v>397</v>
      </c>
      <c r="G351" t="s">
        <v>397</v>
      </c>
      <c r="H351" t="s">
        <v>397</v>
      </c>
      <c r="I351" t="s">
        <v>397</v>
      </c>
      <c r="J351" t="s">
        <v>397</v>
      </c>
      <c r="K351" t="s">
        <v>397</v>
      </c>
      <c r="L351">
        <v>5050</v>
      </c>
      <c r="M351">
        <v>3.45</v>
      </c>
    </row>
    <row r="352" spans="1:13">
      <c r="A352" s="28">
        <v>56190</v>
      </c>
      <c r="B352" t="s">
        <v>318</v>
      </c>
      <c r="C352">
        <v>25200</v>
      </c>
      <c r="D352">
        <v>-1150</v>
      </c>
      <c r="E352">
        <v>-4.3600000000000003</v>
      </c>
      <c r="F352">
        <v>2213</v>
      </c>
      <c r="G352">
        <v>11.39</v>
      </c>
      <c r="H352">
        <v>2744</v>
      </c>
      <c r="I352">
        <v>9.18</v>
      </c>
      <c r="J352">
        <v>31974</v>
      </c>
      <c r="K352">
        <v>0.79</v>
      </c>
      <c r="L352">
        <v>870</v>
      </c>
      <c r="M352">
        <v>3.45</v>
      </c>
    </row>
    <row r="353" spans="1:13">
      <c r="A353" s="28">
        <v>35890</v>
      </c>
      <c r="B353" t="s">
        <v>316</v>
      </c>
      <c r="C353">
        <v>1308</v>
      </c>
      <c r="D353">
        <v>-3</v>
      </c>
      <c r="E353">
        <v>-0.23</v>
      </c>
      <c r="F353">
        <v>454</v>
      </c>
      <c r="G353">
        <v>2.88</v>
      </c>
      <c r="H353" t="s">
        <v>397</v>
      </c>
      <c r="I353" t="s">
        <v>397</v>
      </c>
      <c r="J353">
        <v>3361</v>
      </c>
      <c r="K353">
        <v>0.39</v>
      </c>
      <c r="L353">
        <v>45</v>
      </c>
      <c r="M353">
        <v>3.44</v>
      </c>
    </row>
    <row r="354" spans="1:13">
      <c r="A354" s="28">
        <v>294870</v>
      </c>
      <c r="B354" t="s">
        <v>541</v>
      </c>
      <c r="C354">
        <v>17450</v>
      </c>
      <c r="D354">
        <v>-40</v>
      </c>
      <c r="E354">
        <v>-0.23</v>
      </c>
      <c r="F354">
        <v>764</v>
      </c>
      <c r="G354">
        <v>22.84</v>
      </c>
      <c r="H354">
        <v>3746</v>
      </c>
      <c r="I354">
        <v>4.66</v>
      </c>
      <c r="J354">
        <v>43919</v>
      </c>
      <c r="K354">
        <v>0.4</v>
      </c>
      <c r="L354">
        <v>600</v>
      </c>
      <c r="M354">
        <v>3.44</v>
      </c>
    </row>
    <row r="355" spans="1:13">
      <c r="A355" s="28">
        <v>36570</v>
      </c>
      <c r="B355" t="s">
        <v>542</v>
      </c>
      <c r="C355">
        <v>194600</v>
      </c>
      <c r="D355">
        <v>-3100</v>
      </c>
      <c r="E355">
        <v>-1.57</v>
      </c>
      <c r="F355">
        <v>21456</v>
      </c>
      <c r="G355">
        <v>9.07</v>
      </c>
      <c r="H355">
        <v>8844</v>
      </c>
      <c r="I355">
        <v>22</v>
      </c>
      <c r="J355">
        <v>157391</v>
      </c>
      <c r="K355">
        <v>1.24</v>
      </c>
      <c r="L355">
        <v>6680</v>
      </c>
      <c r="M355">
        <v>3.43</v>
      </c>
    </row>
    <row r="356" spans="1:13">
      <c r="A356" s="28">
        <v>120110</v>
      </c>
      <c r="B356" t="s">
        <v>205</v>
      </c>
      <c r="C356">
        <v>38000</v>
      </c>
      <c r="D356">
        <v>-50</v>
      </c>
      <c r="E356">
        <v>-0.13</v>
      </c>
      <c r="F356">
        <v>5934</v>
      </c>
      <c r="G356">
        <v>6.4</v>
      </c>
      <c r="H356">
        <v>4747</v>
      </c>
      <c r="I356">
        <v>8</v>
      </c>
      <c r="J356">
        <v>94856</v>
      </c>
      <c r="K356">
        <v>0.4</v>
      </c>
      <c r="L356">
        <v>1300</v>
      </c>
      <c r="M356">
        <v>3.42</v>
      </c>
    </row>
    <row r="357" spans="1:13">
      <c r="A357" s="28">
        <v>4430</v>
      </c>
      <c r="B357" t="s">
        <v>169</v>
      </c>
      <c r="C357">
        <v>14620</v>
      </c>
      <c r="D357">
        <v>170</v>
      </c>
      <c r="E357">
        <v>1.18</v>
      </c>
      <c r="F357">
        <v>5497</v>
      </c>
      <c r="G357">
        <v>2.66</v>
      </c>
      <c r="H357" t="s">
        <v>397</v>
      </c>
      <c r="I357" t="s">
        <v>397</v>
      </c>
      <c r="J357">
        <v>28443</v>
      </c>
      <c r="K357">
        <v>0.51</v>
      </c>
      <c r="L357">
        <v>500</v>
      </c>
      <c r="M357">
        <v>3.42</v>
      </c>
    </row>
    <row r="358" spans="1:13">
      <c r="A358" s="28">
        <v>15860</v>
      </c>
      <c r="B358" t="s">
        <v>194</v>
      </c>
      <c r="C358">
        <v>4380</v>
      </c>
      <c r="D358">
        <v>45</v>
      </c>
      <c r="E358">
        <v>1.04</v>
      </c>
      <c r="F358">
        <v>400</v>
      </c>
      <c r="G358">
        <v>10.95</v>
      </c>
      <c r="H358" t="s">
        <v>397</v>
      </c>
      <c r="I358" t="s">
        <v>397</v>
      </c>
      <c r="J358">
        <v>9402</v>
      </c>
      <c r="K358">
        <v>0.47</v>
      </c>
      <c r="L358">
        <v>150</v>
      </c>
      <c r="M358">
        <v>3.42</v>
      </c>
    </row>
    <row r="359" spans="1:13">
      <c r="A359" s="28">
        <v>52330</v>
      </c>
      <c r="B359" t="s">
        <v>315</v>
      </c>
      <c r="C359">
        <v>7300</v>
      </c>
      <c r="D359">
        <v>-130</v>
      </c>
      <c r="E359">
        <v>-1.75</v>
      </c>
      <c r="F359">
        <v>1977</v>
      </c>
      <c r="G359">
        <v>3.69</v>
      </c>
      <c r="H359" t="s">
        <v>397</v>
      </c>
      <c r="I359" t="s">
        <v>397</v>
      </c>
      <c r="J359">
        <v>22459</v>
      </c>
      <c r="K359">
        <v>0.33</v>
      </c>
      <c r="L359">
        <v>250</v>
      </c>
      <c r="M359">
        <v>3.42</v>
      </c>
    </row>
    <row r="360" spans="1:13">
      <c r="A360" s="28">
        <v>122450</v>
      </c>
      <c r="B360" t="s">
        <v>322</v>
      </c>
      <c r="C360">
        <v>4900</v>
      </c>
      <c r="D360">
        <v>15</v>
      </c>
      <c r="E360">
        <v>0.31</v>
      </c>
      <c r="F360">
        <v>489</v>
      </c>
      <c r="G360">
        <v>10.02</v>
      </c>
      <c r="H360" t="s">
        <v>397</v>
      </c>
      <c r="I360" t="s">
        <v>397</v>
      </c>
      <c r="J360">
        <v>5988</v>
      </c>
      <c r="K360">
        <v>0.82</v>
      </c>
      <c r="L360">
        <v>167</v>
      </c>
      <c r="M360">
        <v>3.41</v>
      </c>
    </row>
    <row r="361" spans="1:13">
      <c r="A361" s="28">
        <v>73560</v>
      </c>
      <c r="B361" t="s">
        <v>323</v>
      </c>
      <c r="C361">
        <v>1471</v>
      </c>
      <c r="D361">
        <v>-2</v>
      </c>
      <c r="E361">
        <v>-0.14000000000000001</v>
      </c>
      <c r="F361">
        <v>361</v>
      </c>
      <c r="G361">
        <v>4.07</v>
      </c>
      <c r="H361" t="s">
        <v>397</v>
      </c>
      <c r="I361" t="s">
        <v>397</v>
      </c>
      <c r="J361">
        <v>3660</v>
      </c>
      <c r="K361">
        <v>0.4</v>
      </c>
      <c r="L361">
        <v>50</v>
      </c>
      <c r="M361">
        <v>3.4</v>
      </c>
    </row>
    <row r="362" spans="1:13">
      <c r="A362" s="28">
        <v>89600</v>
      </c>
      <c r="B362" t="s">
        <v>543</v>
      </c>
      <c r="C362">
        <v>20600</v>
      </c>
      <c r="D362">
        <v>-200</v>
      </c>
      <c r="E362">
        <v>-0.96</v>
      </c>
      <c r="F362">
        <v>2375</v>
      </c>
      <c r="G362">
        <v>8.67</v>
      </c>
      <c r="H362">
        <v>2352</v>
      </c>
      <c r="I362">
        <v>8.76</v>
      </c>
      <c r="J362">
        <v>18182</v>
      </c>
      <c r="K362">
        <v>1.1299999999999999</v>
      </c>
      <c r="L362">
        <v>700</v>
      </c>
      <c r="M362">
        <v>3.4</v>
      </c>
    </row>
    <row r="363" spans="1:13">
      <c r="A363" s="28">
        <v>24120</v>
      </c>
      <c r="B363" t="s">
        <v>544</v>
      </c>
      <c r="C363">
        <v>4430</v>
      </c>
      <c r="D363">
        <v>-30</v>
      </c>
      <c r="E363">
        <v>-0.67</v>
      </c>
      <c r="F363">
        <v>96</v>
      </c>
      <c r="G363">
        <v>46.15</v>
      </c>
      <c r="H363" t="s">
        <v>397</v>
      </c>
      <c r="I363" t="s">
        <v>397</v>
      </c>
      <c r="J363">
        <v>8740</v>
      </c>
      <c r="K363">
        <v>0.51</v>
      </c>
      <c r="L363">
        <v>150</v>
      </c>
      <c r="M363">
        <v>3.39</v>
      </c>
    </row>
    <row r="364" spans="1:13">
      <c r="A364" s="28">
        <v>282330</v>
      </c>
      <c r="B364" t="s">
        <v>545</v>
      </c>
      <c r="C364">
        <v>121100</v>
      </c>
      <c r="D364">
        <v>-2300</v>
      </c>
      <c r="E364">
        <v>-1.86</v>
      </c>
      <c r="F364">
        <v>11203</v>
      </c>
      <c r="G364">
        <v>10.81</v>
      </c>
      <c r="H364">
        <v>12857</v>
      </c>
      <c r="I364">
        <v>9.42</v>
      </c>
      <c r="J364">
        <v>55724</v>
      </c>
      <c r="K364">
        <v>2.17</v>
      </c>
      <c r="L364">
        <v>4100</v>
      </c>
      <c r="M364">
        <v>3.39</v>
      </c>
    </row>
    <row r="365" spans="1:13">
      <c r="A365" s="28">
        <v>100840</v>
      </c>
      <c r="B365" t="s">
        <v>113</v>
      </c>
      <c r="C365">
        <v>23600</v>
      </c>
      <c r="D365">
        <v>-650</v>
      </c>
      <c r="E365">
        <v>-2.68</v>
      </c>
      <c r="F365">
        <v>2292</v>
      </c>
      <c r="G365">
        <v>10.3</v>
      </c>
      <c r="H365" t="s">
        <v>397</v>
      </c>
      <c r="I365" t="s">
        <v>397</v>
      </c>
      <c r="J365">
        <v>38778</v>
      </c>
      <c r="K365">
        <v>0.61</v>
      </c>
      <c r="L365">
        <v>800</v>
      </c>
      <c r="M365">
        <v>3.39</v>
      </c>
    </row>
    <row r="366" spans="1:13">
      <c r="A366" s="28">
        <v>3490</v>
      </c>
      <c r="B366" t="s">
        <v>136</v>
      </c>
      <c r="C366">
        <v>22150</v>
      </c>
      <c r="D366">
        <v>-100</v>
      </c>
      <c r="E366">
        <v>-0.45</v>
      </c>
      <c r="F366">
        <v>4787</v>
      </c>
      <c r="G366">
        <v>4.63</v>
      </c>
      <c r="H366">
        <v>3090</v>
      </c>
      <c r="I366">
        <v>7.17</v>
      </c>
      <c r="J366">
        <v>24426</v>
      </c>
      <c r="K366">
        <v>0.91</v>
      </c>
      <c r="L366">
        <v>750</v>
      </c>
      <c r="M366">
        <v>3.39</v>
      </c>
    </row>
    <row r="367" spans="1:13">
      <c r="A367" s="28">
        <v>51915</v>
      </c>
      <c r="B367" t="s">
        <v>546</v>
      </c>
      <c r="C367">
        <v>297500</v>
      </c>
      <c r="D367">
        <v>-13500</v>
      </c>
      <c r="E367">
        <v>-4.34</v>
      </c>
      <c r="F367" t="s">
        <v>397</v>
      </c>
      <c r="G367" t="s">
        <v>397</v>
      </c>
      <c r="H367" t="s">
        <v>397</v>
      </c>
      <c r="I367" t="s">
        <v>397</v>
      </c>
      <c r="J367" t="s">
        <v>397</v>
      </c>
      <c r="K367" t="s">
        <v>397</v>
      </c>
      <c r="L367">
        <v>10050</v>
      </c>
      <c r="M367">
        <v>3.38</v>
      </c>
    </row>
    <row r="368" spans="1:13">
      <c r="A368" s="28">
        <v>138070</v>
      </c>
      <c r="B368" t="s">
        <v>308</v>
      </c>
      <c r="C368">
        <v>2960</v>
      </c>
      <c r="D368">
        <v>80</v>
      </c>
      <c r="E368">
        <v>2.78</v>
      </c>
      <c r="F368">
        <v>255</v>
      </c>
      <c r="G368">
        <v>11.61</v>
      </c>
      <c r="H368" t="s">
        <v>397</v>
      </c>
      <c r="I368" t="s">
        <v>397</v>
      </c>
      <c r="J368">
        <v>4467</v>
      </c>
      <c r="K368">
        <v>0.66</v>
      </c>
      <c r="L368">
        <v>100</v>
      </c>
      <c r="M368">
        <v>3.38</v>
      </c>
    </row>
    <row r="369" spans="1:13">
      <c r="A369" s="28">
        <v>28670</v>
      </c>
      <c r="B369" t="s">
        <v>214</v>
      </c>
      <c r="C369">
        <v>4450</v>
      </c>
      <c r="D369">
        <v>30</v>
      </c>
      <c r="E369">
        <v>0.68</v>
      </c>
      <c r="F369">
        <v>1267</v>
      </c>
      <c r="G369">
        <v>3.51</v>
      </c>
      <c r="H369">
        <v>727</v>
      </c>
      <c r="I369">
        <v>6.12</v>
      </c>
      <c r="J369">
        <v>8404</v>
      </c>
      <c r="K369">
        <v>0.53</v>
      </c>
      <c r="L369">
        <v>150</v>
      </c>
      <c r="M369">
        <v>3.37</v>
      </c>
    </row>
    <row r="370" spans="1:13">
      <c r="A370" s="28">
        <v>36560</v>
      </c>
      <c r="B370" t="s">
        <v>328</v>
      </c>
      <c r="C370">
        <v>11920</v>
      </c>
      <c r="D370">
        <v>-130</v>
      </c>
      <c r="E370">
        <v>-1.08</v>
      </c>
      <c r="F370">
        <v>985</v>
      </c>
      <c r="G370">
        <v>12.1</v>
      </c>
      <c r="H370" t="s">
        <v>397</v>
      </c>
      <c r="I370" t="s">
        <v>397</v>
      </c>
      <c r="J370">
        <v>21622</v>
      </c>
      <c r="K370">
        <v>0.55000000000000004</v>
      </c>
      <c r="L370">
        <v>400</v>
      </c>
      <c r="M370">
        <v>3.36</v>
      </c>
    </row>
    <row r="371" spans="1:13">
      <c r="A371" s="28">
        <v>256150</v>
      </c>
      <c r="B371" t="s">
        <v>547</v>
      </c>
      <c r="C371">
        <v>7430</v>
      </c>
      <c r="D371">
        <v>130</v>
      </c>
      <c r="E371">
        <v>1.78</v>
      </c>
      <c r="F371">
        <v>621</v>
      </c>
      <c r="G371">
        <v>11.96</v>
      </c>
      <c r="H371" t="s">
        <v>397</v>
      </c>
      <c r="I371" t="s">
        <v>397</v>
      </c>
      <c r="J371">
        <v>6678</v>
      </c>
      <c r="K371">
        <v>1.1100000000000001</v>
      </c>
      <c r="L371">
        <v>250</v>
      </c>
      <c r="M371">
        <v>3.36</v>
      </c>
    </row>
    <row r="372" spans="1:13">
      <c r="A372" s="28">
        <v>9970</v>
      </c>
      <c r="B372" t="s">
        <v>183</v>
      </c>
      <c r="C372">
        <v>90700</v>
      </c>
      <c r="D372">
        <v>-1400</v>
      </c>
      <c r="E372">
        <v>-1.52</v>
      </c>
      <c r="F372">
        <v>37988</v>
      </c>
      <c r="G372">
        <v>2.39</v>
      </c>
      <c r="H372">
        <v>24127</v>
      </c>
      <c r="I372">
        <v>3.76</v>
      </c>
      <c r="J372">
        <v>176464</v>
      </c>
      <c r="K372">
        <v>0.51</v>
      </c>
      <c r="L372">
        <v>3050</v>
      </c>
      <c r="M372">
        <v>3.36</v>
      </c>
    </row>
    <row r="373" spans="1:13">
      <c r="A373" s="28">
        <v>88790</v>
      </c>
      <c r="B373" t="s">
        <v>200</v>
      </c>
      <c r="C373">
        <v>2085</v>
      </c>
      <c r="D373">
        <v>0</v>
      </c>
      <c r="E373">
        <v>0</v>
      </c>
      <c r="F373">
        <v>367</v>
      </c>
      <c r="G373">
        <v>5.68</v>
      </c>
      <c r="H373" t="s">
        <v>397</v>
      </c>
      <c r="I373" t="s">
        <v>397</v>
      </c>
      <c r="J373">
        <v>8369</v>
      </c>
      <c r="K373">
        <v>0.25</v>
      </c>
      <c r="L373">
        <v>70</v>
      </c>
      <c r="M373">
        <v>3.36</v>
      </c>
    </row>
    <row r="374" spans="1:13">
      <c r="A374" s="28">
        <v>52600</v>
      </c>
      <c r="B374" t="s">
        <v>548</v>
      </c>
      <c r="C374">
        <v>4510</v>
      </c>
      <c r="D374">
        <v>-60</v>
      </c>
      <c r="E374">
        <v>-1.31</v>
      </c>
      <c r="F374">
        <v>170</v>
      </c>
      <c r="G374">
        <v>26.53</v>
      </c>
      <c r="H374" t="s">
        <v>397</v>
      </c>
      <c r="I374" t="s">
        <v>397</v>
      </c>
      <c r="J374">
        <v>3096</v>
      </c>
      <c r="K374">
        <v>1.46</v>
      </c>
      <c r="L374">
        <v>150</v>
      </c>
      <c r="M374">
        <v>3.33</v>
      </c>
    </row>
    <row r="375" spans="1:13">
      <c r="A375" s="28">
        <v>298020</v>
      </c>
      <c r="B375" t="s">
        <v>549</v>
      </c>
      <c r="C375">
        <v>300000</v>
      </c>
      <c r="D375">
        <v>5000</v>
      </c>
      <c r="E375">
        <v>1.69</v>
      </c>
      <c r="F375">
        <v>2686</v>
      </c>
      <c r="G375">
        <v>111.69</v>
      </c>
      <c r="H375">
        <v>37995</v>
      </c>
      <c r="I375">
        <v>7.9</v>
      </c>
      <c r="J375">
        <v>283313</v>
      </c>
      <c r="K375">
        <v>1.06</v>
      </c>
      <c r="L375">
        <v>10000</v>
      </c>
      <c r="M375">
        <v>3.33</v>
      </c>
    </row>
    <row r="376" spans="1:13">
      <c r="A376" s="28">
        <v>2020</v>
      </c>
      <c r="B376" t="s">
        <v>203</v>
      </c>
      <c r="C376">
        <v>16550</v>
      </c>
      <c r="D376">
        <v>-40</v>
      </c>
      <c r="E376">
        <v>-0.24</v>
      </c>
      <c r="F376">
        <v>10012</v>
      </c>
      <c r="G376">
        <v>1.65</v>
      </c>
      <c r="H376" t="s">
        <v>397</v>
      </c>
      <c r="I376" t="s">
        <v>397</v>
      </c>
      <c r="J376">
        <v>76319</v>
      </c>
      <c r="K376">
        <v>0.22</v>
      </c>
      <c r="L376">
        <v>550</v>
      </c>
      <c r="M376">
        <v>3.32</v>
      </c>
    </row>
    <row r="377" spans="1:13">
      <c r="A377" s="28">
        <v>228850</v>
      </c>
      <c r="B377" t="s">
        <v>327</v>
      </c>
      <c r="C377">
        <v>9070</v>
      </c>
      <c r="D377">
        <v>0</v>
      </c>
      <c r="E377">
        <v>0</v>
      </c>
      <c r="F377">
        <v>1401</v>
      </c>
      <c r="G377">
        <v>6.47</v>
      </c>
      <c r="H377">
        <v>1382</v>
      </c>
      <c r="I377">
        <v>6.56</v>
      </c>
      <c r="J377">
        <v>14282</v>
      </c>
      <c r="K377">
        <v>0.64</v>
      </c>
      <c r="L377">
        <v>300</v>
      </c>
      <c r="M377">
        <v>3.31</v>
      </c>
    </row>
    <row r="378" spans="1:13">
      <c r="A378" s="28">
        <v>96530</v>
      </c>
      <c r="B378" t="s">
        <v>550</v>
      </c>
      <c r="C378">
        <v>24200</v>
      </c>
      <c r="D378">
        <v>-450</v>
      </c>
      <c r="E378">
        <v>-1.83</v>
      </c>
      <c r="F378">
        <v>3586</v>
      </c>
      <c r="G378">
        <v>6.75</v>
      </c>
      <c r="H378">
        <v>453</v>
      </c>
      <c r="I378">
        <v>53.38</v>
      </c>
      <c r="J378">
        <v>23037</v>
      </c>
      <c r="K378">
        <v>1.05</v>
      </c>
      <c r="L378">
        <v>800</v>
      </c>
      <c r="M378">
        <v>3.31</v>
      </c>
    </row>
    <row r="379" spans="1:13">
      <c r="A379" s="28">
        <v>71050</v>
      </c>
      <c r="B379" t="s">
        <v>219</v>
      </c>
      <c r="C379">
        <v>70000</v>
      </c>
      <c r="D379">
        <v>-2500</v>
      </c>
      <c r="E379">
        <v>-3.45</v>
      </c>
      <c r="F379">
        <v>10900</v>
      </c>
      <c r="G379">
        <v>6.42</v>
      </c>
      <c r="H379">
        <v>13861</v>
      </c>
      <c r="I379">
        <v>5.05</v>
      </c>
      <c r="J379">
        <v>145614</v>
      </c>
      <c r="K379">
        <v>0.48</v>
      </c>
      <c r="L379">
        <v>2300</v>
      </c>
      <c r="M379">
        <v>3.29</v>
      </c>
    </row>
    <row r="380" spans="1:13">
      <c r="A380" s="28">
        <v>11760</v>
      </c>
      <c r="B380" t="s">
        <v>238</v>
      </c>
      <c r="C380">
        <v>18250</v>
      </c>
      <c r="D380">
        <v>-170</v>
      </c>
      <c r="E380">
        <v>-0.92</v>
      </c>
      <c r="F380">
        <v>6554</v>
      </c>
      <c r="G380">
        <v>2.78</v>
      </c>
      <c r="H380">
        <v>5508</v>
      </c>
      <c r="I380">
        <v>3.31</v>
      </c>
      <c r="J380">
        <v>36053</v>
      </c>
      <c r="K380">
        <v>0.51</v>
      </c>
      <c r="L380">
        <v>600</v>
      </c>
      <c r="M380">
        <v>3.29</v>
      </c>
    </row>
    <row r="381" spans="1:13">
      <c r="A381" s="28">
        <v>36530</v>
      </c>
      <c r="B381" t="s">
        <v>114</v>
      </c>
      <c r="C381">
        <v>21350</v>
      </c>
      <c r="D381">
        <v>350</v>
      </c>
      <c r="E381">
        <v>1.67</v>
      </c>
      <c r="F381">
        <v>3556</v>
      </c>
      <c r="G381">
        <v>6</v>
      </c>
      <c r="H381">
        <v>5535</v>
      </c>
      <c r="I381">
        <v>3.86</v>
      </c>
      <c r="J381">
        <v>68239</v>
      </c>
      <c r="K381">
        <v>0.31</v>
      </c>
      <c r="L381">
        <v>700</v>
      </c>
      <c r="M381">
        <v>3.28</v>
      </c>
    </row>
    <row r="382" spans="1:13">
      <c r="A382" s="28">
        <v>89860</v>
      </c>
      <c r="B382" t="s">
        <v>146</v>
      </c>
      <c r="C382">
        <v>27550</v>
      </c>
      <c r="D382">
        <v>500</v>
      </c>
      <c r="E382">
        <v>1.85</v>
      </c>
      <c r="F382">
        <v>2577</v>
      </c>
      <c r="G382">
        <v>10.69</v>
      </c>
      <c r="H382">
        <v>4220</v>
      </c>
      <c r="I382">
        <v>6.53</v>
      </c>
      <c r="J382">
        <v>35333</v>
      </c>
      <c r="K382">
        <v>0.78</v>
      </c>
      <c r="L382">
        <v>900</v>
      </c>
      <c r="M382">
        <v>3.27</v>
      </c>
    </row>
    <row r="383" spans="1:13">
      <c r="A383" s="28">
        <v>73110</v>
      </c>
      <c r="B383" t="s">
        <v>551</v>
      </c>
      <c r="C383">
        <v>6110</v>
      </c>
      <c r="D383">
        <v>30</v>
      </c>
      <c r="E383">
        <v>0.49</v>
      </c>
      <c r="F383">
        <v>44</v>
      </c>
      <c r="G383">
        <v>138.86000000000001</v>
      </c>
      <c r="H383" t="s">
        <v>397</v>
      </c>
      <c r="I383" t="s">
        <v>397</v>
      </c>
      <c r="J383">
        <v>16704</v>
      </c>
      <c r="K383">
        <v>0.37</v>
      </c>
      <c r="L383">
        <v>200</v>
      </c>
      <c r="M383">
        <v>3.27</v>
      </c>
    </row>
    <row r="384" spans="1:13">
      <c r="A384" s="28">
        <v>10640</v>
      </c>
      <c r="B384" t="s">
        <v>552</v>
      </c>
      <c r="C384">
        <v>6140</v>
      </c>
      <c r="D384">
        <v>300</v>
      </c>
      <c r="E384">
        <v>5.14</v>
      </c>
      <c r="F384">
        <v>349</v>
      </c>
      <c r="G384">
        <v>17.59</v>
      </c>
      <c r="H384" t="s">
        <v>397</v>
      </c>
      <c r="I384" t="s">
        <v>397</v>
      </c>
      <c r="J384">
        <v>3071</v>
      </c>
      <c r="K384">
        <v>2</v>
      </c>
      <c r="L384">
        <v>200</v>
      </c>
      <c r="M384">
        <v>3.26</v>
      </c>
    </row>
    <row r="385" spans="1:13">
      <c r="A385" s="28">
        <v>36670</v>
      </c>
      <c r="B385" t="s">
        <v>325</v>
      </c>
      <c r="C385">
        <v>7660</v>
      </c>
      <c r="D385">
        <v>90</v>
      </c>
      <c r="E385">
        <v>1.19</v>
      </c>
      <c r="F385">
        <v>1656</v>
      </c>
      <c r="G385">
        <v>4.63</v>
      </c>
      <c r="H385" t="s">
        <v>397</v>
      </c>
      <c r="I385" t="s">
        <v>397</v>
      </c>
      <c r="J385">
        <v>9125</v>
      </c>
      <c r="K385">
        <v>0.84</v>
      </c>
      <c r="L385">
        <v>250</v>
      </c>
      <c r="M385">
        <v>3.26</v>
      </c>
    </row>
    <row r="386" spans="1:13">
      <c r="A386" s="28">
        <v>347890</v>
      </c>
      <c r="B386" t="s">
        <v>553</v>
      </c>
      <c r="C386">
        <v>7670</v>
      </c>
      <c r="D386">
        <v>-30</v>
      </c>
      <c r="E386">
        <v>-0.39</v>
      </c>
      <c r="F386">
        <v>624</v>
      </c>
      <c r="G386">
        <v>12.29</v>
      </c>
      <c r="H386" t="s">
        <v>397</v>
      </c>
      <c r="I386" t="s">
        <v>397</v>
      </c>
      <c r="J386">
        <v>4346</v>
      </c>
      <c r="K386">
        <v>1.76</v>
      </c>
      <c r="L386">
        <v>250</v>
      </c>
      <c r="M386">
        <v>3.26</v>
      </c>
    </row>
    <row r="387" spans="1:13">
      <c r="A387" s="28">
        <v>67010</v>
      </c>
      <c r="B387" t="s">
        <v>329</v>
      </c>
      <c r="C387">
        <v>3690</v>
      </c>
      <c r="D387">
        <v>70</v>
      </c>
      <c r="E387">
        <v>1.93</v>
      </c>
      <c r="F387">
        <v>378</v>
      </c>
      <c r="G387">
        <v>9.76</v>
      </c>
      <c r="H387" t="s">
        <v>397</v>
      </c>
      <c r="I387" t="s">
        <v>397</v>
      </c>
      <c r="J387">
        <v>4538</v>
      </c>
      <c r="K387">
        <v>0.81</v>
      </c>
      <c r="L387">
        <v>120</v>
      </c>
      <c r="M387">
        <v>3.25</v>
      </c>
    </row>
    <row r="388" spans="1:13">
      <c r="A388" s="28">
        <v>35600</v>
      </c>
      <c r="B388" t="s">
        <v>333</v>
      </c>
      <c r="C388">
        <v>12290</v>
      </c>
      <c r="D388">
        <v>-100</v>
      </c>
      <c r="E388">
        <v>-0.81</v>
      </c>
      <c r="F388">
        <v>2153</v>
      </c>
      <c r="G388">
        <v>5.71</v>
      </c>
      <c r="H388">
        <v>2546</v>
      </c>
      <c r="I388">
        <v>4.83</v>
      </c>
      <c r="J388">
        <v>15089</v>
      </c>
      <c r="K388">
        <v>0.81</v>
      </c>
      <c r="L388">
        <v>400</v>
      </c>
      <c r="M388">
        <v>3.25</v>
      </c>
    </row>
    <row r="389" spans="1:13">
      <c r="A389" s="28">
        <v>12630</v>
      </c>
      <c r="B389" t="s">
        <v>554</v>
      </c>
      <c r="C389">
        <v>7700</v>
      </c>
      <c r="D389">
        <v>-300</v>
      </c>
      <c r="E389">
        <v>-3.75</v>
      </c>
      <c r="F389" t="s">
        <v>397</v>
      </c>
      <c r="G389" t="s">
        <v>397</v>
      </c>
      <c r="H389" t="s">
        <v>397</v>
      </c>
      <c r="I389" t="s">
        <v>397</v>
      </c>
      <c r="J389">
        <v>44094</v>
      </c>
      <c r="K389">
        <v>0.17</v>
      </c>
      <c r="L389">
        <v>250</v>
      </c>
      <c r="M389">
        <v>3.25</v>
      </c>
    </row>
    <row r="390" spans="1:13">
      <c r="A390" s="28">
        <v>5680</v>
      </c>
      <c r="B390" t="s">
        <v>159</v>
      </c>
      <c r="C390">
        <v>9270</v>
      </c>
      <c r="D390">
        <v>-170</v>
      </c>
      <c r="E390">
        <v>-1.8</v>
      </c>
      <c r="F390">
        <v>909</v>
      </c>
      <c r="G390">
        <v>10.199999999999999</v>
      </c>
      <c r="H390">
        <v>875</v>
      </c>
      <c r="I390">
        <v>10.59</v>
      </c>
      <c r="J390">
        <v>26088</v>
      </c>
      <c r="K390">
        <v>0.36</v>
      </c>
      <c r="L390">
        <v>300</v>
      </c>
      <c r="M390">
        <v>3.24</v>
      </c>
    </row>
    <row r="391" spans="1:13">
      <c r="A391" s="28">
        <v>210980</v>
      </c>
      <c r="B391" t="s">
        <v>110</v>
      </c>
      <c r="C391">
        <v>24700</v>
      </c>
      <c r="D391">
        <v>0</v>
      </c>
      <c r="E391">
        <v>0</v>
      </c>
      <c r="F391">
        <v>3084</v>
      </c>
      <c r="G391">
        <v>8.01</v>
      </c>
      <c r="H391">
        <v>1981</v>
      </c>
      <c r="I391">
        <v>12.47</v>
      </c>
      <c r="J391">
        <v>31414</v>
      </c>
      <c r="K391">
        <v>0.79</v>
      </c>
      <c r="L391">
        <v>800</v>
      </c>
      <c r="M391">
        <v>3.24</v>
      </c>
    </row>
    <row r="392" spans="1:13">
      <c r="A392" s="28">
        <v>122990</v>
      </c>
      <c r="B392" t="s">
        <v>555</v>
      </c>
      <c r="C392">
        <v>7720</v>
      </c>
      <c r="D392">
        <v>-70</v>
      </c>
      <c r="E392">
        <v>-0.9</v>
      </c>
      <c r="F392" t="s">
        <v>397</v>
      </c>
      <c r="G392" t="s">
        <v>397</v>
      </c>
      <c r="H392">
        <v>765</v>
      </c>
      <c r="I392">
        <v>10.1</v>
      </c>
      <c r="J392">
        <v>12377</v>
      </c>
      <c r="K392">
        <v>0.62</v>
      </c>
      <c r="L392">
        <v>250</v>
      </c>
      <c r="M392">
        <v>3.24</v>
      </c>
    </row>
    <row r="393" spans="1:13">
      <c r="A393" s="28">
        <v>284740</v>
      </c>
      <c r="B393" t="s">
        <v>207</v>
      </c>
      <c r="C393">
        <v>21600</v>
      </c>
      <c r="D393">
        <v>300</v>
      </c>
      <c r="E393">
        <v>1.41</v>
      </c>
      <c r="F393">
        <v>5118</v>
      </c>
      <c r="G393">
        <v>4.22</v>
      </c>
      <c r="H393" t="s">
        <v>397</v>
      </c>
      <c r="I393" t="s">
        <v>397</v>
      </c>
      <c r="J393">
        <v>31261</v>
      </c>
      <c r="K393">
        <v>0.69</v>
      </c>
      <c r="L393">
        <v>700</v>
      </c>
      <c r="M393">
        <v>3.24</v>
      </c>
    </row>
    <row r="394" spans="1:13">
      <c r="A394" s="28">
        <v>2355</v>
      </c>
      <c r="B394" t="s">
        <v>556</v>
      </c>
      <c r="C394">
        <v>3250</v>
      </c>
      <c r="D394">
        <v>-30</v>
      </c>
      <c r="E394">
        <v>-0.91</v>
      </c>
      <c r="F394" t="s">
        <v>397</v>
      </c>
      <c r="G394" t="s">
        <v>397</v>
      </c>
      <c r="H394" t="s">
        <v>397</v>
      </c>
      <c r="I394" t="s">
        <v>397</v>
      </c>
      <c r="J394" t="s">
        <v>397</v>
      </c>
      <c r="K394" t="s">
        <v>397</v>
      </c>
      <c r="L394">
        <v>105</v>
      </c>
      <c r="M394">
        <v>3.23</v>
      </c>
    </row>
    <row r="395" spans="1:13">
      <c r="A395" s="28">
        <v>10470</v>
      </c>
      <c r="B395" t="s">
        <v>381</v>
      </c>
      <c r="C395">
        <v>8420</v>
      </c>
      <c r="D395">
        <v>-60</v>
      </c>
      <c r="E395">
        <v>-0.71</v>
      </c>
      <c r="F395">
        <v>1059</v>
      </c>
      <c r="G395">
        <v>7.95</v>
      </c>
      <c r="H395" t="s">
        <v>397</v>
      </c>
      <c r="I395" t="s">
        <v>397</v>
      </c>
      <c r="J395">
        <v>9183</v>
      </c>
      <c r="K395">
        <v>0.92</v>
      </c>
      <c r="L395">
        <v>270</v>
      </c>
      <c r="M395">
        <v>3.21</v>
      </c>
    </row>
    <row r="396" spans="1:13">
      <c r="A396" s="28">
        <v>34310</v>
      </c>
      <c r="B396" t="s">
        <v>104</v>
      </c>
      <c r="C396">
        <v>12780</v>
      </c>
      <c r="D396">
        <v>130</v>
      </c>
      <c r="E396">
        <v>1.03</v>
      </c>
      <c r="F396">
        <v>1012</v>
      </c>
      <c r="G396">
        <v>12.63</v>
      </c>
      <c r="H396" t="s">
        <v>397</v>
      </c>
      <c r="I396" t="s">
        <v>397</v>
      </c>
      <c r="J396">
        <v>21230</v>
      </c>
      <c r="K396">
        <v>0.6</v>
      </c>
      <c r="L396">
        <v>410</v>
      </c>
      <c r="M396">
        <v>3.21</v>
      </c>
    </row>
    <row r="397" spans="1:13">
      <c r="A397" s="28">
        <v>7340</v>
      </c>
      <c r="B397" t="s">
        <v>79</v>
      </c>
      <c r="C397">
        <v>77800</v>
      </c>
      <c r="D397">
        <v>-1000</v>
      </c>
      <c r="E397">
        <v>-1.27</v>
      </c>
      <c r="F397">
        <v>20987</v>
      </c>
      <c r="G397">
        <v>3.71</v>
      </c>
      <c r="H397" t="s">
        <v>397</v>
      </c>
      <c r="I397" t="s">
        <v>397</v>
      </c>
      <c r="J397">
        <v>101507</v>
      </c>
      <c r="K397">
        <v>0.77</v>
      </c>
      <c r="L397">
        <v>2500</v>
      </c>
      <c r="M397">
        <v>3.21</v>
      </c>
    </row>
    <row r="398" spans="1:13">
      <c r="A398" s="28">
        <v>3495</v>
      </c>
      <c r="B398" t="s">
        <v>557</v>
      </c>
      <c r="C398">
        <v>24900</v>
      </c>
      <c r="D398">
        <v>150</v>
      </c>
      <c r="E398">
        <v>0.61</v>
      </c>
      <c r="F398" t="s">
        <v>397</v>
      </c>
      <c r="G398" t="s">
        <v>397</v>
      </c>
      <c r="H398" t="s">
        <v>397</v>
      </c>
      <c r="I398" t="s">
        <v>397</v>
      </c>
      <c r="J398" t="s">
        <v>397</v>
      </c>
      <c r="K398" t="s">
        <v>397</v>
      </c>
      <c r="L398">
        <v>800</v>
      </c>
      <c r="M398">
        <v>3.21</v>
      </c>
    </row>
    <row r="399" spans="1:13">
      <c r="A399" s="28">
        <v>58850</v>
      </c>
      <c r="B399" t="s">
        <v>95</v>
      </c>
      <c r="C399">
        <v>3745</v>
      </c>
      <c r="D399">
        <v>5</v>
      </c>
      <c r="E399">
        <v>0.13</v>
      </c>
      <c r="F399">
        <v>436</v>
      </c>
      <c r="G399">
        <v>8.59</v>
      </c>
      <c r="H399" t="s">
        <v>397</v>
      </c>
      <c r="I399" t="s">
        <v>397</v>
      </c>
      <c r="J399">
        <v>4834</v>
      </c>
      <c r="K399">
        <v>0.77</v>
      </c>
      <c r="L399">
        <v>120</v>
      </c>
      <c r="M399">
        <v>3.2</v>
      </c>
    </row>
    <row r="400" spans="1:13">
      <c r="A400" s="28">
        <v>16800</v>
      </c>
      <c r="B400" t="s">
        <v>558</v>
      </c>
      <c r="C400">
        <v>34400</v>
      </c>
      <c r="D400">
        <v>0</v>
      </c>
      <c r="E400">
        <v>0</v>
      </c>
      <c r="F400">
        <v>646</v>
      </c>
      <c r="G400">
        <v>53.25</v>
      </c>
      <c r="H400" t="s">
        <v>397</v>
      </c>
      <c r="I400" t="s">
        <v>397</v>
      </c>
      <c r="J400">
        <v>52783</v>
      </c>
      <c r="K400">
        <v>0.65</v>
      </c>
      <c r="L400">
        <v>1100</v>
      </c>
      <c r="M400">
        <v>3.2</v>
      </c>
    </row>
    <row r="401" spans="1:13">
      <c r="A401" s="28">
        <v>31430</v>
      </c>
      <c r="B401" t="s">
        <v>174</v>
      </c>
      <c r="C401">
        <v>15690</v>
      </c>
      <c r="D401">
        <v>-210</v>
      </c>
      <c r="E401">
        <v>-1.32</v>
      </c>
      <c r="F401">
        <v>3313</v>
      </c>
      <c r="G401">
        <v>4.74</v>
      </c>
      <c r="H401">
        <v>2009</v>
      </c>
      <c r="I401">
        <v>7.81</v>
      </c>
      <c r="J401">
        <v>23264</v>
      </c>
      <c r="K401">
        <v>0.67</v>
      </c>
      <c r="L401">
        <v>500</v>
      </c>
      <c r="M401">
        <v>3.19</v>
      </c>
    </row>
    <row r="402" spans="1:13">
      <c r="A402" s="28">
        <v>3075</v>
      </c>
      <c r="B402" t="s">
        <v>559</v>
      </c>
      <c r="C402">
        <v>14090</v>
      </c>
      <c r="D402">
        <v>0</v>
      </c>
      <c r="E402">
        <v>0</v>
      </c>
      <c r="F402" t="s">
        <v>397</v>
      </c>
      <c r="G402" t="s">
        <v>397</v>
      </c>
      <c r="H402" t="s">
        <v>397</v>
      </c>
      <c r="I402" t="s">
        <v>397</v>
      </c>
      <c r="J402" t="s">
        <v>397</v>
      </c>
      <c r="K402" t="s">
        <v>397</v>
      </c>
      <c r="L402">
        <v>450</v>
      </c>
      <c r="M402">
        <v>3.19</v>
      </c>
    </row>
    <row r="403" spans="1:13">
      <c r="A403" s="28">
        <v>21320</v>
      </c>
      <c r="B403" t="s">
        <v>560</v>
      </c>
      <c r="C403">
        <v>4705</v>
      </c>
      <c r="D403">
        <v>10</v>
      </c>
      <c r="E403">
        <v>0.21</v>
      </c>
      <c r="F403">
        <v>223</v>
      </c>
      <c r="G403">
        <v>21.1</v>
      </c>
      <c r="H403" t="s">
        <v>397</v>
      </c>
      <c r="I403" t="s">
        <v>397</v>
      </c>
      <c r="J403">
        <v>22594</v>
      </c>
      <c r="K403">
        <v>0.21</v>
      </c>
      <c r="L403">
        <v>150</v>
      </c>
      <c r="M403">
        <v>3.19</v>
      </c>
    </row>
    <row r="404" spans="1:13">
      <c r="A404" s="28">
        <v>263690</v>
      </c>
      <c r="B404" t="s">
        <v>561</v>
      </c>
      <c r="C404">
        <v>9940</v>
      </c>
      <c r="D404">
        <v>-20</v>
      </c>
      <c r="E404">
        <v>-0.2</v>
      </c>
      <c r="F404">
        <v>1306</v>
      </c>
      <c r="G404">
        <v>7.61</v>
      </c>
      <c r="H404" t="s">
        <v>397</v>
      </c>
      <c r="I404" t="s">
        <v>397</v>
      </c>
      <c r="J404">
        <v>6684</v>
      </c>
      <c r="K404">
        <v>1.49</v>
      </c>
      <c r="L404">
        <v>317</v>
      </c>
      <c r="M404">
        <v>3.19</v>
      </c>
    </row>
    <row r="405" spans="1:13">
      <c r="A405" s="28">
        <v>155</v>
      </c>
      <c r="B405" t="s">
        <v>562</v>
      </c>
      <c r="C405">
        <v>64900</v>
      </c>
      <c r="D405">
        <v>3300</v>
      </c>
      <c r="E405">
        <v>5.36</v>
      </c>
      <c r="F405" t="s">
        <v>397</v>
      </c>
      <c r="G405" t="s">
        <v>397</v>
      </c>
      <c r="H405" t="s">
        <v>397</v>
      </c>
      <c r="I405" t="s">
        <v>397</v>
      </c>
      <c r="J405" t="s">
        <v>397</v>
      </c>
      <c r="K405" t="s">
        <v>397</v>
      </c>
      <c r="L405">
        <v>2050</v>
      </c>
      <c r="M405">
        <v>3.16</v>
      </c>
    </row>
    <row r="406" spans="1:13">
      <c r="A406" s="28">
        <v>3550</v>
      </c>
      <c r="B406" t="s">
        <v>98</v>
      </c>
      <c r="C406">
        <v>94900</v>
      </c>
      <c r="D406">
        <v>-6500</v>
      </c>
      <c r="E406">
        <v>-6.41</v>
      </c>
      <c r="F406">
        <v>12422</v>
      </c>
      <c r="G406">
        <v>7.64</v>
      </c>
      <c r="H406">
        <v>10021</v>
      </c>
      <c r="I406">
        <v>9.4700000000000006</v>
      </c>
      <c r="J406">
        <v>164082</v>
      </c>
      <c r="K406">
        <v>0.57999999999999996</v>
      </c>
      <c r="L406">
        <v>3000</v>
      </c>
      <c r="M406">
        <v>3.16</v>
      </c>
    </row>
    <row r="407" spans="1:13">
      <c r="A407" s="28">
        <v>78340</v>
      </c>
      <c r="B407" t="s">
        <v>332</v>
      </c>
      <c r="C407">
        <v>41100</v>
      </c>
      <c r="D407">
        <v>-700</v>
      </c>
      <c r="E407">
        <v>-1.67</v>
      </c>
      <c r="F407">
        <v>2807</v>
      </c>
      <c r="G407">
        <v>14.64</v>
      </c>
      <c r="H407">
        <v>2127</v>
      </c>
      <c r="I407">
        <v>19.32</v>
      </c>
      <c r="J407">
        <v>95809</v>
      </c>
      <c r="K407">
        <v>0.43</v>
      </c>
      <c r="L407">
        <v>1300</v>
      </c>
      <c r="M407">
        <v>3.16</v>
      </c>
    </row>
    <row r="408" spans="1:13">
      <c r="A408" s="28">
        <v>3780</v>
      </c>
      <c r="B408" t="s">
        <v>563</v>
      </c>
      <c r="C408">
        <v>6350</v>
      </c>
      <c r="D408">
        <v>130</v>
      </c>
      <c r="E408">
        <v>2.09</v>
      </c>
      <c r="F408">
        <v>472</v>
      </c>
      <c r="G408">
        <v>13.45</v>
      </c>
      <c r="H408" t="s">
        <v>397</v>
      </c>
      <c r="I408" t="s">
        <v>397</v>
      </c>
      <c r="J408">
        <v>3941</v>
      </c>
      <c r="K408">
        <v>1.61</v>
      </c>
      <c r="L408">
        <v>200</v>
      </c>
      <c r="M408">
        <v>3.15</v>
      </c>
    </row>
    <row r="409" spans="1:13">
      <c r="A409" s="28">
        <v>36890</v>
      </c>
      <c r="B409" t="s">
        <v>330</v>
      </c>
      <c r="C409">
        <v>9550</v>
      </c>
      <c r="D409">
        <v>-50</v>
      </c>
      <c r="E409">
        <v>-0.52</v>
      </c>
      <c r="F409">
        <v>2276</v>
      </c>
      <c r="G409">
        <v>4.2</v>
      </c>
      <c r="H409" t="s">
        <v>397</v>
      </c>
      <c r="I409" t="s">
        <v>397</v>
      </c>
      <c r="J409">
        <v>10493</v>
      </c>
      <c r="K409">
        <v>0.91</v>
      </c>
      <c r="L409">
        <v>300</v>
      </c>
      <c r="M409">
        <v>3.14</v>
      </c>
    </row>
    <row r="410" spans="1:13">
      <c r="A410" s="28">
        <v>96760</v>
      </c>
      <c r="B410" t="s">
        <v>564</v>
      </c>
      <c r="C410">
        <v>3180</v>
      </c>
      <c r="D410">
        <v>-60</v>
      </c>
      <c r="E410">
        <v>-1.85</v>
      </c>
      <c r="F410">
        <v>307</v>
      </c>
      <c r="G410">
        <v>10.36</v>
      </c>
      <c r="H410" t="s">
        <v>397</v>
      </c>
      <c r="I410" t="s">
        <v>397</v>
      </c>
      <c r="J410">
        <v>1484</v>
      </c>
      <c r="K410">
        <v>2.14</v>
      </c>
      <c r="L410">
        <v>100</v>
      </c>
      <c r="M410">
        <v>3.14</v>
      </c>
    </row>
    <row r="411" spans="1:13">
      <c r="A411" s="28">
        <v>214180</v>
      </c>
      <c r="B411" t="s">
        <v>565</v>
      </c>
      <c r="C411">
        <v>13370</v>
      </c>
      <c r="D411">
        <v>-10</v>
      </c>
      <c r="E411">
        <v>-7.0000000000000007E-2</v>
      </c>
      <c r="F411">
        <v>2409</v>
      </c>
      <c r="G411">
        <v>5.55</v>
      </c>
      <c r="H411">
        <v>2069</v>
      </c>
      <c r="I411">
        <v>6.46</v>
      </c>
      <c r="J411">
        <v>10867</v>
      </c>
      <c r="K411">
        <v>1.23</v>
      </c>
      <c r="L411">
        <v>420</v>
      </c>
      <c r="M411">
        <v>3.14</v>
      </c>
    </row>
    <row r="412" spans="1:13">
      <c r="A412" s="28">
        <v>83420</v>
      </c>
      <c r="B412" t="s">
        <v>566</v>
      </c>
      <c r="C412">
        <v>7340</v>
      </c>
      <c r="D412">
        <v>-40</v>
      </c>
      <c r="E412">
        <v>-0.54</v>
      </c>
      <c r="F412">
        <v>123</v>
      </c>
      <c r="G412">
        <v>59.67</v>
      </c>
      <c r="H412" t="s">
        <v>397</v>
      </c>
      <c r="I412" t="s">
        <v>397</v>
      </c>
      <c r="J412">
        <v>5251</v>
      </c>
      <c r="K412">
        <v>1.4</v>
      </c>
      <c r="L412">
        <v>230</v>
      </c>
      <c r="M412">
        <v>3.13</v>
      </c>
    </row>
    <row r="413" spans="1:13">
      <c r="A413" s="28">
        <v>67170</v>
      </c>
      <c r="B413" t="s">
        <v>567</v>
      </c>
      <c r="C413">
        <v>4155</v>
      </c>
      <c r="D413">
        <v>-20</v>
      </c>
      <c r="E413">
        <v>-0.48</v>
      </c>
      <c r="F413" t="s">
        <v>397</v>
      </c>
      <c r="G413" t="s">
        <v>397</v>
      </c>
      <c r="H413" t="s">
        <v>397</v>
      </c>
      <c r="I413" t="s">
        <v>397</v>
      </c>
      <c r="J413">
        <v>7464</v>
      </c>
      <c r="K413">
        <v>0.56000000000000005</v>
      </c>
      <c r="L413">
        <v>130</v>
      </c>
      <c r="M413">
        <v>3.13</v>
      </c>
    </row>
    <row r="414" spans="1:13">
      <c r="A414" s="28">
        <v>1560</v>
      </c>
      <c r="B414" t="s">
        <v>368</v>
      </c>
      <c r="C414">
        <v>8630</v>
      </c>
      <c r="D414">
        <v>100</v>
      </c>
      <c r="E414">
        <v>1.17</v>
      </c>
      <c r="F414">
        <v>297</v>
      </c>
      <c r="G414">
        <v>29.06</v>
      </c>
      <c r="H414" t="s">
        <v>397</v>
      </c>
      <c r="I414" t="s">
        <v>397</v>
      </c>
      <c r="J414">
        <v>12792</v>
      </c>
      <c r="K414">
        <v>0.67</v>
      </c>
      <c r="L414">
        <v>270</v>
      </c>
      <c r="M414">
        <v>3.13</v>
      </c>
    </row>
    <row r="415" spans="1:13">
      <c r="A415" s="28">
        <v>3650</v>
      </c>
      <c r="B415" t="s">
        <v>151</v>
      </c>
      <c r="C415">
        <v>79800</v>
      </c>
      <c r="D415">
        <v>500</v>
      </c>
      <c r="E415">
        <v>0.63</v>
      </c>
      <c r="F415">
        <v>15455</v>
      </c>
      <c r="G415">
        <v>5.16</v>
      </c>
      <c r="H415" t="s">
        <v>397</v>
      </c>
      <c r="I415" t="s">
        <v>397</v>
      </c>
      <c r="J415">
        <v>212260</v>
      </c>
      <c r="K415">
        <v>0.38</v>
      </c>
      <c r="L415">
        <v>2500</v>
      </c>
      <c r="M415">
        <v>3.13</v>
      </c>
    </row>
    <row r="416" spans="1:13">
      <c r="A416" s="28">
        <v>64850</v>
      </c>
      <c r="B416" t="s">
        <v>568</v>
      </c>
      <c r="C416">
        <v>5770</v>
      </c>
      <c r="D416">
        <v>10</v>
      </c>
      <c r="E416">
        <v>0.17</v>
      </c>
      <c r="F416">
        <v>673</v>
      </c>
      <c r="G416">
        <v>8.57</v>
      </c>
      <c r="H416" t="s">
        <v>397</v>
      </c>
      <c r="I416" t="s">
        <v>397</v>
      </c>
      <c r="J416">
        <v>4803</v>
      </c>
      <c r="K416">
        <v>1.2</v>
      </c>
      <c r="L416">
        <v>180</v>
      </c>
      <c r="M416">
        <v>3.12</v>
      </c>
    </row>
    <row r="417" spans="1:13">
      <c r="A417" s="28" t="s">
        <v>569</v>
      </c>
      <c r="B417" t="s">
        <v>570</v>
      </c>
      <c r="C417">
        <v>82100</v>
      </c>
      <c r="D417">
        <v>6900</v>
      </c>
      <c r="E417">
        <v>9.18</v>
      </c>
      <c r="F417" t="s">
        <v>397</v>
      </c>
      <c r="G417" t="s">
        <v>397</v>
      </c>
      <c r="H417" t="s">
        <v>397</v>
      </c>
      <c r="I417" t="s">
        <v>397</v>
      </c>
      <c r="J417" t="s">
        <v>397</v>
      </c>
      <c r="K417" t="s">
        <v>397</v>
      </c>
      <c r="L417">
        <v>2550</v>
      </c>
      <c r="M417">
        <v>3.11</v>
      </c>
    </row>
    <row r="418" spans="1:13">
      <c r="A418" s="28">
        <v>68930</v>
      </c>
      <c r="B418" t="s">
        <v>571</v>
      </c>
      <c r="C418">
        <v>6430</v>
      </c>
      <c r="D418">
        <v>130</v>
      </c>
      <c r="E418">
        <v>2.06</v>
      </c>
      <c r="F418">
        <v>673</v>
      </c>
      <c r="G418">
        <v>9.5500000000000007</v>
      </c>
      <c r="H418" t="s">
        <v>397</v>
      </c>
      <c r="I418" t="s">
        <v>397</v>
      </c>
      <c r="J418">
        <v>5758</v>
      </c>
      <c r="K418">
        <v>1.1200000000000001</v>
      </c>
      <c r="L418">
        <v>200</v>
      </c>
      <c r="M418">
        <v>3.11</v>
      </c>
    </row>
    <row r="419" spans="1:13">
      <c r="A419" s="28">
        <v>366030</v>
      </c>
      <c r="B419" t="s">
        <v>572</v>
      </c>
      <c r="C419">
        <v>5800</v>
      </c>
      <c r="D419">
        <v>0</v>
      </c>
      <c r="E419">
        <v>0</v>
      </c>
      <c r="F419">
        <v>552</v>
      </c>
      <c r="G419">
        <v>10.51</v>
      </c>
      <c r="H419" t="s">
        <v>397</v>
      </c>
      <c r="I419" t="s">
        <v>397</v>
      </c>
      <c r="J419">
        <v>2663</v>
      </c>
      <c r="K419">
        <v>2.1800000000000002</v>
      </c>
      <c r="L419">
        <v>180</v>
      </c>
      <c r="M419">
        <v>3.1</v>
      </c>
    </row>
    <row r="420" spans="1:13">
      <c r="A420" s="28">
        <v>71840</v>
      </c>
      <c r="B420" t="s">
        <v>573</v>
      </c>
      <c r="C420">
        <v>9710</v>
      </c>
      <c r="D420">
        <v>-210</v>
      </c>
      <c r="E420">
        <v>-2.12</v>
      </c>
      <c r="F420" t="s">
        <v>397</v>
      </c>
      <c r="G420" t="s">
        <v>397</v>
      </c>
      <c r="H420" t="s">
        <v>397</v>
      </c>
      <c r="I420" t="s">
        <v>397</v>
      </c>
      <c r="J420">
        <v>55987</v>
      </c>
      <c r="K420">
        <v>0.17</v>
      </c>
      <c r="L420">
        <v>300</v>
      </c>
      <c r="M420">
        <v>3.09</v>
      </c>
    </row>
    <row r="421" spans="1:13">
      <c r="A421" s="28">
        <v>267270</v>
      </c>
      <c r="B421" t="s">
        <v>85</v>
      </c>
      <c r="C421">
        <v>56900</v>
      </c>
      <c r="D421">
        <v>800</v>
      </c>
      <c r="E421">
        <v>1.43</v>
      </c>
      <c r="F421">
        <v>6112</v>
      </c>
      <c r="G421">
        <v>9.31</v>
      </c>
      <c r="H421">
        <v>8900</v>
      </c>
      <c r="I421">
        <v>6.39</v>
      </c>
      <c r="J421">
        <v>80387</v>
      </c>
      <c r="K421">
        <v>0.71</v>
      </c>
      <c r="L421">
        <v>1750</v>
      </c>
      <c r="M421">
        <v>3.08</v>
      </c>
    </row>
    <row r="422" spans="1:13">
      <c r="A422" s="28">
        <v>19685</v>
      </c>
      <c r="B422" t="s">
        <v>574</v>
      </c>
      <c r="C422">
        <v>1464</v>
      </c>
      <c r="D422">
        <v>-5</v>
      </c>
      <c r="E422">
        <v>-0.34</v>
      </c>
      <c r="F422" t="s">
        <v>397</v>
      </c>
      <c r="G422" t="s">
        <v>397</v>
      </c>
      <c r="H422" t="s">
        <v>397</v>
      </c>
      <c r="I422" t="s">
        <v>397</v>
      </c>
      <c r="J422" t="s">
        <v>397</v>
      </c>
      <c r="K422" t="s">
        <v>397</v>
      </c>
      <c r="L422">
        <v>45</v>
      </c>
      <c r="M422">
        <v>3.07</v>
      </c>
    </row>
    <row r="423" spans="1:13">
      <c r="A423" s="28">
        <v>3480</v>
      </c>
      <c r="B423" t="s">
        <v>235</v>
      </c>
      <c r="C423">
        <v>3265</v>
      </c>
      <c r="D423">
        <v>10</v>
      </c>
      <c r="E423">
        <v>0.31</v>
      </c>
      <c r="F423">
        <v>563</v>
      </c>
      <c r="G423">
        <v>5.8</v>
      </c>
      <c r="H423" t="s">
        <v>397</v>
      </c>
      <c r="I423" t="s">
        <v>397</v>
      </c>
      <c r="J423">
        <v>13021</v>
      </c>
      <c r="K423">
        <v>0.25</v>
      </c>
      <c r="L423">
        <v>100</v>
      </c>
      <c r="M423">
        <v>3.06</v>
      </c>
    </row>
    <row r="424" spans="1:13">
      <c r="A424" s="28">
        <v>4690</v>
      </c>
      <c r="B424" t="s">
        <v>382</v>
      </c>
      <c r="C424">
        <v>98400</v>
      </c>
      <c r="D424">
        <v>1300</v>
      </c>
      <c r="E424">
        <v>1.34</v>
      </c>
      <c r="F424">
        <v>14387</v>
      </c>
      <c r="G424">
        <v>6.84</v>
      </c>
      <c r="H424" t="s">
        <v>397</v>
      </c>
      <c r="I424" t="s">
        <v>397</v>
      </c>
      <c r="J424">
        <v>410695</v>
      </c>
      <c r="K424">
        <v>0.24</v>
      </c>
      <c r="L424">
        <v>3000</v>
      </c>
      <c r="M424">
        <v>3.05</v>
      </c>
    </row>
    <row r="425" spans="1:13">
      <c r="A425" s="28">
        <v>17390</v>
      </c>
      <c r="B425" t="s">
        <v>383</v>
      </c>
      <c r="C425">
        <v>57500</v>
      </c>
      <c r="D425">
        <v>-300</v>
      </c>
      <c r="E425">
        <v>-0.52</v>
      </c>
      <c r="F425">
        <v>4554</v>
      </c>
      <c r="G425">
        <v>12.63</v>
      </c>
      <c r="H425" t="s">
        <v>397</v>
      </c>
      <c r="I425" t="s">
        <v>397</v>
      </c>
      <c r="J425">
        <v>270188</v>
      </c>
      <c r="K425">
        <v>0.21</v>
      </c>
      <c r="L425">
        <v>1750</v>
      </c>
      <c r="M425">
        <v>3.04</v>
      </c>
    </row>
    <row r="426" spans="1:13">
      <c r="A426" s="28">
        <v>9155</v>
      </c>
      <c r="B426" t="s">
        <v>575</v>
      </c>
      <c r="C426">
        <v>70800</v>
      </c>
      <c r="D426">
        <v>500</v>
      </c>
      <c r="E426">
        <v>0.71</v>
      </c>
      <c r="F426" t="s">
        <v>397</v>
      </c>
      <c r="G426" t="s">
        <v>397</v>
      </c>
      <c r="H426" t="s">
        <v>397</v>
      </c>
      <c r="I426" t="s">
        <v>397</v>
      </c>
      <c r="J426" t="s">
        <v>397</v>
      </c>
      <c r="K426" t="s">
        <v>397</v>
      </c>
      <c r="L426">
        <v>2150</v>
      </c>
      <c r="M426">
        <v>3.04</v>
      </c>
    </row>
    <row r="427" spans="1:13">
      <c r="A427" s="28">
        <v>49720</v>
      </c>
      <c r="B427" t="s">
        <v>576</v>
      </c>
      <c r="C427">
        <v>10850</v>
      </c>
      <c r="D427">
        <v>250</v>
      </c>
      <c r="E427">
        <v>2.36</v>
      </c>
      <c r="F427">
        <v>761</v>
      </c>
      <c r="G427">
        <v>14.26</v>
      </c>
      <c r="H427">
        <v>871</v>
      </c>
      <c r="I427">
        <v>12.46</v>
      </c>
      <c r="J427">
        <v>2824</v>
      </c>
      <c r="K427">
        <v>3.84</v>
      </c>
      <c r="L427">
        <v>330</v>
      </c>
      <c r="M427">
        <v>3.04</v>
      </c>
    </row>
    <row r="428" spans="1:13">
      <c r="A428" s="28">
        <v>39420</v>
      </c>
      <c r="B428" t="s">
        <v>577</v>
      </c>
      <c r="C428">
        <v>2640</v>
      </c>
      <c r="D428">
        <v>-5</v>
      </c>
      <c r="E428">
        <v>-0.19</v>
      </c>
      <c r="F428">
        <v>311</v>
      </c>
      <c r="G428">
        <v>8.49</v>
      </c>
      <c r="H428" t="s">
        <v>397</v>
      </c>
      <c r="I428" t="s">
        <v>397</v>
      </c>
      <c r="J428">
        <v>2251</v>
      </c>
      <c r="K428">
        <v>1.17</v>
      </c>
      <c r="L428">
        <v>80</v>
      </c>
      <c r="M428">
        <v>3.03</v>
      </c>
    </row>
    <row r="429" spans="1:13">
      <c r="A429" s="28">
        <v>32830</v>
      </c>
      <c r="B429" t="s">
        <v>154</v>
      </c>
      <c r="C429">
        <v>99100</v>
      </c>
      <c r="D429">
        <v>-2200</v>
      </c>
      <c r="E429">
        <v>-2.17</v>
      </c>
      <c r="F429">
        <v>8817</v>
      </c>
      <c r="G429">
        <v>11.24</v>
      </c>
      <c r="H429">
        <v>10071</v>
      </c>
      <c r="I429">
        <v>9.84</v>
      </c>
      <c r="J429">
        <v>124081</v>
      </c>
      <c r="K429">
        <v>0.8</v>
      </c>
      <c r="L429">
        <v>3000</v>
      </c>
      <c r="M429">
        <v>3.03</v>
      </c>
    </row>
    <row r="430" spans="1:13">
      <c r="A430" s="28">
        <v>130580</v>
      </c>
      <c r="B430" t="s">
        <v>578</v>
      </c>
      <c r="C430">
        <v>6010</v>
      </c>
      <c r="D430">
        <v>20</v>
      </c>
      <c r="E430">
        <v>0.33</v>
      </c>
      <c r="F430">
        <v>889</v>
      </c>
      <c r="G430">
        <v>6.76</v>
      </c>
      <c r="H430" t="s">
        <v>397</v>
      </c>
      <c r="I430" t="s">
        <v>397</v>
      </c>
      <c r="J430">
        <v>5448</v>
      </c>
      <c r="K430">
        <v>1.1000000000000001</v>
      </c>
      <c r="L430">
        <v>182</v>
      </c>
      <c r="M430">
        <v>3.03</v>
      </c>
    </row>
    <row r="431" spans="1:13">
      <c r="A431" s="28" t="s">
        <v>579</v>
      </c>
      <c r="B431" t="s">
        <v>580</v>
      </c>
      <c r="C431">
        <v>5790</v>
      </c>
      <c r="D431">
        <v>-100</v>
      </c>
      <c r="E431">
        <v>-1.7</v>
      </c>
      <c r="F431" t="s">
        <v>397</v>
      </c>
      <c r="G431" t="s">
        <v>397</v>
      </c>
      <c r="H431" t="s">
        <v>397</v>
      </c>
      <c r="I431" t="s">
        <v>397</v>
      </c>
      <c r="J431" t="s">
        <v>397</v>
      </c>
      <c r="K431" t="s">
        <v>397</v>
      </c>
      <c r="L431">
        <v>175</v>
      </c>
      <c r="M431">
        <v>3.02</v>
      </c>
    </row>
    <row r="432" spans="1:13">
      <c r="A432" s="28">
        <v>53690</v>
      </c>
      <c r="B432" t="s">
        <v>581</v>
      </c>
      <c r="C432">
        <v>18230</v>
      </c>
      <c r="D432">
        <v>770</v>
      </c>
      <c r="E432">
        <v>4.41</v>
      </c>
      <c r="F432">
        <v>2449</v>
      </c>
      <c r="G432">
        <v>7.44</v>
      </c>
      <c r="H432" t="s">
        <v>397</v>
      </c>
      <c r="I432" t="s">
        <v>397</v>
      </c>
      <c r="J432">
        <v>17414</v>
      </c>
      <c r="K432">
        <v>1.05</v>
      </c>
      <c r="L432">
        <v>550</v>
      </c>
      <c r="M432">
        <v>3.02</v>
      </c>
    </row>
    <row r="433" spans="1:13">
      <c r="A433" s="28">
        <v>4020</v>
      </c>
      <c r="B433" t="s">
        <v>582</v>
      </c>
      <c r="C433">
        <v>33100</v>
      </c>
      <c r="D433">
        <v>-400</v>
      </c>
      <c r="E433">
        <v>-1.19</v>
      </c>
      <c r="F433">
        <v>7736</v>
      </c>
      <c r="G433">
        <v>4.28</v>
      </c>
      <c r="H433">
        <v>4500</v>
      </c>
      <c r="I433">
        <v>7.36</v>
      </c>
      <c r="J433">
        <v>142260</v>
      </c>
      <c r="K433">
        <v>0.23</v>
      </c>
      <c r="L433">
        <v>1000</v>
      </c>
      <c r="M433">
        <v>3.02</v>
      </c>
    </row>
    <row r="434" spans="1:13">
      <c r="A434" s="28">
        <v>36800</v>
      </c>
      <c r="B434" t="s">
        <v>583</v>
      </c>
      <c r="C434">
        <v>21550</v>
      </c>
      <c r="D434">
        <v>-450</v>
      </c>
      <c r="E434">
        <v>-2.0499999999999998</v>
      </c>
      <c r="F434">
        <v>4358</v>
      </c>
      <c r="G434">
        <v>4.9400000000000004</v>
      </c>
      <c r="H434">
        <v>3855</v>
      </c>
      <c r="I434">
        <v>5.59</v>
      </c>
      <c r="J434">
        <v>33633</v>
      </c>
      <c r="K434">
        <v>0.64</v>
      </c>
      <c r="L434">
        <v>650</v>
      </c>
      <c r="M434">
        <v>3.02</v>
      </c>
    </row>
    <row r="435" spans="1:13">
      <c r="A435" s="28">
        <v>5610</v>
      </c>
      <c r="B435" t="s">
        <v>584</v>
      </c>
      <c r="C435">
        <v>56200</v>
      </c>
      <c r="D435">
        <v>-700</v>
      </c>
      <c r="E435">
        <v>-1.23</v>
      </c>
      <c r="F435">
        <v>6568</v>
      </c>
      <c r="G435">
        <v>8.56</v>
      </c>
      <c r="H435">
        <v>7534</v>
      </c>
      <c r="I435">
        <v>7.46</v>
      </c>
      <c r="J435">
        <v>48007</v>
      </c>
      <c r="K435">
        <v>1.17</v>
      </c>
      <c r="L435">
        <v>1700</v>
      </c>
      <c r="M435">
        <v>3.02</v>
      </c>
    </row>
    <row r="436" spans="1:13">
      <c r="A436" s="28">
        <v>264900</v>
      </c>
      <c r="B436" t="s">
        <v>208</v>
      </c>
      <c r="C436">
        <v>8280</v>
      </c>
      <c r="D436">
        <v>-110</v>
      </c>
      <c r="E436">
        <v>-1.31</v>
      </c>
      <c r="F436">
        <v>2116</v>
      </c>
      <c r="G436">
        <v>3.91</v>
      </c>
      <c r="H436" t="s">
        <v>397</v>
      </c>
      <c r="I436" t="s">
        <v>397</v>
      </c>
      <c r="J436">
        <v>16001</v>
      </c>
      <c r="K436">
        <v>0.52</v>
      </c>
      <c r="L436">
        <v>250</v>
      </c>
      <c r="M436">
        <v>3.02</v>
      </c>
    </row>
    <row r="437" spans="1:13">
      <c r="A437" s="28">
        <v>86280</v>
      </c>
      <c r="B437" t="s">
        <v>585</v>
      </c>
      <c r="C437">
        <v>189200</v>
      </c>
      <c r="D437">
        <v>4300</v>
      </c>
      <c r="E437">
        <v>2.33</v>
      </c>
      <c r="F437">
        <v>31729</v>
      </c>
      <c r="G437">
        <v>5.96</v>
      </c>
      <c r="H437">
        <v>32054</v>
      </c>
      <c r="I437">
        <v>5.9</v>
      </c>
      <c r="J437">
        <v>183094</v>
      </c>
      <c r="K437">
        <v>1.03</v>
      </c>
      <c r="L437">
        <v>5700</v>
      </c>
      <c r="M437">
        <v>3.01</v>
      </c>
    </row>
    <row r="438" spans="1:13">
      <c r="A438" s="28">
        <v>23450</v>
      </c>
      <c r="B438" t="s">
        <v>586</v>
      </c>
      <c r="C438">
        <v>29100</v>
      </c>
      <c r="D438">
        <v>-400</v>
      </c>
      <c r="E438">
        <v>-1.36</v>
      </c>
      <c r="F438">
        <v>2983</v>
      </c>
      <c r="G438">
        <v>9.76</v>
      </c>
      <c r="H438" t="s">
        <v>397</v>
      </c>
      <c r="I438" t="s">
        <v>397</v>
      </c>
      <c r="J438">
        <v>14281</v>
      </c>
      <c r="K438">
        <v>2.04</v>
      </c>
      <c r="L438">
        <v>875</v>
      </c>
      <c r="M438">
        <v>3.01</v>
      </c>
    </row>
    <row r="439" spans="1:13">
      <c r="A439" s="28">
        <v>117580</v>
      </c>
      <c r="B439" t="s">
        <v>587</v>
      </c>
      <c r="C439">
        <v>8340</v>
      </c>
      <c r="D439">
        <v>110</v>
      </c>
      <c r="E439">
        <v>1.34</v>
      </c>
      <c r="F439" t="s">
        <v>397</v>
      </c>
      <c r="G439" t="s">
        <v>397</v>
      </c>
      <c r="H439" t="s">
        <v>397</v>
      </c>
      <c r="I439" t="s">
        <v>397</v>
      </c>
      <c r="J439">
        <v>11539</v>
      </c>
      <c r="K439">
        <v>0.72</v>
      </c>
      <c r="L439">
        <v>250</v>
      </c>
      <c r="M439">
        <v>3</v>
      </c>
    </row>
    <row r="440" spans="1:13">
      <c r="A440" s="28">
        <v>2170</v>
      </c>
      <c r="B440" t="s">
        <v>588</v>
      </c>
      <c r="C440">
        <v>50200</v>
      </c>
      <c r="D440">
        <v>-100</v>
      </c>
      <c r="E440">
        <v>-0.2</v>
      </c>
      <c r="F440">
        <v>5339</v>
      </c>
      <c r="G440">
        <v>9.4</v>
      </c>
      <c r="H440" t="s">
        <v>397</v>
      </c>
      <c r="I440" t="s">
        <v>397</v>
      </c>
      <c r="J440">
        <v>147462</v>
      </c>
      <c r="K440">
        <v>0.34</v>
      </c>
      <c r="L440">
        <v>1500</v>
      </c>
      <c r="M440">
        <v>2.99</v>
      </c>
    </row>
    <row r="441" spans="1:13">
      <c r="A441" s="28">
        <v>3570</v>
      </c>
      <c r="B441" t="s">
        <v>589</v>
      </c>
      <c r="C441">
        <v>16750</v>
      </c>
      <c r="D441">
        <v>70</v>
      </c>
      <c r="E441">
        <v>0.42</v>
      </c>
      <c r="F441">
        <v>1027</v>
      </c>
      <c r="G441">
        <v>16.309999999999999</v>
      </c>
      <c r="H441" t="s">
        <v>397</v>
      </c>
      <c r="I441" t="s">
        <v>397</v>
      </c>
      <c r="J441">
        <v>29430</v>
      </c>
      <c r="K441">
        <v>0.56999999999999995</v>
      </c>
      <c r="L441">
        <v>500</v>
      </c>
      <c r="M441">
        <v>2.99</v>
      </c>
    </row>
    <row r="442" spans="1:13">
      <c r="A442" s="28">
        <v>267980</v>
      </c>
      <c r="B442" t="s">
        <v>590</v>
      </c>
      <c r="C442">
        <v>40100</v>
      </c>
      <c r="D442">
        <v>-300</v>
      </c>
      <c r="E442">
        <v>-0.74</v>
      </c>
      <c r="F442">
        <v>1966</v>
      </c>
      <c r="G442">
        <v>20.399999999999999</v>
      </c>
      <c r="H442">
        <v>6722</v>
      </c>
      <c r="I442">
        <v>5.97</v>
      </c>
      <c r="J442">
        <v>69073</v>
      </c>
      <c r="K442">
        <v>0.57999999999999996</v>
      </c>
      <c r="L442">
        <v>1200</v>
      </c>
      <c r="M442">
        <v>2.99</v>
      </c>
    </row>
    <row r="443" spans="1:13">
      <c r="A443" s="28">
        <v>24880</v>
      </c>
      <c r="B443" t="s">
        <v>591</v>
      </c>
      <c r="C443">
        <v>4690</v>
      </c>
      <c r="D443">
        <v>-15</v>
      </c>
      <c r="E443">
        <v>-0.32</v>
      </c>
      <c r="F443">
        <v>1220</v>
      </c>
      <c r="G443">
        <v>3.84</v>
      </c>
      <c r="H443" t="s">
        <v>397</v>
      </c>
      <c r="I443" t="s">
        <v>397</v>
      </c>
      <c r="J443">
        <v>10147</v>
      </c>
      <c r="K443">
        <v>0.46</v>
      </c>
      <c r="L443">
        <v>140</v>
      </c>
      <c r="M443">
        <v>2.99</v>
      </c>
    </row>
    <row r="444" spans="1:13">
      <c r="A444" s="28">
        <v>990</v>
      </c>
      <c r="B444" t="s">
        <v>592</v>
      </c>
      <c r="C444">
        <v>43500</v>
      </c>
      <c r="D444">
        <v>-900</v>
      </c>
      <c r="E444">
        <v>-2.0299999999999998</v>
      </c>
      <c r="F444">
        <v>12858</v>
      </c>
      <c r="G444">
        <v>3.38</v>
      </c>
      <c r="H444">
        <v>4395</v>
      </c>
      <c r="I444">
        <v>9.9</v>
      </c>
      <c r="J444">
        <v>37784</v>
      </c>
      <c r="K444">
        <v>1.1499999999999999</v>
      </c>
      <c r="L444">
        <v>1300</v>
      </c>
      <c r="M444">
        <v>2.99</v>
      </c>
    </row>
    <row r="445" spans="1:13">
      <c r="A445" s="28">
        <v>38500</v>
      </c>
      <c r="B445" t="s">
        <v>593</v>
      </c>
      <c r="C445">
        <v>3020</v>
      </c>
      <c r="D445">
        <v>0</v>
      </c>
      <c r="E445">
        <v>0</v>
      </c>
      <c r="F445">
        <v>281</v>
      </c>
      <c r="G445">
        <v>10.75</v>
      </c>
      <c r="H445" t="s">
        <v>397</v>
      </c>
      <c r="I445" t="s">
        <v>397</v>
      </c>
      <c r="J445">
        <v>6403</v>
      </c>
      <c r="K445">
        <v>0.47</v>
      </c>
      <c r="L445">
        <v>90</v>
      </c>
      <c r="M445">
        <v>2.98</v>
      </c>
    </row>
    <row r="446" spans="1:13">
      <c r="A446" s="28">
        <v>130660</v>
      </c>
      <c r="B446" t="s">
        <v>594</v>
      </c>
      <c r="C446">
        <v>7700</v>
      </c>
      <c r="D446">
        <v>-120</v>
      </c>
      <c r="E446">
        <v>-1.53</v>
      </c>
      <c r="F446">
        <v>499</v>
      </c>
      <c r="G446">
        <v>15.43</v>
      </c>
      <c r="H446" t="s">
        <v>397</v>
      </c>
      <c r="I446" t="s">
        <v>397</v>
      </c>
      <c r="J446">
        <v>2947</v>
      </c>
      <c r="K446">
        <v>2.61</v>
      </c>
      <c r="L446">
        <v>228</v>
      </c>
      <c r="M446">
        <v>2.96</v>
      </c>
    </row>
    <row r="447" spans="1:13">
      <c r="A447" s="28">
        <v>33500</v>
      </c>
      <c r="B447" t="s">
        <v>595</v>
      </c>
      <c r="C447">
        <v>11850</v>
      </c>
      <c r="D447">
        <v>-280</v>
      </c>
      <c r="E447">
        <v>-2.31</v>
      </c>
      <c r="F447">
        <v>295</v>
      </c>
      <c r="G447">
        <v>40.17</v>
      </c>
      <c r="H447">
        <v>1119</v>
      </c>
      <c r="I447">
        <v>10.59</v>
      </c>
      <c r="J447">
        <v>5159</v>
      </c>
      <c r="K447">
        <v>2.2999999999999998</v>
      </c>
      <c r="L447">
        <v>350</v>
      </c>
      <c r="M447">
        <v>2.95</v>
      </c>
    </row>
    <row r="448" spans="1:13">
      <c r="A448" s="28">
        <v>5750</v>
      </c>
      <c r="B448" t="s">
        <v>596</v>
      </c>
      <c r="C448">
        <v>3765</v>
      </c>
      <c r="D448">
        <v>5</v>
      </c>
      <c r="E448">
        <v>0.13</v>
      </c>
      <c r="F448" t="s">
        <v>397</v>
      </c>
      <c r="G448" t="s">
        <v>397</v>
      </c>
      <c r="H448" t="s">
        <v>397</v>
      </c>
      <c r="I448" t="s">
        <v>397</v>
      </c>
      <c r="J448">
        <v>9514</v>
      </c>
      <c r="K448">
        <v>0.4</v>
      </c>
      <c r="L448">
        <v>110</v>
      </c>
      <c r="M448">
        <v>2.92</v>
      </c>
    </row>
    <row r="449" spans="1:13">
      <c r="A449" s="28">
        <v>267850</v>
      </c>
      <c r="B449" t="s">
        <v>597</v>
      </c>
      <c r="C449">
        <v>17110</v>
      </c>
      <c r="D449">
        <v>-210</v>
      </c>
      <c r="E449">
        <v>-1.21</v>
      </c>
      <c r="F449">
        <v>774</v>
      </c>
      <c r="G449">
        <v>22.11</v>
      </c>
      <c r="H449" t="s">
        <v>397</v>
      </c>
      <c r="I449" t="s">
        <v>397</v>
      </c>
      <c r="J449">
        <v>14410</v>
      </c>
      <c r="K449">
        <v>1.19</v>
      </c>
      <c r="L449">
        <v>500</v>
      </c>
      <c r="M449">
        <v>2.92</v>
      </c>
    </row>
    <row r="450" spans="1:13">
      <c r="A450" s="28">
        <v>34810</v>
      </c>
      <c r="B450" t="s">
        <v>598</v>
      </c>
      <c r="C450">
        <v>7730</v>
      </c>
      <c r="D450">
        <v>0</v>
      </c>
      <c r="E450">
        <v>0</v>
      </c>
      <c r="F450">
        <v>961</v>
      </c>
      <c r="G450">
        <v>8.0399999999999991</v>
      </c>
      <c r="H450" t="s">
        <v>397</v>
      </c>
      <c r="I450" t="s">
        <v>397</v>
      </c>
      <c r="J450">
        <v>30189</v>
      </c>
      <c r="K450">
        <v>0.26</v>
      </c>
      <c r="L450">
        <v>225</v>
      </c>
      <c r="M450">
        <v>2.91</v>
      </c>
    </row>
    <row r="451" spans="1:13">
      <c r="A451" s="28">
        <v>18120</v>
      </c>
      <c r="B451" t="s">
        <v>599</v>
      </c>
      <c r="C451">
        <v>15500</v>
      </c>
      <c r="D451">
        <v>0</v>
      </c>
      <c r="E451">
        <v>0</v>
      </c>
      <c r="F451">
        <v>494</v>
      </c>
      <c r="G451">
        <v>31.38</v>
      </c>
      <c r="H451" t="s">
        <v>397</v>
      </c>
      <c r="I451" t="s">
        <v>397</v>
      </c>
      <c r="J451">
        <v>11200</v>
      </c>
      <c r="K451">
        <v>1.38</v>
      </c>
      <c r="L451">
        <v>450</v>
      </c>
      <c r="M451">
        <v>2.9</v>
      </c>
    </row>
    <row r="452" spans="1:13">
      <c r="A452" s="28">
        <v>72950</v>
      </c>
      <c r="B452" t="s">
        <v>600</v>
      </c>
      <c r="C452">
        <v>5790</v>
      </c>
      <c r="D452">
        <v>-30</v>
      </c>
      <c r="E452">
        <v>-0.52</v>
      </c>
      <c r="F452">
        <v>278</v>
      </c>
      <c r="G452">
        <v>20.83</v>
      </c>
      <c r="H452" t="s">
        <v>397</v>
      </c>
      <c r="I452" t="s">
        <v>397</v>
      </c>
      <c r="J452">
        <v>8591</v>
      </c>
      <c r="K452">
        <v>0.67</v>
      </c>
      <c r="L452">
        <v>168</v>
      </c>
      <c r="M452">
        <v>2.9</v>
      </c>
    </row>
    <row r="453" spans="1:13">
      <c r="A453" s="28">
        <v>270870</v>
      </c>
      <c r="B453" t="s">
        <v>331</v>
      </c>
      <c r="C453">
        <v>8620</v>
      </c>
      <c r="D453">
        <v>0</v>
      </c>
      <c r="E453">
        <v>0</v>
      </c>
      <c r="F453">
        <v>528</v>
      </c>
      <c r="G453">
        <v>16.329999999999998</v>
      </c>
      <c r="H453" t="s">
        <v>397</v>
      </c>
      <c r="I453" t="s">
        <v>397</v>
      </c>
      <c r="J453">
        <v>10818</v>
      </c>
      <c r="K453">
        <v>0.8</v>
      </c>
      <c r="L453">
        <v>250</v>
      </c>
      <c r="M453">
        <v>2.9</v>
      </c>
    </row>
    <row r="454" spans="1:13">
      <c r="A454" s="28">
        <v>2380</v>
      </c>
      <c r="B454" t="s">
        <v>601</v>
      </c>
      <c r="C454">
        <v>276500</v>
      </c>
      <c r="D454">
        <v>-5000</v>
      </c>
      <c r="E454">
        <v>-1.78</v>
      </c>
      <c r="F454">
        <v>4564</v>
      </c>
      <c r="G454">
        <v>60.58</v>
      </c>
      <c r="H454">
        <v>16813</v>
      </c>
      <c r="I454">
        <v>16.45</v>
      </c>
      <c r="J454">
        <v>695902</v>
      </c>
      <c r="K454">
        <v>0.4</v>
      </c>
      <c r="L454">
        <v>8000</v>
      </c>
      <c r="M454">
        <v>2.89</v>
      </c>
    </row>
    <row r="455" spans="1:13">
      <c r="A455" s="28">
        <v>11170</v>
      </c>
      <c r="B455" t="s">
        <v>602</v>
      </c>
      <c r="C455">
        <v>121300</v>
      </c>
      <c r="D455">
        <v>-700</v>
      </c>
      <c r="E455">
        <v>-0.56999999999999995</v>
      </c>
      <c r="F455">
        <v>1716</v>
      </c>
      <c r="G455">
        <v>70.69</v>
      </c>
      <c r="H455">
        <v>4108</v>
      </c>
      <c r="I455">
        <v>29.53</v>
      </c>
      <c r="J455">
        <v>404799</v>
      </c>
      <c r="K455">
        <v>0.3</v>
      </c>
      <c r="L455">
        <v>3500</v>
      </c>
      <c r="M455">
        <v>2.89</v>
      </c>
    </row>
    <row r="456" spans="1:13">
      <c r="A456" s="28">
        <v>375500</v>
      </c>
      <c r="B456" t="s">
        <v>603</v>
      </c>
      <c r="C456">
        <v>34850</v>
      </c>
      <c r="D456">
        <v>-150</v>
      </c>
      <c r="E456">
        <v>-0.43</v>
      </c>
      <c r="F456">
        <v>10130</v>
      </c>
      <c r="G456">
        <v>3.44</v>
      </c>
      <c r="H456">
        <v>8573</v>
      </c>
      <c r="I456">
        <v>4.0599999999999996</v>
      </c>
      <c r="J456">
        <v>114397</v>
      </c>
      <c r="K456">
        <v>0.3</v>
      </c>
      <c r="L456">
        <v>1000</v>
      </c>
      <c r="M456">
        <v>2.87</v>
      </c>
    </row>
    <row r="457" spans="1:13">
      <c r="A457" s="28">
        <v>32560</v>
      </c>
      <c r="B457" t="s">
        <v>365</v>
      </c>
      <c r="C457">
        <v>6970</v>
      </c>
      <c r="D457">
        <v>-30</v>
      </c>
      <c r="E457">
        <v>-0.43</v>
      </c>
      <c r="F457">
        <v>2380</v>
      </c>
      <c r="G457">
        <v>2.93</v>
      </c>
      <c r="H457" t="s">
        <v>397</v>
      </c>
      <c r="I457" t="s">
        <v>397</v>
      </c>
      <c r="J457">
        <v>19636</v>
      </c>
      <c r="K457">
        <v>0.35</v>
      </c>
      <c r="L457">
        <v>200</v>
      </c>
      <c r="M457">
        <v>2.87</v>
      </c>
    </row>
    <row r="458" spans="1:13">
      <c r="A458" s="28">
        <v>5380</v>
      </c>
      <c r="B458" t="s">
        <v>604</v>
      </c>
      <c r="C458">
        <v>243500</v>
      </c>
      <c r="D458">
        <v>-8000</v>
      </c>
      <c r="E458">
        <v>-3.18</v>
      </c>
      <c r="F458">
        <v>28521</v>
      </c>
      <c r="G458">
        <v>8.5399999999999991</v>
      </c>
      <c r="H458">
        <v>43476</v>
      </c>
      <c r="I458">
        <v>5.6</v>
      </c>
      <c r="J458">
        <v>407147</v>
      </c>
      <c r="K458">
        <v>0.6</v>
      </c>
      <c r="L458">
        <v>7000</v>
      </c>
      <c r="M458">
        <v>2.87</v>
      </c>
    </row>
    <row r="459" spans="1:13">
      <c r="A459" s="28">
        <v>2390</v>
      </c>
      <c r="B459" t="s">
        <v>605</v>
      </c>
      <c r="C459">
        <v>13960</v>
      </c>
      <c r="D459">
        <v>-310</v>
      </c>
      <c r="E459">
        <v>-2.17</v>
      </c>
      <c r="F459">
        <v>776</v>
      </c>
      <c r="G459">
        <v>17.989999999999998</v>
      </c>
      <c r="H459" t="s">
        <v>397</v>
      </c>
      <c r="I459" t="s">
        <v>397</v>
      </c>
      <c r="J459">
        <v>27596</v>
      </c>
      <c r="K459">
        <v>0.51</v>
      </c>
      <c r="L459">
        <v>400</v>
      </c>
      <c r="M459">
        <v>2.87</v>
      </c>
    </row>
    <row r="460" spans="1:13">
      <c r="A460" s="28">
        <v>42670</v>
      </c>
      <c r="B460" t="s">
        <v>606</v>
      </c>
      <c r="C460">
        <v>8390</v>
      </c>
      <c r="D460">
        <v>130</v>
      </c>
      <c r="E460">
        <v>1.57</v>
      </c>
      <c r="F460">
        <v>1163</v>
      </c>
      <c r="G460">
        <v>7.21</v>
      </c>
      <c r="H460">
        <v>1434</v>
      </c>
      <c r="I460">
        <v>5.85</v>
      </c>
      <c r="J460">
        <v>8273</v>
      </c>
      <c r="K460">
        <v>1.01</v>
      </c>
      <c r="L460">
        <v>240</v>
      </c>
      <c r="M460">
        <v>2.86</v>
      </c>
    </row>
    <row r="461" spans="1:13">
      <c r="A461" s="28">
        <v>273640</v>
      </c>
      <c r="B461" t="s">
        <v>607</v>
      </c>
      <c r="C461">
        <v>13280</v>
      </c>
      <c r="D461">
        <v>10</v>
      </c>
      <c r="E461">
        <v>0.08</v>
      </c>
      <c r="F461">
        <v>1161</v>
      </c>
      <c r="G461">
        <v>11.44</v>
      </c>
      <c r="H461" t="s">
        <v>397</v>
      </c>
      <c r="I461" t="s">
        <v>397</v>
      </c>
      <c r="J461">
        <v>5419</v>
      </c>
      <c r="K461">
        <v>2.4500000000000002</v>
      </c>
      <c r="L461">
        <v>380</v>
      </c>
      <c r="M461">
        <v>2.86</v>
      </c>
    </row>
    <row r="462" spans="1:13">
      <c r="A462" s="28">
        <v>25550</v>
      </c>
      <c r="B462" t="s">
        <v>608</v>
      </c>
      <c r="C462">
        <v>3500</v>
      </c>
      <c r="D462">
        <v>5</v>
      </c>
      <c r="E462">
        <v>0.14000000000000001</v>
      </c>
      <c r="F462">
        <v>613</v>
      </c>
      <c r="G462">
        <v>5.71</v>
      </c>
      <c r="H462" t="s">
        <v>397</v>
      </c>
      <c r="I462" t="s">
        <v>397</v>
      </c>
      <c r="J462">
        <v>5086</v>
      </c>
      <c r="K462">
        <v>0.69</v>
      </c>
      <c r="L462">
        <v>100</v>
      </c>
      <c r="M462">
        <v>2.86</v>
      </c>
    </row>
    <row r="463" spans="1:13">
      <c r="A463" s="28">
        <v>27410</v>
      </c>
      <c r="B463" t="s">
        <v>609</v>
      </c>
      <c r="C463">
        <v>3855</v>
      </c>
      <c r="D463">
        <v>-80</v>
      </c>
      <c r="E463">
        <v>-2.0299999999999998</v>
      </c>
      <c r="F463">
        <v>247</v>
      </c>
      <c r="G463">
        <v>15.61</v>
      </c>
      <c r="H463">
        <v>663</v>
      </c>
      <c r="I463">
        <v>5.81</v>
      </c>
      <c r="J463">
        <v>16528</v>
      </c>
      <c r="K463">
        <v>0.23</v>
      </c>
      <c r="L463">
        <v>110</v>
      </c>
      <c r="M463">
        <v>2.85</v>
      </c>
    </row>
    <row r="464" spans="1:13">
      <c r="A464" s="28">
        <v>9180</v>
      </c>
      <c r="B464" t="s">
        <v>610</v>
      </c>
      <c r="C464">
        <v>2460</v>
      </c>
      <c r="D464">
        <v>0</v>
      </c>
      <c r="E464">
        <v>0</v>
      </c>
      <c r="F464">
        <v>882</v>
      </c>
      <c r="G464">
        <v>2.79</v>
      </c>
      <c r="H464" t="s">
        <v>397</v>
      </c>
      <c r="I464" t="s">
        <v>397</v>
      </c>
      <c r="J464">
        <v>3726</v>
      </c>
      <c r="K464">
        <v>0.66</v>
      </c>
      <c r="L464">
        <v>70</v>
      </c>
      <c r="M464">
        <v>2.85</v>
      </c>
    </row>
    <row r="465" spans="1:13">
      <c r="A465" s="28">
        <v>139480</v>
      </c>
      <c r="B465" t="s">
        <v>611</v>
      </c>
      <c r="C465">
        <v>70300</v>
      </c>
      <c r="D465">
        <v>-400</v>
      </c>
      <c r="E465">
        <v>-0.56999999999999995</v>
      </c>
      <c r="F465">
        <v>37528</v>
      </c>
      <c r="G465">
        <v>1.87</v>
      </c>
      <c r="H465">
        <v>4845</v>
      </c>
      <c r="I465">
        <v>14.51</v>
      </c>
      <c r="J465">
        <v>418373</v>
      </c>
      <c r="K465">
        <v>0.17</v>
      </c>
      <c r="L465">
        <v>2000</v>
      </c>
      <c r="M465">
        <v>2.84</v>
      </c>
    </row>
    <row r="466" spans="1:13">
      <c r="A466" s="28">
        <v>6040</v>
      </c>
      <c r="B466" t="s">
        <v>612</v>
      </c>
      <c r="C466">
        <v>38900</v>
      </c>
      <c r="D466">
        <v>100</v>
      </c>
      <c r="E466">
        <v>0.26</v>
      </c>
      <c r="F466">
        <v>5748</v>
      </c>
      <c r="G466">
        <v>6.77</v>
      </c>
      <c r="H466">
        <v>7581</v>
      </c>
      <c r="I466">
        <v>5.13</v>
      </c>
      <c r="J466">
        <v>69698</v>
      </c>
      <c r="K466">
        <v>0.56000000000000005</v>
      </c>
      <c r="L466">
        <v>1100</v>
      </c>
      <c r="M466">
        <v>2.83</v>
      </c>
    </row>
    <row r="467" spans="1:13">
      <c r="A467" s="28">
        <v>5180</v>
      </c>
      <c r="B467" t="s">
        <v>613</v>
      </c>
      <c r="C467">
        <v>53100</v>
      </c>
      <c r="D467">
        <v>900</v>
      </c>
      <c r="E467">
        <v>1.72</v>
      </c>
      <c r="F467">
        <v>2905</v>
      </c>
      <c r="G467">
        <v>18.28</v>
      </c>
      <c r="H467">
        <v>9694</v>
      </c>
      <c r="I467">
        <v>5.48</v>
      </c>
      <c r="J467">
        <v>65119</v>
      </c>
      <c r="K467">
        <v>0.82</v>
      </c>
      <c r="L467">
        <v>1500</v>
      </c>
      <c r="M467">
        <v>2.82</v>
      </c>
    </row>
    <row r="468" spans="1:13">
      <c r="A468" s="28">
        <v>67920</v>
      </c>
      <c r="B468" t="s">
        <v>614</v>
      </c>
      <c r="C468">
        <v>6400</v>
      </c>
      <c r="D468">
        <v>-100</v>
      </c>
      <c r="E468">
        <v>-1.54</v>
      </c>
      <c r="F468">
        <v>692</v>
      </c>
      <c r="G468">
        <v>9.25</v>
      </c>
      <c r="H468" t="s">
        <v>397</v>
      </c>
      <c r="I468" t="s">
        <v>397</v>
      </c>
      <c r="J468">
        <v>6660</v>
      </c>
      <c r="K468">
        <v>0.96</v>
      </c>
      <c r="L468">
        <v>180</v>
      </c>
      <c r="M468">
        <v>2.81</v>
      </c>
    </row>
    <row r="469" spans="1:13">
      <c r="A469" s="28">
        <v>92730</v>
      </c>
      <c r="B469" t="s">
        <v>615</v>
      </c>
      <c r="C469">
        <v>24900</v>
      </c>
      <c r="D469">
        <v>-600</v>
      </c>
      <c r="E469">
        <v>-2.35</v>
      </c>
      <c r="F469">
        <v>2177</v>
      </c>
      <c r="G469">
        <v>11.44</v>
      </c>
      <c r="H469">
        <v>3121</v>
      </c>
      <c r="I469">
        <v>7.98</v>
      </c>
      <c r="J469">
        <v>18184</v>
      </c>
      <c r="K469">
        <v>1.37</v>
      </c>
      <c r="L469">
        <v>700</v>
      </c>
      <c r="M469">
        <v>2.81</v>
      </c>
    </row>
    <row r="470" spans="1:13">
      <c r="A470" s="28">
        <v>39340</v>
      </c>
      <c r="B470" t="s">
        <v>616</v>
      </c>
      <c r="C470">
        <v>5700</v>
      </c>
      <c r="D470">
        <v>-20</v>
      </c>
      <c r="E470">
        <v>-0.35</v>
      </c>
      <c r="F470">
        <v>649</v>
      </c>
      <c r="G470">
        <v>8.7799999999999994</v>
      </c>
      <c r="H470" t="s">
        <v>397</v>
      </c>
      <c r="I470" t="s">
        <v>397</v>
      </c>
      <c r="J470">
        <v>7903</v>
      </c>
      <c r="K470">
        <v>0.72</v>
      </c>
      <c r="L470">
        <v>160</v>
      </c>
      <c r="M470">
        <v>2.81</v>
      </c>
    </row>
    <row r="471" spans="1:13">
      <c r="A471" s="28">
        <v>177830</v>
      </c>
      <c r="B471" t="s">
        <v>617</v>
      </c>
      <c r="C471">
        <v>3560</v>
      </c>
      <c r="D471">
        <v>30</v>
      </c>
      <c r="E471">
        <v>0.85</v>
      </c>
      <c r="F471">
        <v>566</v>
      </c>
      <c r="G471">
        <v>6.29</v>
      </c>
      <c r="H471" t="s">
        <v>397</v>
      </c>
      <c r="I471" t="s">
        <v>397</v>
      </c>
      <c r="J471">
        <v>6099</v>
      </c>
      <c r="K471">
        <v>0.57999999999999996</v>
      </c>
      <c r="L471">
        <v>100</v>
      </c>
      <c r="M471">
        <v>2.81</v>
      </c>
    </row>
    <row r="472" spans="1:13">
      <c r="A472" s="28">
        <v>221800</v>
      </c>
      <c r="B472" t="s">
        <v>618</v>
      </c>
      <c r="C472">
        <v>4455</v>
      </c>
      <c r="D472">
        <v>-45</v>
      </c>
      <c r="E472">
        <v>-1</v>
      </c>
      <c r="F472">
        <v>1303</v>
      </c>
      <c r="G472">
        <v>3.42</v>
      </c>
      <c r="H472" t="s">
        <v>397</v>
      </c>
      <c r="I472" t="s">
        <v>397</v>
      </c>
      <c r="J472">
        <v>3350</v>
      </c>
      <c r="K472">
        <v>1.33</v>
      </c>
      <c r="L472">
        <v>125</v>
      </c>
      <c r="M472">
        <v>2.81</v>
      </c>
    </row>
    <row r="473" spans="1:13">
      <c r="A473" s="28">
        <v>66620</v>
      </c>
      <c r="B473" t="s">
        <v>619</v>
      </c>
      <c r="C473">
        <v>14310</v>
      </c>
      <c r="D473">
        <v>-280</v>
      </c>
      <c r="E473">
        <v>-1.92</v>
      </c>
      <c r="F473">
        <v>3036</v>
      </c>
      <c r="G473">
        <v>4.71</v>
      </c>
      <c r="H473" t="s">
        <v>397</v>
      </c>
      <c r="I473" t="s">
        <v>397</v>
      </c>
      <c r="J473">
        <v>21204</v>
      </c>
      <c r="K473">
        <v>0.67</v>
      </c>
      <c r="L473">
        <v>400</v>
      </c>
      <c r="M473">
        <v>2.8</v>
      </c>
    </row>
    <row r="474" spans="1:13">
      <c r="A474" s="28">
        <v>270</v>
      </c>
      <c r="B474" t="s">
        <v>620</v>
      </c>
      <c r="C474">
        <v>125000</v>
      </c>
      <c r="D474">
        <v>-3500</v>
      </c>
      <c r="E474">
        <v>-2.72</v>
      </c>
      <c r="F474">
        <v>13495</v>
      </c>
      <c r="G474">
        <v>9.26</v>
      </c>
      <c r="H474">
        <v>22432</v>
      </c>
      <c r="I474">
        <v>5.57</v>
      </c>
      <c r="J474">
        <v>98117</v>
      </c>
      <c r="K474">
        <v>1.27</v>
      </c>
      <c r="L474">
        <v>3500</v>
      </c>
      <c r="M474">
        <v>2.8</v>
      </c>
    </row>
    <row r="475" spans="1:13">
      <c r="A475" s="28">
        <v>1540</v>
      </c>
      <c r="B475" t="s">
        <v>621</v>
      </c>
      <c r="C475">
        <v>7890</v>
      </c>
      <c r="D475">
        <v>-70</v>
      </c>
      <c r="E475">
        <v>-0.88</v>
      </c>
      <c r="F475">
        <v>604</v>
      </c>
      <c r="G475">
        <v>13.06</v>
      </c>
      <c r="H475" t="s">
        <v>397</v>
      </c>
      <c r="I475" t="s">
        <v>397</v>
      </c>
      <c r="J475">
        <v>13620</v>
      </c>
      <c r="K475">
        <v>0.57999999999999996</v>
      </c>
      <c r="L475">
        <v>220</v>
      </c>
      <c r="M475">
        <v>2.79</v>
      </c>
    </row>
    <row r="476" spans="1:13">
      <c r="A476" s="28">
        <v>49430</v>
      </c>
      <c r="B476" t="s">
        <v>622</v>
      </c>
      <c r="C476">
        <v>9020</v>
      </c>
      <c r="D476">
        <v>-40</v>
      </c>
      <c r="E476">
        <v>-0.44</v>
      </c>
      <c r="F476">
        <v>1769</v>
      </c>
      <c r="G476">
        <v>5.0999999999999996</v>
      </c>
      <c r="H476" t="s">
        <v>397</v>
      </c>
      <c r="I476" t="s">
        <v>397</v>
      </c>
      <c r="J476">
        <v>21650</v>
      </c>
      <c r="K476">
        <v>0.42</v>
      </c>
      <c r="L476">
        <v>250</v>
      </c>
      <c r="M476">
        <v>2.77</v>
      </c>
    </row>
    <row r="477" spans="1:13">
      <c r="A477" s="28">
        <v>5710</v>
      </c>
      <c r="B477" t="s">
        <v>623</v>
      </c>
      <c r="C477">
        <v>6310</v>
      </c>
      <c r="D477">
        <v>50</v>
      </c>
      <c r="E477">
        <v>0.8</v>
      </c>
      <c r="F477">
        <v>1879</v>
      </c>
      <c r="G477">
        <v>3.36</v>
      </c>
      <c r="H477" t="s">
        <v>397</v>
      </c>
      <c r="I477" t="s">
        <v>397</v>
      </c>
      <c r="J477">
        <v>20844</v>
      </c>
      <c r="K477">
        <v>0.3</v>
      </c>
      <c r="L477">
        <v>175</v>
      </c>
      <c r="M477">
        <v>2.77</v>
      </c>
    </row>
    <row r="478" spans="1:13">
      <c r="A478" s="28">
        <v>90350</v>
      </c>
      <c r="B478" t="s">
        <v>624</v>
      </c>
      <c r="C478">
        <v>9920</v>
      </c>
      <c r="D478">
        <v>-140</v>
      </c>
      <c r="E478">
        <v>-1.39</v>
      </c>
      <c r="F478">
        <v>564</v>
      </c>
      <c r="G478">
        <v>17.59</v>
      </c>
      <c r="H478" t="s">
        <v>397</v>
      </c>
      <c r="I478" t="s">
        <v>397</v>
      </c>
      <c r="J478">
        <v>17634</v>
      </c>
      <c r="K478">
        <v>0.56000000000000005</v>
      </c>
      <c r="L478">
        <v>275</v>
      </c>
      <c r="M478">
        <v>2.77</v>
      </c>
    </row>
    <row r="479" spans="1:13">
      <c r="A479" s="28">
        <v>282720</v>
      </c>
      <c r="B479" t="s">
        <v>625</v>
      </c>
      <c r="C479">
        <v>12220</v>
      </c>
      <c r="D479">
        <v>170</v>
      </c>
      <c r="E479">
        <v>1.41</v>
      </c>
      <c r="F479">
        <v>842</v>
      </c>
      <c r="G479">
        <v>14.51</v>
      </c>
      <c r="H479" t="s">
        <v>397</v>
      </c>
      <c r="I479" t="s">
        <v>397</v>
      </c>
      <c r="J479">
        <v>6763</v>
      </c>
      <c r="K479">
        <v>1.81</v>
      </c>
      <c r="L479">
        <v>339</v>
      </c>
      <c r="M479">
        <v>2.77</v>
      </c>
    </row>
    <row r="480" spans="1:13">
      <c r="A480" s="28">
        <v>49070</v>
      </c>
      <c r="B480" t="s">
        <v>626</v>
      </c>
      <c r="C480">
        <v>31000</v>
      </c>
      <c r="D480">
        <v>150</v>
      </c>
      <c r="E480">
        <v>0.49</v>
      </c>
      <c r="F480">
        <v>6147</v>
      </c>
      <c r="G480">
        <v>5.04</v>
      </c>
      <c r="H480">
        <v>2378</v>
      </c>
      <c r="I480">
        <v>13.04</v>
      </c>
      <c r="J480">
        <v>38127</v>
      </c>
      <c r="K480">
        <v>0.81</v>
      </c>
      <c r="L480">
        <v>860</v>
      </c>
      <c r="M480">
        <v>2.77</v>
      </c>
    </row>
    <row r="481" spans="1:13">
      <c r="A481" s="28">
        <v>5490</v>
      </c>
      <c r="B481" t="s">
        <v>363</v>
      </c>
      <c r="C481">
        <v>435000</v>
      </c>
      <c r="D481">
        <v>-7000</v>
      </c>
      <c r="E481">
        <v>-1.58</v>
      </c>
      <c r="F481">
        <v>41456</v>
      </c>
      <c r="G481">
        <v>10.49</v>
      </c>
      <c r="H481">
        <v>29131</v>
      </c>
      <c r="I481">
        <v>14.93</v>
      </c>
      <c r="J481">
        <v>692323</v>
      </c>
      <c r="K481">
        <v>0.63</v>
      </c>
      <c r="L481">
        <v>12000</v>
      </c>
      <c r="M481">
        <v>2.76</v>
      </c>
    </row>
    <row r="482" spans="1:13">
      <c r="A482" s="28">
        <v>26890</v>
      </c>
      <c r="B482" t="s">
        <v>627</v>
      </c>
      <c r="C482">
        <v>7300</v>
      </c>
      <c r="D482">
        <v>-30</v>
      </c>
      <c r="E482">
        <v>-0.41</v>
      </c>
      <c r="F482">
        <v>428</v>
      </c>
      <c r="G482">
        <v>17.059999999999999</v>
      </c>
      <c r="H482" t="s">
        <v>397</v>
      </c>
      <c r="I482" t="s">
        <v>397</v>
      </c>
      <c r="J482">
        <v>6347</v>
      </c>
      <c r="K482">
        <v>1.1499999999999999</v>
      </c>
      <c r="L482">
        <v>200</v>
      </c>
      <c r="M482">
        <v>2.74</v>
      </c>
    </row>
    <row r="483" spans="1:13">
      <c r="A483" s="28">
        <v>123700</v>
      </c>
      <c r="B483" t="s">
        <v>628</v>
      </c>
      <c r="C483">
        <v>3645</v>
      </c>
      <c r="D483">
        <v>-55</v>
      </c>
      <c r="E483">
        <v>-1.49</v>
      </c>
      <c r="F483">
        <v>316</v>
      </c>
      <c r="G483">
        <v>11.53</v>
      </c>
      <c r="H483" t="s">
        <v>397</v>
      </c>
      <c r="I483" t="s">
        <v>397</v>
      </c>
      <c r="J483">
        <v>11352</v>
      </c>
      <c r="K483">
        <v>0.32</v>
      </c>
      <c r="L483">
        <v>100</v>
      </c>
      <c r="M483">
        <v>2.74</v>
      </c>
    </row>
    <row r="484" spans="1:13">
      <c r="A484" s="28">
        <v>230360</v>
      </c>
      <c r="B484" t="s">
        <v>629</v>
      </c>
      <c r="C484">
        <v>11330</v>
      </c>
      <c r="D484">
        <v>400</v>
      </c>
      <c r="E484">
        <v>3.66</v>
      </c>
      <c r="F484">
        <v>1182</v>
      </c>
      <c r="G484">
        <v>9.59</v>
      </c>
      <c r="H484">
        <v>1555</v>
      </c>
      <c r="I484">
        <v>7.29</v>
      </c>
      <c r="J484">
        <v>5901</v>
      </c>
      <c r="K484">
        <v>1.92</v>
      </c>
      <c r="L484">
        <v>310</v>
      </c>
      <c r="M484">
        <v>2.74</v>
      </c>
    </row>
    <row r="485" spans="1:13">
      <c r="A485" s="28">
        <v>14130</v>
      </c>
      <c r="B485" t="s">
        <v>630</v>
      </c>
      <c r="C485">
        <v>4765</v>
      </c>
      <c r="D485">
        <v>50</v>
      </c>
      <c r="E485">
        <v>1.06</v>
      </c>
      <c r="F485">
        <v>581</v>
      </c>
      <c r="G485">
        <v>8.1999999999999993</v>
      </c>
      <c r="H485" t="s">
        <v>397</v>
      </c>
      <c r="I485" t="s">
        <v>397</v>
      </c>
      <c r="J485">
        <v>8649</v>
      </c>
      <c r="K485">
        <v>0.55000000000000004</v>
      </c>
      <c r="L485">
        <v>130</v>
      </c>
      <c r="M485">
        <v>2.73</v>
      </c>
    </row>
    <row r="486" spans="1:13">
      <c r="A486" s="28">
        <v>14570</v>
      </c>
      <c r="B486" t="s">
        <v>631</v>
      </c>
      <c r="C486">
        <v>6620</v>
      </c>
      <c r="D486">
        <v>20</v>
      </c>
      <c r="E486">
        <v>0.3</v>
      </c>
      <c r="F486">
        <v>1095</v>
      </c>
      <c r="G486">
        <v>6.05</v>
      </c>
      <c r="H486" t="s">
        <v>397</v>
      </c>
      <c r="I486" t="s">
        <v>397</v>
      </c>
      <c r="J486">
        <v>7855</v>
      </c>
      <c r="K486">
        <v>0.84</v>
      </c>
      <c r="L486">
        <v>180</v>
      </c>
      <c r="M486">
        <v>2.72</v>
      </c>
    </row>
    <row r="487" spans="1:13">
      <c r="A487" s="28">
        <v>2200</v>
      </c>
      <c r="B487" t="s">
        <v>632</v>
      </c>
      <c r="C487">
        <v>2950</v>
      </c>
      <c r="D487">
        <v>10</v>
      </c>
      <c r="E487">
        <v>0.34</v>
      </c>
      <c r="F487">
        <v>531</v>
      </c>
      <c r="G487">
        <v>5.56</v>
      </c>
      <c r="H487" t="s">
        <v>397</v>
      </c>
      <c r="I487" t="s">
        <v>397</v>
      </c>
      <c r="J487">
        <v>7340</v>
      </c>
      <c r="K487">
        <v>0.4</v>
      </c>
      <c r="L487">
        <v>80</v>
      </c>
      <c r="M487">
        <v>2.71</v>
      </c>
    </row>
    <row r="488" spans="1:13">
      <c r="A488" s="28">
        <v>14825</v>
      </c>
      <c r="B488" t="s">
        <v>633</v>
      </c>
      <c r="C488">
        <v>23950</v>
      </c>
      <c r="D488">
        <v>-150</v>
      </c>
      <c r="E488">
        <v>-0.62</v>
      </c>
      <c r="F488" t="s">
        <v>397</v>
      </c>
      <c r="G488" t="s">
        <v>397</v>
      </c>
      <c r="H488" t="s">
        <v>397</v>
      </c>
      <c r="I488" t="s">
        <v>397</v>
      </c>
      <c r="J488" t="s">
        <v>397</v>
      </c>
      <c r="K488" t="s">
        <v>397</v>
      </c>
      <c r="L488">
        <v>650</v>
      </c>
      <c r="M488">
        <v>2.71</v>
      </c>
    </row>
    <row r="489" spans="1:13">
      <c r="A489" s="28">
        <v>41650</v>
      </c>
      <c r="B489" t="s">
        <v>634</v>
      </c>
      <c r="C489">
        <v>3700</v>
      </c>
      <c r="D489">
        <v>-40</v>
      </c>
      <c r="E489">
        <v>-1.07</v>
      </c>
      <c r="F489">
        <v>37</v>
      </c>
      <c r="G489">
        <v>100</v>
      </c>
      <c r="H489" t="s">
        <v>397</v>
      </c>
      <c r="I489" t="s">
        <v>397</v>
      </c>
      <c r="J489">
        <v>9851</v>
      </c>
      <c r="K489">
        <v>0.38</v>
      </c>
      <c r="L489">
        <v>100</v>
      </c>
      <c r="M489">
        <v>2.7</v>
      </c>
    </row>
    <row r="490" spans="1:13">
      <c r="A490" s="28">
        <v>298540</v>
      </c>
      <c r="B490" t="s">
        <v>635</v>
      </c>
      <c r="C490">
        <v>14810</v>
      </c>
      <c r="D490">
        <v>310</v>
      </c>
      <c r="E490">
        <v>2.14</v>
      </c>
      <c r="F490">
        <v>4717</v>
      </c>
      <c r="G490">
        <v>3.14</v>
      </c>
      <c r="H490">
        <v>3760</v>
      </c>
      <c r="I490">
        <v>3.94</v>
      </c>
      <c r="J490">
        <v>19725</v>
      </c>
      <c r="K490">
        <v>0.75</v>
      </c>
      <c r="L490">
        <v>400</v>
      </c>
      <c r="M490">
        <v>2.7</v>
      </c>
    </row>
    <row r="491" spans="1:13">
      <c r="A491" s="28">
        <v>225530</v>
      </c>
      <c r="B491" t="s">
        <v>636</v>
      </c>
      <c r="C491">
        <v>5560</v>
      </c>
      <c r="D491">
        <v>50</v>
      </c>
      <c r="E491">
        <v>0.91</v>
      </c>
      <c r="F491">
        <v>332</v>
      </c>
      <c r="G491">
        <v>16.75</v>
      </c>
      <c r="H491" t="s">
        <v>397</v>
      </c>
      <c r="I491" t="s">
        <v>397</v>
      </c>
      <c r="J491">
        <v>2447</v>
      </c>
      <c r="K491">
        <v>2.27</v>
      </c>
      <c r="L491">
        <v>150</v>
      </c>
      <c r="M491">
        <v>2.7</v>
      </c>
    </row>
    <row r="492" spans="1:13">
      <c r="A492" s="28">
        <v>250000</v>
      </c>
      <c r="B492" t="s">
        <v>637</v>
      </c>
      <c r="C492">
        <v>11170</v>
      </c>
      <c r="D492">
        <v>40</v>
      </c>
      <c r="E492">
        <v>0.36</v>
      </c>
      <c r="F492">
        <v>2644</v>
      </c>
      <c r="G492">
        <v>4.22</v>
      </c>
      <c r="H492" t="s">
        <v>397</v>
      </c>
      <c r="I492" t="s">
        <v>397</v>
      </c>
      <c r="J492">
        <v>11667</v>
      </c>
      <c r="K492">
        <v>0.96</v>
      </c>
      <c r="L492">
        <v>300</v>
      </c>
      <c r="M492">
        <v>2.69</v>
      </c>
    </row>
    <row r="493" spans="1:13">
      <c r="A493" s="28">
        <v>5390</v>
      </c>
      <c r="B493" t="s">
        <v>638</v>
      </c>
      <c r="C493">
        <v>1856</v>
      </c>
      <c r="D493">
        <v>6</v>
      </c>
      <c r="E493">
        <v>0.32</v>
      </c>
      <c r="F493">
        <v>579</v>
      </c>
      <c r="G493">
        <v>3.21</v>
      </c>
      <c r="H493" t="s">
        <v>397</v>
      </c>
      <c r="I493" t="s">
        <v>397</v>
      </c>
      <c r="J493">
        <v>2950</v>
      </c>
      <c r="K493">
        <v>0.63</v>
      </c>
      <c r="L493">
        <v>50</v>
      </c>
      <c r="M493">
        <v>2.69</v>
      </c>
    </row>
    <row r="494" spans="1:13">
      <c r="A494" s="28" t="s">
        <v>639</v>
      </c>
      <c r="B494" t="s">
        <v>640</v>
      </c>
      <c r="C494">
        <v>8540</v>
      </c>
      <c r="D494">
        <v>-110</v>
      </c>
      <c r="E494">
        <v>-1.27</v>
      </c>
      <c r="F494" t="s">
        <v>397</v>
      </c>
      <c r="G494" t="s">
        <v>397</v>
      </c>
      <c r="H494" t="s">
        <v>397</v>
      </c>
      <c r="I494" t="s">
        <v>397</v>
      </c>
      <c r="J494" t="s">
        <v>397</v>
      </c>
      <c r="K494" t="s">
        <v>397</v>
      </c>
      <c r="L494">
        <v>230</v>
      </c>
      <c r="M494">
        <v>2.69</v>
      </c>
    </row>
    <row r="495" spans="1:13">
      <c r="A495" s="28">
        <v>65530</v>
      </c>
      <c r="B495" t="s">
        <v>641</v>
      </c>
      <c r="C495">
        <v>1866</v>
      </c>
      <c r="D495">
        <v>-27</v>
      </c>
      <c r="E495">
        <v>-1.43</v>
      </c>
      <c r="F495">
        <v>51</v>
      </c>
      <c r="G495">
        <v>36.590000000000003</v>
      </c>
      <c r="H495" t="s">
        <v>397</v>
      </c>
      <c r="I495" t="s">
        <v>397</v>
      </c>
      <c r="J495">
        <v>1581</v>
      </c>
      <c r="K495">
        <v>1.18</v>
      </c>
      <c r="L495">
        <v>50</v>
      </c>
      <c r="M495">
        <v>2.68</v>
      </c>
    </row>
    <row r="496" spans="1:13">
      <c r="A496" s="28">
        <v>126720</v>
      </c>
      <c r="B496" t="s">
        <v>642</v>
      </c>
      <c r="C496">
        <v>22400</v>
      </c>
      <c r="D496">
        <v>-50</v>
      </c>
      <c r="E496">
        <v>-0.22</v>
      </c>
      <c r="F496">
        <v>3544</v>
      </c>
      <c r="G496">
        <v>6.32</v>
      </c>
      <c r="H496" t="s">
        <v>397</v>
      </c>
      <c r="I496" t="s">
        <v>397</v>
      </c>
      <c r="J496">
        <v>32090</v>
      </c>
      <c r="K496">
        <v>0.7</v>
      </c>
      <c r="L496">
        <v>600</v>
      </c>
      <c r="M496">
        <v>2.68</v>
      </c>
    </row>
    <row r="497" spans="1:13">
      <c r="A497" s="28">
        <v>880</v>
      </c>
      <c r="B497" t="s">
        <v>643</v>
      </c>
      <c r="C497">
        <v>27950</v>
      </c>
      <c r="D497">
        <v>-750</v>
      </c>
      <c r="E497">
        <v>-2.61</v>
      </c>
      <c r="F497">
        <v>14169</v>
      </c>
      <c r="G497">
        <v>1.97</v>
      </c>
      <c r="H497">
        <v>7529</v>
      </c>
      <c r="I497">
        <v>3.71</v>
      </c>
      <c r="J497">
        <v>70822</v>
      </c>
      <c r="K497">
        <v>0.39</v>
      </c>
      <c r="L497">
        <v>750</v>
      </c>
      <c r="M497">
        <v>2.68</v>
      </c>
    </row>
    <row r="498" spans="1:13">
      <c r="A498" s="28">
        <v>94820</v>
      </c>
      <c r="B498" t="s">
        <v>644</v>
      </c>
      <c r="C498">
        <v>12320</v>
      </c>
      <c r="D498">
        <v>-370</v>
      </c>
      <c r="E498">
        <v>-2.92</v>
      </c>
      <c r="F498">
        <v>1040</v>
      </c>
      <c r="G498">
        <v>11.85</v>
      </c>
      <c r="H498" t="s">
        <v>397</v>
      </c>
      <c r="I498" t="s">
        <v>397</v>
      </c>
      <c r="J498">
        <v>8318</v>
      </c>
      <c r="K498">
        <v>1.48</v>
      </c>
      <c r="L498">
        <v>330</v>
      </c>
      <c r="M498">
        <v>2.68</v>
      </c>
    </row>
    <row r="499" spans="1:13">
      <c r="A499" s="28">
        <v>131090</v>
      </c>
      <c r="B499" t="s">
        <v>645</v>
      </c>
      <c r="C499">
        <v>938</v>
      </c>
      <c r="D499">
        <v>-2</v>
      </c>
      <c r="E499">
        <v>-0.21</v>
      </c>
      <c r="F499">
        <v>118</v>
      </c>
      <c r="G499">
        <v>7.95</v>
      </c>
      <c r="H499" t="s">
        <v>397</v>
      </c>
      <c r="I499" t="s">
        <v>397</v>
      </c>
      <c r="J499">
        <v>1018</v>
      </c>
      <c r="K499">
        <v>0.92</v>
      </c>
      <c r="L499">
        <v>25</v>
      </c>
      <c r="M499">
        <v>2.67</v>
      </c>
    </row>
    <row r="500" spans="1:13">
      <c r="A500" s="28">
        <v>34730</v>
      </c>
      <c r="B500" t="s">
        <v>646</v>
      </c>
      <c r="C500">
        <v>187300</v>
      </c>
      <c r="D500">
        <v>-1600</v>
      </c>
      <c r="E500">
        <v>-0.85</v>
      </c>
      <c r="F500">
        <v>19547</v>
      </c>
      <c r="G500">
        <v>9.58</v>
      </c>
      <c r="H500">
        <v>20436</v>
      </c>
      <c r="I500">
        <v>9.17</v>
      </c>
      <c r="J500">
        <v>391404</v>
      </c>
      <c r="K500">
        <v>0.48</v>
      </c>
      <c r="L500">
        <v>5000</v>
      </c>
      <c r="M500">
        <v>2.67</v>
      </c>
    </row>
    <row r="501" spans="1:13">
      <c r="A501" s="28">
        <v>16710</v>
      </c>
      <c r="B501" t="s">
        <v>647</v>
      </c>
      <c r="C501">
        <v>9360</v>
      </c>
      <c r="D501">
        <v>-30</v>
      </c>
      <c r="E501">
        <v>-0.32</v>
      </c>
      <c r="F501">
        <v>225</v>
      </c>
      <c r="G501">
        <v>41.6</v>
      </c>
      <c r="H501" t="s">
        <v>397</v>
      </c>
      <c r="I501" t="s">
        <v>397</v>
      </c>
      <c r="J501">
        <v>29781</v>
      </c>
      <c r="K501">
        <v>0.31</v>
      </c>
      <c r="L501">
        <v>250</v>
      </c>
      <c r="M501">
        <v>2.67</v>
      </c>
    </row>
    <row r="502" spans="1:13">
      <c r="A502" s="28">
        <v>60380</v>
      </c>
      <c r="B502" t="s">
        <v>648</v>
      </c>
      <c r="C502">
        <v>1871</v>
      </c>
      <c r="D502">
        <v>-1</v>
      </c>
      <c r="E502">
        <v>-0.05</v>
      </c>
      <c r="F502">
        <v>257</v>
      </c>
      <c r="G502">
        <v>7.28</v>
      </c>
      <c r="H502" t="s">
        <v>397</v>
      </c>
      <c r="I502" t="s">
        <v>397</v>
      </c>
      <c r="J502">
        <v>3966</v>
      </c>
      <c r="K502">
        <v>0.47</v>
      </c>
      <c r="L502">
        <v>50</v>
      </c>
      <c r="M502">
        <v>2.67</v>
      </c>
    </row>
    <row r="503" spans="1:13">
      <c r="A503" s="28">
        <v>23590</v>
      </c>
      <c r="B503" t="s">
        <v>649</v>
      </c>
      <c r="C503">
        <v>22500</v>
      </c>
      <c r="D503">
        <v>-1050</v>
      </c>
      <c r="E503">
        <v>-4.46</v>
      </c>
      <c r="F503">
        <v>8634</v>
      </c>
      <c r="G503">
        <v>2.61</v>
      </c>
      <c r="H503" t="s">
        <v>397</v>
      </c>
      <c r="I503" t="s">
        <v>397</v>
      </c>
      <c r="J503">
        <v>53655</v>
      </c>
      <c r="K503">
        <v>0.42</v>
      </c>
      <c r="L503">
        <v>600</v>
      </c>
      <c r="M503">
        <v>2.67</v>
      </c>
    </row>
    <row r="504" spans="1:13">
      <c r="A504" s="28">
        <v>241560</v>
      </c>
      <c r="B504" t="s">
        <v>650</v>
      </c>
      <c r="C504">
        <v>50800</v>
      </c>
      <c r="D504">
        <v>-800</v>
      </c>
      <c r="E504">
        <v>-1.55</v>
      </c>
      <c r="F504">
        <v>6421</v>
      </c>
      <c r="G504">
        <v>7.91</v>
      </c>
      <c r="H504">
        <v>7689</v>
      </c>
      <c r="I504">
        <v>6.61</v>
      </c>
      <c r="J504">
        <v>50136</v>
      </c>
      <c r="K504">
        <v>1.01</v>
      </c>
      <c r="L504">
        <v>1350</v>
      </c>
      <c r="M504">
        <v>2.66</v>
      </c>
    </row>
    <row r="505" spans="1:13">
      <c r="A505" s="28">
        <v>90150</v>
      </c>
      <c r="B505" t="s">
        <v>651</v>
      </c>
      <c r="C505">
        <v>1318</v>
      </c>
      <c r="D505">
        <v>-27</v>
      </c>
      <c r="E505">
        <v>-2.0099999999999998</v>
      </c>
      <c r="F505" t="s">
        <v>397</v>
      </c>
      <c r="G505" t="s">
        <v>397</v>
      </c>
      <c r="H505" t="s">
        <v>397</v>
      </c>
      <c r="I505" t="s">
        <v>397</v>
      </c>
      <c r="J505">
        <v>1907</v>
      </c>
      <c r="K505">
        <v>0.69</v>
      </c>
      <c r="L505">
        <v>35</v>
      </c>
      <c r="M505">
        <v>2.66</v>
      </c>
    </row>
    <row r="506" spans="1:13">
      <c r="A506" s="28">
        <v>51905</v>
      </c>
      <c r="B506" t="s">
        <v>652</v>
      </c>
      <c r="C506">
        <v>152000</v>
      </c>
      <c r="D506">
        <v>-7100</v>
      </c>
      <c r="E506">
        <v>-4.46</v>
      </c>
      <c r="F506" t="s">
        <v>397</v>
      </c>
      <c r="G506" t="s">
        <v>397</v>
      </c>
      <c r="H506" t="s">
        <v>397</v>
      </c>
      <c r="I506" t="s">
        <v>397</v>
      </c>
      <c r="J506" t="s">
        <v>397</v>
      </c>
      <c r="K506" t="s">
        <v>397</v>
      </c>
      <c r="L506">
        <v>4050</v>
      </c>
      <c r="M506">
        <v>2.66</v>
      </c>
    </row>
    <row r="507" spans="1:13">
      <c r="A507" s="28">
        <v>14830</v>
      </c>
      <c r="B507" t="s">
        <v>653</v>
      </c>
      <c r="C507">
        <v>75600</v>
      </c>
      <c r="D507">
        <v>-500</v>
      </c>
      <c r="E507">
        <v>-0.66</v>
      </c>
      <c r="F507">
        <v>14826</v>
      </c>
      <c r="G507">
        <v>5.0999999999999996</v>
      </c>
      <c r="H507">
        <v>11002</v>
      </c>
      <c r="I507">
        <v>6.87</v>
      </c>
      <c r="J507">
        <v>135798</v>
      </c>
      <c r="K507">
        <v>0.56000000000000005</v>
      </c>
      <c r="L507">
        <v>2000</v>
      </c>
      <c r="M507">
        <v>2.65</v>
      </c>
    </row>
    <row r="508" spans="1:13">
      <c r="A508" s="28">
        <v>145990</v>
      </c>
      <c r="B508" t="s">
        <v>654</v>
      </c>
      <c r="C508">
        <v>47400</v>
      </c>
      <c r="D508">
        <v>450</v>
      </c>
      <c r="E508">
        <v>0.96</v>
      </c>
      <c r="F508">
        <v>6872</v>
      </c>
      <c r="G508">
        <v>6.9</v>
      </c>
      <c r="H508" t="s">
        <v>397</v>
      </c>
      <c r="I508" t="s">
        <v>397</v>
      </c>
      <c r="J508">
        <v>136968</v>
      </c>
      <c r="K508">
        <v>0.35</v>
      </c>
      <c r="L508">
        <v>1250</v>
      </c>
      <c r="M508">
        <v>2.64</v>
      </c>
    </row>
    <row r="509" spans="1:13">
      <c r="A509" s="28">
        <v>38540</v>
      </c>
      <c r="B509" t="s">
        <v>655</v>
      </c>
      <c r="C509">
        <v>3805</v>
      </c>
      <c r="D509">
        <v>90</v>
      </c>
      <c r="E509">
        <v>2.42</v>
      </c>
      <c r="F509">
        <v>866</v>
      </c>
      <c r="G509">
        <v>4.3899999999999997</v>
      </c>
      <c r="H509" t="s">
        <v>397</v>
      </c>
      <c r="I509" t="s">
        <v>397</v>
      </c>
      <c r="J509">
        <v>13665</v>
      </c>
      <c r="K509">
        <v>0.28000000000000003</v>
      </c>
      <c r="L509">
        <v>100</v>
      </c>
      <c r="M509">
        <v>2.63</v>
      </c>
    </row>
    <row r="510" spans="1:13">
      <c r="A510" s="28">
        <v>322000</v>
      </c>
      <c r="B510" t="s">
        <v>656</v>
      </c>
      <c r="C510">
        <v>22850</v>
      </c>
      <c r="D510">
        <v>0</v>
      </c>
      <c r="E510">
        <v>0</v>
      </c>
      <c r="F510">
        <v>5412</v>
      </c>
      <c r="G510">
        <v>4.22</v>
      </c>
      <c r="H510" t="s">
        <v>397</v>
      </c>
      <c r="I510" t="s">
        <v>397</v>
      </c>
      <c r="J510">
        <v>34065</v>
      </c>
      <c r="K510">
        <v>0.67</v>
      </c>
      <c r="L510">
        <v>600</v>
      </c>
      <c r="M510">
        <v>2.63</v>
      </c>
    </row>
    <row r="511" spans="1:13">
      <c r="A511" s="28">
        <v>5720</v>
      </c>
      <c r="B511" t="s">
        <v>657</v>
      </c>
      <c r="C511">
        <v>4175</v>
      </c>
      <c r="D511">
        <v>-15</v>
      </c>
      <c r="E511">
        <v>-0.36</v>
      </c>
      <c r="F511">
        <v>317</v>
      </c>
      <c r="G511">
        <v>13.17</v>
      </c>
      <c r="H511" t="s">
        <v>397</v>
      </c>
      <c r="I511" t="s">
        <v>397</v>
      </c>
      <c r="J511">
        <v>22295</v>
      </c>
      <c r="K511">
        <v>0.19</v>
      </c>
      <c r="L511">
        <v>110</v>
      </c>
      <c r="M511">
        <v>2.63</v>
      </c>
    </row>
    <row r="512" spans="1:13">
      <c r="A512" s="28">
        <v>126560</v>
      </c>
      <c r="B512" t="s">
        <v>658</v>
      </c>
      <c r="C512">
        <v>3430</v>
      </c>
      <c r="D512">
        <v>0</v>
      </c>
      <c r="E512">
        <v>0</v>
      </c>
      <c r="F512" t="s">
        <v>397</v>
      </c>
      <c r="G512" t="s">
        <v>397</v>
      </c>
      <c r="H512" t="s">
        <v>397</v>
      </c>
      <c r="I512" t="s">
        <v>397</v>
      </c>
      <c r="J512">
        <v>6836</v>
      </c>
      <c r="K512">
        <v>0.5</v>
      </c>
      <c r="L512">
        <v>90</v>
      </c>
      <c r="M512">
        <v>2.62</v>
      </c>
    </row>
    <row r="513" spans="1:13">
      <c r="A513" s="28">
        <v>10060</v>
      </c>
      <c r="B513" t="s">
        <v>360</v>
      </c>
      <c r="C513">
        <v>95900</v>
      </c>
      <c r="D513">
        <v>-100</v>
      </c>
      <c r="E513">
        <v>-0.1</v>
      </c>
      <c r="F513">
        <v>36941</v>
      </c>
      <c r="G513">
        <v>2.6</v>
      </c>
      <c r="H513">
        <v>22195</v>
      </c>
      <c r="I513">
        <v>4.32</v>
      </c>
      <c r="J513">
        <v>166136</v>
      </c>
      <c r="K513">
        <v>0.57999999999999996</v>
      </c>
      <c r="L513">
        <v>2500</v>
      </c>
      <c r="M513">
        <v>2.61</v>
      </c>
    </row>
    <row r="514" spans="1:13">
      <c r="A514" s="28">
        <v>5300</v>
      </c>
      <c r="B514" t="s">
        <v>659</v>
      </c>
      <c r="C514">
        <v>126200</v>
      </c>
      <c r="D514">
        <v>100</v>
      </c>
      <c r="E514">
        <v>0.08</v>
      </c>
      <c r="F514">
        <v>12754</v>
      </c>
      <c r="G514">
        <v>9.89</v>
      </c>
      <c r="H514">
        <v>15371</v>
      </c>
      <c r="I514">
        <v>8.2100000000000009</v>
      </c>
      <c r="J514">
        <v>150133</v>
      </c>
      <c r="K514">
        <v>0.84</v>
      </c>
      <c r="L514">
        <v>3300</v>
      </c>
      <c r="M514">
        <v>2.61</v>
      </c>
    </row>
    <row r="515" spans="1:13">
      <c r="A515" s="28">
        <v>95610</v>
      </c>
      <c r="B515" t="s">
        <v>660</v>
      </c>
      <c r="C515">
        <v>19230</v>
      </c>
      <c r="D515">
        <v>-250</v>
      </c>
      <c r="E515">
        <v>-1.28</v>
      </c>
      <c r="F515">
        <v>2580</v>
      </c>
      <c r="G515">
        <v>7.45</v>
      </c>
      <c r="H515">
        <v>1610</v>
      </c>
      <c r="I515">
        <v>11.94</v>
      </c>
      <c r="J515">
        <v>17483</v>
      </c>
      <c r="K515">
        <v>1.1000000000000001</v>
      </c>
      <c r="L515">
        <v>500</v>
      </c>
      <c r="M515">
        <v>2.6</v>
      </c>
    </row>
    <row r="516" spans="1:13">
      <c r="A516" s="28">
        <v>126640</v>
      </c>
      <c r="B516" t="s">
        <v>661</v>
      </c>
      <c r="C516">
        <v>1545</v>
      </c>
      <c r="D516">
        <v>1</v>
      </c>
      <c r="E516">
        <v>0.06</v>
      </c>
      <c r="F516">
        <v>202</v>
      </c>
      <c r="G516">
        <v>7.65</v>
      </c>
      <c r="H516" t="s">
        <v>397</v>
      </c>
      <c r="I516" t="s">
        <v>397</v>
      </c>
      <c r="J516">
        <v>2900</v>
      </c>
      <c r="K516">
        <v>0.53</v>
      </c>
      <c r="L516">
        <v>40</v>
      </c>
      <c r="M516">
        <v>2.59</v>
      </c>
    </row>
    <row r="517" spans="1:13">
      <c r="A517" s="28">
        <v>12620</v>
      </c>
      <c r="B517" t="s">
        <v>662</v>
      </c>
      <c r="C517">
        <v>8500</v>
      </c>
      <c r="D517">
        <v>10</v>
      </c>
      <c r="E517">
        <v>0.12</v>
      </c>
      <c r="F517">
        <v>2410</v>
      </c>
      <c r="G517">
        <v>3.53</v>
      </c>
      <c r="H517" t="s">
        <v>397</v>
      </c>
      <c r="I517" t="s">
        <v>397</v>
      </c>
      <c r="J517">
        <v>33693</v>
      </c>
      <c r="K517">
        <v>0.25</v>
      </c>
      <c r="L517">
        <v>220</v>
      </c>
      <c r="M517">
        <v>2.59</v>
      </c>
    </row>
    <row r="518" spans="1:13">
      <c r="A518" s="28">
        <v>2320</v>
      </c>
      <c r="B518" t="s">
        <v>663</v>
      </c>
      <c r="C518">
        <v>23200</v>
      </c>
      <c r="D518">
        <v>250</v>
      </c>
      <c r="E518">
        <v>1.0900000000000001</v>
      </c>
      <c r="F518">
        <v>3290</v>
      </c>
      <c r="G518">
        <v>7.05</v>
      </c>
      <c r="H518">
        <v>2247</v>
      </c>
      <c r="I518">
        <v>10.33</v>
      </c>
      <c r="J518">
        <v>96471</v>
      </c>
      <c r="K518">
        <v>0.24</v>
      </c>
      <c r="L518">
        <v>600</v>
      </c>
      <c r="M518">
        <v>2.59</v>
      </c>
    </row>
    <row r="519" spans="1:13">
      <c r="A519" s="28">
        <v>105630</v>
      </c>
      <c r="B519" t="s">
        <v>664</v>
      </c>
      <c r="C519">
        <v>19350</v>
      </c>
      <c r="D519">
        <v>-240</v>
      </c>
      <c r="E519">
        <v>-1.23</v>
      </c>
      <c r="F519">
        <v>2182</v>
      </c>
      <c r="G519">
        <v>8.8699999999999992</v>
      </c>
      <c r="H519">
        <v>3271</v>
      </c>
      <c r="I519">
        <v>5.92</v>
      </c>
      <c r="J519">
        <v>13687</v>
      </c>
      <c r="K519">
        <v>1.41</v>
      </c>
      <c r="L519">
        <v>500</v>
      </c>
      <c r="M519">
        <v>2.58</v>
      </c>
    </row>
    <row r="520" spans="1:13">
      <c r="A520" s="28">
        <v>84690</v>
      </c>
      <c r="B520" t="s">
        <v>665</v>
      </c>
      <c r="C520">
        <v>10490</v>
      </c>
      <c r="D520">
        <v>530</v>
      </c>
      <c r="E520">
        <v>5.32</v>
      </c>
      <c r="F520">
        <v>868</v>
      </c>
      <c r="G520">
        <v>12.09</v>
      </c>
      <c r="H520" t="s">
        <v>397</v>
      </c>
      <c r="I520" t="s">
        <v>397</v>
      </c>
      <c r="J520">
        <v>20315</v>
      </c>
      <c r="K520">
        <v>0.52</v>
      </c>
      <c r="L520">
        <v>270</v>
      </c>
      <c r="M520">
        <v>2.57</v>
      </c>
    </row>
    <row r="521" spans="1:13">
      <c r="A521" s="28">
        <v>79170</v>
      </c>
      <c r="B521" t="s">
        <v>666</v>
      </c>
      <c r="C521">
        <v>7770</v>
      </c>
      <c r="D521">
        <v>-130</v>
      </c>
      <c r="E521">
        <v>-1.65</v>
      </c>
      <c r="F521">
        <v>1184</v>
      </c>
      <c r="G521">
        <v>6.56</v>
      </c>
      <c r="H521" t="s">
        <v>397</v>
      </c>
      <c r="I521" t="s">
        <v>397</v>
      </c>
      <c r="J521">
        <v>11955</v>
      </c>
      <c r="K521">
        <v>0.65</v>
      </c>
      <c r="L521">
        <v>200</v>
      </c>
      <c r="M521">
        <v>2.57</v>
      </c>
    </row>
    <row r="522" spans="1:13">
      <c r="A522" s="28">
        <v>885</v>
      </c>
      <c r="B522" t="s">
        <v>667</v>
      </c>
      <c r="C522">
        <v>31250</v>
      </c>
      <c r="D522">
        <v>200</v>
      </c>
      <c r="E522">
        <v>0.64</v>
      </c>
      <c r="F522" t="s">
        <v>397</v>
      </c>
      <c r="G522" t="s">
        <v>397</v>
      </c>
      <c r="H522" t="s">
        <v>397</v>
      </c>
      <c r="I522" t="s">
        <v>397</v>
      </c>
      <c r="J522" t="s">
        <v>397</v>
      </c>
      <c r="K522" t="s">
        <v>397</v>
      </c>
      <c r="L522">
        <v>800</v>
      </c>
      <c r="M522">
        <v>2.56</v>
      </c>
    </row>
    <row r="523" spans="1:13">
      <c r="A523" s="28">
        <v>69960</v>
      </c>
      <c r="B523" t="s">
        <v>668</v>
      </c>
      <c r="C523">
        <v>50700</v>
      </c>
      <c r="D523">
        <v>-300</v>
      </c>
      <c r="E523">
        <v>-0.59</v>
      </c>
      <c r="F523">
        <v>6593</v>
      </c>
      <c r="G523">
        <v>7.69</v>
      </c>
      <c r="H523">
        <v>9285</v>
      </c>
      <c r="I523">
        <v>5.46</v>
      </c>
      <c r="J523">
        <v>209760</v>
      </c>
      <c r="K523">
        <v>0.24</v>
      </c>
      <c r="L523">
        <v>1300</v>
      </c>
      <c r="M523">
        <v>2.56</v>
      </c>
    </row>
    <row r="524" spans="1:13">
      <c r="A524" s="28">
        <v>234340</v>
      </c>
      <c r="B524" t="s">
        <v>669</v>
      </c>
      <c r="C524">
        <v>19550</v>
      </c>
      <c r="D524">
        <v>-900</v>
      </c>
      <c r="E524">
        <v>-4.4000000000000004</v>
      </c>
      <c r="F524">
        <v>1380</v>
      </c>
      <c r="G524">
        <v>14.17</v>
      </c>
      <c r="H524">
        <v>1708</v>
      </c>
      <c r="I524">
        <v>11.44</v>
      </c>
      <c r="J524">
        <v>15915</v>
      </c>
      <c r="K524">
        <v>1.23</v>
      </c>
      <c r="L524">
        <v>500</v>
      </c>
      <c r="M524">
        <v>2.56</v>
      </c>
    </row>
    <row r="525" spans="1:13">
      <c r="A525" s="28">
        <v>92300</v>
      </c>
      <c r="B525" t="s">
        <v>670</v>
      </c>
      <c r="C525">
        <v>3915</v>
      </c>
      <c r="D525">
        <v>-30</v>
      </c>
      <c r="E525">
        <v>-0.76</v>
      </c>
      <c r="F525">
        <v>258</v>
      </c>
      <c r="G525">
        <v>15.17</v>
      </c>
      <c r="H525" t="s">
        <v>397</v>
      </c>
      <c r="I525" t="s">
        <v>397</v>
      </c>
      <c r="J525">
        <v>5041</v>
      </c>
      <c r="K525">
        <v>0.78</v>
      </c>
      <c r="L525">
        <v>100</v>
      </c>
      <c r="M525">
        <v>2.5499999999999998</v>
      </c>
    </row>
    <row r="526" spans="1:13">
      <c r="A526" s="28">
        <v>157</v>
      </c>
      <c r="B526" t="s">
        <v>671</v>
      </c>
      <c r="C526">
        <v>78600</v>
      </c>
      <c r="D526">
        <v>3500</v>
      </c>
      <c r="E526">
        <v>4.66</v>
      </c>
      <c r="F526" t="s">
        <v>397</v>
      </c>
      <c r="G526" t="s">
        <v>397</v>
      </c>
      <c r="H526" t="s">
        <v>397</v>
      </c>
      <c r="I526" t="s">
        <v>397</v>
      </c>
      <c r="J526" t="s">
        <v>397</v>
      </c>
      <c r="K526" t="s">
        <v>397</v>
      </c>
      <c r="L526">
        <v>2000</v>
      </c>
      <c r="M526">
        <v>2.54</v>
      </c>
    </row>
    <row r="527" spans="1:13">
      <c r="A527" s="28">
        <v>7370</v>
      </c>
      <c r="B527" t="s">
        <v>672</v>
      </c>
      <c r="C527">
        <v>5910</v>
      </c>
      <c r="D527">
        <v>50</v>
      </c>
      <c r="E527">
        <v>0.85</v>
      </c>
      <c r="F527">
        <v>1115</v>
      </c>
      <c r="G527">
        <v>5.3</v>
      </c>
      <c r="H527" t="s">
        <v>397</v>
      </c>
      <c r="I527" t="s">
        <v>397</v>
      </c>
      <c r="J527">
        <v>7199</v>
      </c>
      <c r="K527">
        <v>0.82</v>
      </c>
      <c r="L527">
        <v>150</v>
      </c>
      <c r="M527">
        <v>2.54</v>
      </c>
    </row>
    <row r="528" spans="1:13">
      <c r="A528" s="28">
        <v>35810</v>
      </c>
      <c r="B528" t="s">
        <v>673</v>
      </c>
      <c r="C528">
        <v>2960</v>
      </c>
      <c r="D528">
        <v>15</v>
      </c>
      <c r="E528">
        <v>0.51</v>
      </c>
      <c r="F528">
        <v>175</v>
      </c>
      <c r="G528">
        <v>16.91</v>
      </c>
      <c r="H528" t="s">
        <v>397</v>
      </c>
      <c r="I528" t="s">
        <v>397</v>
      </c>
      <c r="J528">
        <v>8691</v>
      </c>
      <c r="K528">
        <v>0.34</v>
      </c>
      <c r="L528">
        <v>75</v>
      </c>
      <c r="M528">
        <v>2.5299999999999998</v>
      </c>
    </row>
    <row r="529" spans="1:13">
      <c r="A529" s="28">
        <v>100120</v>
      </c>
      <c r="B529" t="s">
        <v>674</v>
      </c>
      <c r="C529">
        <v>27700</v>
      </c>
      <c r="D529">
        <v>150</v>
      </c>
      <c r="E529">
        <v>0.54</v>
      </c>
      <c r="F529">
        <v>2890</v>
      </c>
      <c r="G529">
        <v>9.58</v>
      </c>
      <c r="H529">
        <v>3012</v>
      </c>
      <c r="I529">
        <v>9.1999999999999993</v>
      </c>
      <c r="J529">
        <v>22784</v>
      </c>
      <c r="K529">
        <v>1.22</v>
      </c>
      <c r="L529">
        <v>700</v>
      </c>
      <c r="M529">
        <v>2.5299999999999998</v>
      </c>
    </row>
    <row r="530" spans="1:13">
      <c r="A530" s="28">
        <v>23800</v>
      </c>
      <c r="B530" t="s">
        <v>675</v>
      </c>
      <c r="C530">
        <v>7920</v>
      </c>
      <c r="D530">
        <v>20</v>
      </c>
      <c r="E530">
        <v>0.25</v>
      </c>
      <c r="F530">
        <v>947</v>
      </c>
      <c r="G530">
        <v>8.36</v>
      </c>
      <c r="H530" t="s">
        <v>397</v>
      </c>
      <c r="I530" t="s">
        <v>397</v>
      </c>
      <c r="J530">
        <v>13364</v>
      </c>
      <c r="K530">
        <v>0.59</v>
      </c>
      <c r="L530">
        <v>200</v>
      </c>
      <c r="M530">
        <v>2.5299999999999998</v>
      </c>
    </row>
    <row r="531" spans="1:13">
      <c r="A531" s="28">
        <v>13520</v>
      </c>
      <c r="B531" t="s">
        <v>676</v>
      </c>
      <c r="C531">
        <v>1984</v>
      </c>
      <c r="D531">
        <v>-51</v>
      </c>
      <c r="E531">
        <v>-2.5099999999999998</v>
      </c>
      <c r="F531">
        <v>63</v>
      </c>
      <c r="G531">
        <v>31.49</v>
      </c>
      <c r="H531" t="s">
        <v>397</v>
      </c>
      <c r="I531" t="s">
        <v>397</v>
      </c>
      <c r="J531">
        <v>3752</v>
      </c>
      <c r="K531">
        <v>0.53</v>
      </c>
      <c r="L531">
        <v>50</v>
      </c>
      <c r="M531">
        <v>2.52</v>
      </c>
    </row>
    <row r="532" spans="1:13">
      <c r="A532" s="28">
        <v>373200</v>
      </c>
      <c r="B532" t="s">
        <v>677</v>
      </c>
      <c r="C532">
        <v>1987</v>
      </c>
      <c r="D532">
        <v>66</v>
      </c>
      <c r="E532">
        <v>3.44</v>
      </c>
      <c r="F532" t="s">
        <v>397</v>
      </c>
      <c r="G532" t="s">
        <v>397</v>
      </c>
      <c r="H532" t="s">
        <v>397</v>
      </c>
      <c r="I532" t="s">
        <v>397</v>
      </c>
      <c r="J532">
        <v>192</v>
      </c>
      <c r="K532">
        <v>10.35</v>
      </c>
      <c r="L532">
        <v>50</v>
      </c>
      <c r="M532">
        <v>2.52</v>
      </c>
    </row>
    <row r="533" spans="1:13">
      <c r="A533" s="28">
        <v>89470</v>
      </c>
      <c r="B533" t="s">
        <v>678</v>
      </c>
      <c r="C533">
        <v>4760</v>
      </c>
      <c r="D533">
        <v>80</v>
      </c>
      <c r="E533">
        <v>1.71</v>
      </c>
      <c r="F533">
        <v>398</v>
      </c>
      <c r="G533">
        <v>11.96</v>
      </c>
      <c r="H533" t="s">
        <v>397</v>
      </c>
      <c r="I533" t="s">
        <v>397</v>
      </c>
      <c r="J533">
        <v>10618</v>
      </c>
      <c r="K533">
        <v>0.45</v>
      </c>
      <c r="L533">
        <v>120</v>
      </c>
      <c r="M533">
        <v>2.52</v>
      </c>
    </row>
    <row r="534" spans="1:13">
      <c r="A534" s="28">
        <v>260660</v>
      </c>
      <c r="B534" t="s">
        <v>679</v>
      </c>
      <c r="C534">
        <v>5190</v>
      </c>
      <c r="D534">
        <v>-60</v>
      </c>
      <c r="E534">
        <v>-1.1399999999999999</v>
      </c>
      <c r="F534">
        <v>535</v>
      </c>
      <c r="G534">
        <v>9.6999999999999993</v>
      </c>
      <c r="H534" t="s">
        <v>397</v>
      </c>
      <c r="I534" t="s">
        <v>397</v>
      </c>
      <c r="J534">
        <v>5898</v>
      </c>
      <c r="K534">
        <v>0.88</v>
      </c>
      <c r="L534">
        <v>130</v>
      </c>
      <c r="M534">
        <v>2.5</v>
      </c>
    </row>
    <row r="535" spans="1:13">
      <c r="A535" s="28">
        <v>17510</v>
      </c>
      <c r="B535" t="s">
        <v>680</v>
      </c>
      <c r="C535">
        <v>2795</v>
      </c>
      <c r="D535">
        <v>-5</v>
      </c>
      <c r="E535">
        <v>-0.18</v>
      </c>
      <c r="F535">
        <v>148</v>
      </c>
      <c r="G535">
        <v>18.89</v>
      </c>
      <c r="H535" t="s">
        <v>397</v>
      </c>
      <c r="I535" t="s">
        <v>397</v>
      </c>
      <c r="J535">
        <v>4901</v>
      </c>
      <c r="K535">
        <v>0.56999999999999995</v>
      </c>
      <c r="L535">
        <v>70</v>
      </c>
      <c r="M535">
        <v>2.5</v>
      </c>
    </row>
    <row r="536" spans="1:13">
      <c r="A536" s="28">
        <v>37350</v>
      </c>
      <c r="B536" t="s">
        <v>681</v>
      </c>
      <c r="C536">
        <v>4000</v>
      </c>
      <c r="D536">
        <v>-60</v>
      </c>
      <c r="E536">
        <v>-1.48</v>
      </c>
      <c r="F536">
        <v>78</v>
      </c>
      <c r="G536">
        <v>51.28</v>
      </c>
      <c r="H536" t="s">
        <v>397</v>
      </c>
      <c r="I536" t="s">
        <v>397</v>
      </c>
      <c r="J536">
        <v>18176</v>
      </c>
      <c r="K536">
        <v>0.22</v>
      </c>
      <c r="L536">
        <v>100</v>
      </c>
      <c r="M536">
        <v>2.5</v>
      </c>
    </row>
    <row r="537" spans="1:13">
      <c r="A537" s="28">
        <v>6800</v>
      </c>
      <c r="B537" t="s">
        <v>682</v>
      </c>
      <c r="C537">
        <v>8020</v>
      </c>
      <c r="D537">
        <v>-170</v>
      </c>
      <c r="E537">
        <v>-2.08</v>
      </c>
      <c r="F537">
        <v>1033</v>
      </c>
      <c r="G537">
        <v>7.76</v>
      </c>
      <c r="H537">
        <v>887</v>
      </c>
      <c r="I537">
        <v>9.0399999999999991</v>
      </c>
      <c r="J537">
        <v>21818</v>
      </c>
      <c r="K537">
        <v>0.37</v>
      </c>
      <c r="L537">
        <v>200</v>
      </c>
      <c r="M537">
        <v>2.4900000000000002</v>
      </c>
    </row>
    <row r="538" spans="1:13">
      <c r="A538" s="28">
        <v>37330</v>
      </c>
      <c r="B538" t="s">
        <v>683</v>
      </c>
      <c r="C538">
        <v>2010</v>
      </c>
      <c r="D538">
        <v>-45</v>
      </c>
      <c r="E538">
        <v>-2.19</v>
      </c>
      <c r="F538">
        <v>90</v>
      </c>
      <c r="G538">
        <v>22.33</v>
      </c>
      <c r="H538" t="s">
        <v>397</v>
      </c>
      <c r="I538" t="s">
        <v>397</v>
      </c>
      <c r="J538">
        <v>4306</v>
      </c>
      <c r="K538">
        <v>0.47</v>
      </c>
      <c r="L538">
        <v>50</v>
      </c>
      <c r="M538">
        <v>2.4900000000000002</v>
      </c>
    </row>
    <row r="539" spans="1:13">
      <c r="A539" s="28">
        <v>54930</v>
      </c>
      <c r="B539" t="s">
        <v>684</v>
      </c>
      <c r="C539">
        <v>30200</v>
      </c>
      <c r="D539">
        <v>900</v>
      </c>
      <c r="E539">
        <v>3.07</v>
      </c>
      <c r="F539">
        <v>6108</v>
      </c>
      <c r="G539">
        <v>4.9400000000000004</v>
      </c>
      <c r="H539" t="s">
        <v>397</v>
      </c>
      <c r="I539" t="s">
        <v>397</v>
      </c>
      <c r="J539">
        <v>36579</v>
      </c>
      <c r="K539">
        <v>0.83</v>
      </c>
      <c r="L539">
        <v>750</v>
      </c>
      <c r="M539">
        <v>2.48</v>
      </c>
    </row>
    <row r="540" spans="1:13">
      <c r="A540" s="28">
        <v>4360</v>
      </c>
      <c r="B540" t="s">
        <v>685</v>
      </c>
      <c r="C540">
        <v>12090</v>
      </c>
      <c r="D540">
        <v>-90</v>
      </c>
      <c r="E540">
        <v>-0.74</v>
      </c>
      <c r="F540">
        <v>4819</v>
      </c>
      <c r="G540">
        <v>2.5099999999999998</v>
      </c>
      <c r="H540" t="s">
        <v>397</v>
      </c>
      <c r="I540" t="s">
        <v>397</v>
      </c>
      <c r="J540">
        <v>54430</v>
      </c>
      <c r="K540">
        <v>0.22</v>
      </c>
      <c r="L540">
        <v>300</v>
      </c>
      <c r="M540">
        <v>2.48</v>
      </c>
    </row>
    <row r="541" spans="1:13">
      <c r="A541" s="28">
        <v>75580</v>
      </c>
      <c r="B541" t="s">
        <v>686</v>
      </c>
      <c r="C541">
        <v>6080</v>
      </c>
      <c r="D541">
        <v>-50</v>
      </c>
      <c r="E541">
        <v>-0.82</v>
      </c>
      <c r="F541">
        <v>212</v>
      </c>
      <c r="G541">
        <v>28.68</v>
      </c>
      <c r="H541">
        <v>431</v>
      </c>
      <c r="I541">
        <v>14.09</v>
      </c>
      <c r="J541">
        <v>2993</v>
      </c>
      <c r="K541">
        <v>2.0299999999999998</v>
      </c>
      <c r="L541">
        <v>150</v>
      </c>
      <c r="M541">
        <v>2.4700000000000002</v>
      </c>
    </row>
    <row r="542" spans="1:13">
      <c r="A542" s="28">
        <v>253840</v>
      </c>
      <c r="B542" t="s">
        <v>687</v>
      </c>
      <c r="C542">
        <v>6080</v>
      </c>
      <c r="D542">
        <v>-50</v>
      </c>
      <c r="E542">
        <v>-0.82</v>
      </c>
      <c r="F542">
        <v>1686</v>
      </c>
      <c r="G542">
        <v>3.61</v>
      </c>
      <c r="H542" t="s">
        <v>397</v>
      </c>
      <c r="I542" t="s">
        <v>397</v>
      </c>
      <c r="J542">
        <v>8641</v>
      </c>
      <c r="K542">
        <v>0.7</v>
      </c>
      <c r="L542">
        <v>150</v>
      </c>
      <c r="M542">
        <v>2.4700000000000002</v>
      </c>
    </row>
    <row r="543" spans="1:13">
      <c r="A543" s="28">
        <v>4780</v>
      </c>
      <c r="B543" t="s">
        <v>688</v>
      </c>
      <c r="C543">
        <v>4065</v>
      </c>
      <c r="D543">
        <v>0</v>
      </c>
      <c r="E543">
        <v>0</v>
      </c>
      <c r="F543">
        <v>610</v>
      </c>
      <c r="G543">
        <v>6.66</v>
      </c>
      <c r="H543" t="s">
        <v>397</v>
      </c>
      <c r="I543" t="s">
        <v>397</v>
      </c>
      <c r="J543">
        <v>8206</v>
      </c>
      <c r="K543">
        <v>0.5</v>
      </c>
      <c r="L543">
        <v>100</v>
      </c>
      <c r="M543">
        <v>2.46</v>
      </c>
    </row>
    <row r="544" spans="1:13">
      <c r="A544" s="28">
        <v>9300</v>
      </c>
      <c r="B544" t="s">
        <v>689</v>
      </c>
      <c r="C544">
        <v>16260</v>
      </c>
      <c r="D544">
        <v>-30</v>
      </c>
      <c r="E544">
        <v>-0.18</v>
      </c>
      <c r="F544">
        <v>1952</v>
      </c>
      <c r="G544">
        <v>8.33</v>
      </c>
      <c r="H544" t="s">
        <v>397</v>
      </c>
      <c r="I544" t="s">
        <v>397</v>
      </c>
      <c r="J544">
        <v>29593</v>
      </c>
      <c r="K544">
        <v>0.55000000000000004</v>
      </c>
      <c r="L544">
        <v>400</v>
      </c>
      <c r="M544">
        <v>2.46</v>
      </c>
    </row>
    <row r="545" spans="1:13">
      <c r="A545" s="28">
        <v>54050</v>
      </c>
      <c r="B545" t="s">
        <v>690</v>
      </c>
      <c r="C545">
        <v>8170</v>
      </c>
      <c r="D545">
        <v>-20</v>
      </c>
      <c r="E545">
        <v>-0.24</v>
      </c>
      <c r="F545">
        <v>616</v>
      </c>
      <c r="G545">
        <v>13.26</v>
      </c>
      <c r="H545" t="s">
        <v>397</v>
      </c>
      <c r="I545" t="s">
        <v>397</v>
      </c>
      <c r="J545">
        <v>15560</v>
      </c>
      <c r="K545">
        <v>0.53</v>
      </c>
      <c r="L545">
        <v>200</v>
      </c>
      <c r="M545">
        <v>2.4500000000000002</v>
      </c>
    </row>
    <row r="546" spans="1:13">
      <c r="A546" s="28">
        <v>264450</v>
      </c>
      <c r="B546" t="s">
        <v>691</v>
      </c>
      <c r="C546">
        <v>17240</v>
      </c>
      <c r="D546">
        <v>-140</v>
      </c>
      <c r="E546">
        <v>-0.81</v>
      </c>
      <c r="F546">
        <v>2098</v>
      </c>
      <c r="G546">
        <v>8.2200000000000006</v>
      </c>
      <c r="H546" t="s">
        <v>397</v>
      </c>
      <c r="I546" t="s">
        <v>397</v>
      </c>
      <c r="J546">
        <v>13948</v>
      </c>
      <c r="K546">
        <v>1.24</v>
      </c>
      <c r="L546">
        <v>420</v>
      </c>
      <c r="M546">
        <v>2.44</v>
      </c>
    </row>
    <row r="547" spans="1:13">
      <c r="A547" s="28">
        <v>138490</v>
      </c>
      <c r="B547" t="s">
        <v>692</v>
      </c>
      <c r="C547">
        <v>7380</v>
      </c>
      <c r="D547">
        <v>70</v>
      </c>
      <c r="E547">
        <v>0.96</v>
      </c>
      <c r="F547">
        <v>939</v>
      </c>
      <c r="G547">
        <v>7.86</v>
      </c>
      <c r="H547">
        <v>859</v>
      </c>
      <c r="I547">
        <v>8.59</v>
      </c>
      <c r="J547">
        <v>6728</v>
      </c>
      <c r="K547">
        <v>1.1000000000000001</v>
      </c>
      <c r="L547">
        <v>180</v>
      </c>
      <c r="M547">
        <v>2.44</v>
      </c>
    </row>
    <row r="548" spans="1:13">
      <c r="A548" s="28">
        <v>104830</v>
      </c>
      <c r="B548" t="s">
        <v>693</v>
      </c>
      <c r="C548">
        <v>32950</v>
      </c>
      <c r="D548">
        <v>-750</v>
      </c>
      <c r="E548">
        <v>-2.23</v>
      </c>
      <c r="F548">
        <v>4579</v>
      </c>
      <c r="G548">
        <v>7.2</v>
      </c>
      <c r="H548">
        <v>3530</v>
      </c>
      <c r="I548">
        <v>9.34</v>
      </c>
      <c r="J548">
        <v>35324</v>
      </c>
      <c r="K548">
        <v>0.93</v>
      </c>
      <c r="L548">
        <v>800</v>
      </c>
      <c r="M548">
        <v>2.4300000000000002</v>
      </c>
    </row>
    <row r="549" spans="1:13">
      <c r="A549" s="28">
        <v>339770</v>
      </c>
      <c r="B549" t="s">
        <v>694</v>
      </c>
      <c r="C549">
        <v>8270</v>
      </c>
      <c r="D549">
        <v>110</v>
      </c>
      <c r="E549">
        <v>1.35</v>
      </c>
      <c r="F549">
        <v>214</v>
      </c>
      <c r="G549">
        <v>38.64</v>
      </c>
      <c r="H549">
        <v>970</v>
      </c>
      <c r="I549">
        <v>8.52</v>
      </c>
      <c r="J549">
        <v>7157</v>
      </c>
      <c r="K549">
        <v>1.1599999999999999</v>
      </c>
      <c r="L549">
        <v>200</v>
      </c>
      <c r="M549">
        <v>2.42</v>
      </c>
    </row>
    <row r="550" spans="1:13">
      <c r="A550" s="28">
        <v>122310</v>
      </c>
      <c r="B550" t="s">
        <v>695</v>
      </c>
      <c r="C550">
        <v>6640</v>
      </c>
      <c r="D550">
        <v>0</v>
      </c>
      <c r="E550">
        <v>0</v>
      </c>
      <c r="F550">
        <v>988</v>
      </c>
      <c r="G550">
        <v>6.72</v>
      </c>
      <c r="H550" t="s">
        <v>397</v>
      </c>
      <c r="I550" t="s">
        <v>397</v>
      </c>
      <c r="J550">
        <v>6294</v>
      </c>
      <c r="K550">
        <v>1.05</v>
      </c>
      <c r="L550">
        <v>160</v>
      </c>
      <c r="M550">
        <v>2.41</v>
      </c>
    </row>
    <row r="551" spans="1:13">
      <c r="A551" s="28">
        <v>192250</v>
      </c>
      <c r="B551" t="s">
        <v>696</v>
      </c>
      <c r="C551">
        <v>1244</v>
      </c>
      <c r="D551">
        <v>-13</v>
      </c>
      <c r="E551">
        <v>-1.03</v>
      </c>
      <c r="F551">
        <v>72</v>
      </c>
      <c r="G551">
        <v>17.28</v>
      </c>
      <c r="H551" t="s">
        <v>397</v>
      </c>
      <c r="I551" t="s">
        <v>397</v>
      </c>
      <c r="J551">
        <v>987</v>
      </c>
      <c r="K551">
        <v>1.26</v>
      </c>
      <c r="L551">
        <v>30</v>
      </c>
      <c r="M551">
        <v>2.41</v>
      </c>
    </row>
    <row r="552" spans="1:13">
      <c r="A552" s="28">
        <v>105740</v>
      </c>
      <c r="B552" t="s">
        <v>697</v>
      </c>
      <c r="C552">
        <v>8350</v>
      </c>
      <c r="D552">
        <v>-150</v>
      </c>
      <c r="E552">
        <v>-1.76</v>
      </c>
      <c r="F552">
        <v>685</v>
      </c>
      <c r="G552">
        <v>12.19</v>
      </c>
      <c r="H552" t="s">
        <v>397</v>
      </c>
      <c r="I552" t="s">
        <v>397</v>
      </c>
      <c r="J552">
        <v>12310</v>
      </c>
      <c r="K552">
        <v>0.68</v>
      </c>
      <c r="L552">
        <v>200</v>
      </c>
      <c r="M552">
        <v>2.4</v>
      </c>
    </row>
    <row r="553" spans="1:13">
      <c r="A553" s="28">
        <v>42110</v>
      </c>
      <c r="B553" t="s">
        <v>698</v>
      </c>
      <c r="C553">
        <v>1457</v>
      </c>
      <c r="D553">
        <v>-54</v>
      </c>
      <c r="E553">
        <v>-3.57</v>
      </c>
      <c r="F553">
        <v>172</v>
      </c>
      <c r="G553">
        <v>8.4700000000000006</v>
      </c>
      <c r="H553" t="s">
        <v>397</v>
      </c>
      <c r="I553" t="s">
        <v>397</v>
      </c>
      <c r="J553">
        <v>2468</v>
      </c>
      <c r="K553">
        <v>0.59</v>
      </c>
      <c r="L553">
        <v>35</v>
      </c>
      <c r="M553">
        <v>2.4</v>
      </c>
    </row>
    <row r="554" spans="1:13">
      <c r="A554" s="28">
        <v>910</v>
      </c>
      <c r="B554" t="s">
        <v>699</v>
      </c>
      <c r="C554">
        <v>5240</v>
      </c>
      <c r="D554">
        <v>-70</v>
      </c>
      <c r="E554">
        <v>-1.32</v>
      </c>
      <c r="F554" t="s">
        <v>397</v>
      </c>
      <c r="G554" t="s">
        <v>397</v>
      </c>
      <c r="H554" t="s">
        <v>397</v>
      </c>
      <c r="I554" t="s">
        <v>397</v>
      </c>
      <c r="J554">
        <v>7741</v>
      </c>
      <c r="K554">
        <v>0.68</v>
      </c>
      <c r="L554">
        <v>125</v>
      </c>
      <c r="M554">
        <v>2.39</v>
      </c>
    </row>
    <row r="555" spans="1:13">
      <c r="A555" s="28" t="s">
        <v>700</v>
      </c>
      <c r="B555" t="s">
        <v>701</v>
      </c>
      <c r="C555">
        <v>10540</v>
      </c>
      <c r="D555">
        <v>50</v>
      </c>
      <c r="E555">
        <v>0.48</v>
      </c>
      <c r="F555" t="s">
        <v>397</v>
      </c>
      <c r="G555" t="s">
        <v>397</v>
      </c>
      <c r="H555" t="s">
        <v>397</v>
      </c>
      <c r="I555" t="s">
        <v>397</v>
      </c>
      <c r="J555" t="s">
        <v>397</v>
      </c>
      <c r="K555" t="s">
        <v>397</v>
      </c>
      <c r="L555">
        <v>252</v>
      </c>
      <c r="M555">
        <v>2.39</v>
      </c>
    </row>
    <row r="556" spans="1:13">
      <c r="A556" s="28">
        <v>137950</v>
      </c>
      <c r="B556" t="s">
        <v>702</v>
      </c>
      <c r="C556">
        <v>6730</v>
      </c>
      <c r="D556">
        <v>20</v>
      </c>
      <c r="E556">
        <v>0.3</v>
      </c>
      <c r="F556">
        <v>929</v>
      </c>
      <c r="G556">
        <v>7.24</v>
      </c>
      <c r="H556" t="s">
        <v>397</v>
      </c>
      <c r="I556" t="s">
        <v>397</v>
      </c>
      <c r="J556">
        <v>6715</v>
      </c>
      <c r="K556">
        <v>1</v>
      </c>
      <c r="L556">
        <v>160</v>
      </c>
      <c r="M556">
        <v>2.38</v>
      </c>
    </row>
    <row r="557" spans="1:13">
      <c r="A557" s="28">
        <v>5360</v>
      </c>
      <c r="B557" t="s">
        <v>703</v>
      </c>
      <c r="C557">
        <v>2940</v>
      </c>
      <c r="D557">
        <v>-20</v>
      </c>
      <c r="E557">
        <v>-0.68</v>
      </c>
      <c r="F557">
        <v>166</v>
      </c>
      <c r="G557">
        <v>17.71</v>
      </c>
      <c r="H557" t="s">
        <v>397</v>
      </c>
      <c r="I557" t="s">
        <v>397</v>
      </c>
      <c r="J557">
        <v>5502</v>
      </c>
      <c r="K557">
        <v>0.53</v>
      </c>
      <c r="L557">
        <v>70</v>
      </c>
      <c r="M557">
        <v>2.38</v>
      </c>
    </row>
    <row r="558" spans="1:13">
      <c r="A558" s="28">
        <v>77500</v>
      </c>
      <c r="B558" t="s">
        <v>704</v>
      </c>
      <c r="C558">
        <v>8390</v>
      </c>
      <c r="D558">
        <v>-220</v>
      </c>
      <c r="E558">
        <v>-2.56</v>
      </c>
      <c r="F558">
        <v>1853</v>
      </c>
      <c r="G558">
        <v>4.53</v>
      </c>
      <c r="H558" t="s">
        <v>397</v>
      </c>
      <c r="I558" t="s">
        <v>397</v>
      </c>
      <c r="J558">
        <v>13196</v>
      </c>
      <c r="K558">
        <v>0.64</v>
      </c>
      <c r="L558">
        <v>200</v>
      </c>
      <c r="M558">
        <v>2.38</v>
      </c>
    </row>
    <row r="559" spans="1:13">
      <c r="A559" s="28">
        <v>337930</v>
      </c>
      <c r="B559" t="s">
        <v>705</v>
      </c>
      <c r="C559">
        <v>5060</v>
      </c>
      <c r="D559">
        <v>40</v>
      </c>
      <c r="E559">
        <v>0.8</v>
      </c>
      <c r="F559">
        <v>344</v>
      </c>
      <c r="G559">
        <v>14.71</v>
      </c>
      <c r="H559">
        <v>611</v>
      </c>
      <c r="I559">
        <v>8.2799999999999994</v>
      </c>
      <c r="J559">
        <v>2675</v>
      </c>
      <c r="K559">
        <v>1.89</v>
      </c>
      <c r="L559">
        <v>120</v>
      </c>
      <c r="M559">
        <v>2.37</v>
      </c>
    </row>
    <row r="560" spans="1:13">
      <c r="A560" s="28">
        <v>53300</v>
      </c>
      <c r="B560" t="s">
        <v>706</v>
      </c>
      <c r="C560">
        <v>5080</v>
      </c>
      <c r="D560">
        <v>-30</v>
      </c>
      <c r="E560">
        <v>-0.59</v>
      </c>
      <c r="F560">
        <v>153</v>
      </c>
      <c r="G560">
        <v>33.200000000000003</v>
      </c>
      <c r="H560" t="s">
        <v>397</v>
      </c>
      <c r="I560" t="s">
        <v>397</v>
      </c>
      <c r="J560">
        <v>4250</v>
      </c>
      <c r="K560">
        <v>1.2</v>
      </c>
      <c r="L560">
        <v>120</v>
      </c>
      <c r="M560">
        <v>2.36</v>
      </c>
    </row>
    <row r="561" spans="1:13">
      <c r="A561" s="28">
        <v>5965</v>
      </c>
      <c r="B561" t="s">
        <v>707</v>
      </c>
      <c r="C561">
        <v>23300</v>
      </c>
      <c r="D561">
        <v>0</v>
      </c>
      <c r="E561">
        <v>0</v>
      </c>
      <c r="F561" t="s">
        <v>397</v>
      </c>
      <c r="G561" t="s">
        <v>397</v>
      </c>
      <c r="H561" t="s">
        <v>397</v>
      </c>
      <c r="I561" t="s">
        <v>397</v>
      </c>
      <c r="J561" t="s">
        <v>397</v>
      </c>
      <c r="K561" t="s">
        <v>397</v>
      </c>
      <c r="L561">
        <v>550</v>
      </c>
      <c r="M561">
        <v>2.36</v>
      </c>
    </row>
    <row r="562" spans="1:13">
      <c r="A562" s="28">
        <v>9200</v>
      </c>
      <c r="B562" t="s">
        <v>708</v>
      </c>
      <c r="C562">
        <v>2120</v>
      </c>
      <c r="D562">
        <v>-20</v>
      </c>
      <c r="E562">
        <v>-0.93</v>
      </c>
      <c r="F562">
        <v>365</v>
      </c>
      <c r="G562">
        <v>5.81</v>
      </c>
      <c r="H562" t="s">
        <v>397</v>
      </c>
      <c r="I562" t="s">
        <v>397</v>
      </c>
      <c r="J562">
        <v>10014</v>
      </c>
      <c r="K562">
        <v>0.21</v>
      </c>
      <c r="L562">
        <v>50</v>
      </c>
      <c r="M562">
        <v>2.36</v>
      </c>
    </row>
    <row r="563" spans="1:13">
      <c r="A563" s="28">
        <v>75970</v>
      </c>
      <c r="B563" t="s">
        <v>709</v>
      </c>
      <c r="C563">
        <v>3410</v>
      </c>
      <c r="D563">
        <v>-10</v>
      </c>
      <c r="E563">
        <v>-0.28999999999999998</v>
      </c>
      <c r="F563">
        <v>214</v>
      </c>
      <c r="G563">
        <v>15.93</v>
      </c>
      <c r="H563" t="s">
        <v>397</v>
      </c>
      <c r="I563" t="s">
        <v>397</v>
      </c>
      <c r="J563">
        <v>4331</v>
      </c>
      <c r="K563">
        <v>0.79</v>
      </c>
      <c r="L563">
        <v>80</v>
      </c>
      <c r="M563">
        <v>2.35</v>
      </c>
    </row>
    <row r="564" spans="1:13">
      <c r="A564" s="28">
        <v>383220</v>
      </c>
      <c r="B564" t="s">
        <v>710</v>
      </c>
      <c r="C564">
        <v>68500</v>
      </c>
      <c r="D564">
        <v>700</v>
      </c>
      <c r="E564">
        <v>1.03</v>
      </c>
      <c r="F564">
        <v>11571</v>
      </c>
      <c r="G564">
        <v>5.92</v>
      </c>
      <c r="H564">
        <v>11924</v>
      </c>
      <c r="I564">
        <v>5.74</v>
      </c>
      <c r="J564">
        <v>24159</v>
      </c>
      <c r="K564">
        <v>2.84</v>
      </c>
      <c r="L564">
        <v>1600</v>
      </c>
      <c r="M564">
        <v>2.34</v>
      </c>
    </row>
    <row r="565" spans="1:13">
      <c r="A565" s="28">
        <v>9460</v>
      </c>
      <c r="B565" t="s">
        <v>711</v>
      </c>
      <c r="C565">
        <v>854</v>
      </c>
      <c r="D565">
        <v>-18</v>
      </c>
      <c r="E565">
        <v>-2.06</v>
      </c>
      <c r="F565">
        <v>21</v>
      </c>
      <c r="G565">
        <v>40.67</v>
      </c>
      <c r="H565" t="s">
        <v>397</v>
      </c>
      <c r="I565" t="s">
        <v>397</v>
      </c>
      <c r="J565">
        <v>1851</v>
      </c>
      <c r="K565">
        <v>0.46</v>
      </c>
      <c r="L565">
        <v>20</v>
      </c>
      <c r="M565">
        <v>2.34</v>
      </c>
    </row>
    <row r="566" spans="1:13">
      <c r="A566" s="28">
        <v>21240</v>
      </c>
      <c r="B566" t="s">
        <v>712</v>
      </c>
      <c r="C566">
        <v>55800</v>
      </c>
      <c r="D566">
        <v>-200</v>
      </c>
      <c r="E566">
        <v>-0.36</v>
      </c>
      <c r="F566">
        <v>6314</v>
      </c>
      <c r="G566">
        <v>8.84</v>
      </c>
      <c r="H566">
        <v>7439</v>
      </c>
      <c r="I566">
        <v>7.5</v>
      </c>
      <c r="J566">
        <v>31887</v>
      </c>
      <c r="K566">
        <v>1.75</v>
      </c>
      <c r="L566">
        <v>1300</v>
      </c>
      <c r="M566">
        <v>2.33</v>
      </c>
    </row>
    <row r="567" spans="1:13">
      <c r="A567" s="28">
        <v>5935</v>
      </c>
      <c r="B567" t="s">
        <v>713</v>
      </c>
      <c r="C567">
        <v>62000</v>
      </c>
      <c r="D567">
        <v>-1700</v>
      </c>
      <c r="E567">
        <v>-2.67</v>
      </c>
      <c r="F567" t="s">
        <v>397</v>
      </c>
      <c r="G567" t="s">
        <v>397</v>
      </c>
      <c r="H567" t="s">
        <v>397</v>
      </c>
      <c r="I567" t="s">
        <v>397</v>
      </c>
      <c r="J567" t="s">
        <v>397</v>
      </c>
      <c r="K567" t="s">
        <v>397</v>
      </c>
      <c r="L567">
        <v>1445</v>
      </c>
      <c r="M567">
        <v>2.33</v>
      </c>
    </row>
    <row r="568" spans="1:13">
      <c r="A568" s="28">
        <v>53260</v>
      </c>
      <c r="B568" t="s">
        <v>714</v>
      </c>
      <c r="C568">
        <v>5150</v>
      </c>
      <c r="D568">
        <v>60</v>
      </c>
      <c r="E568">
        <v>1.18</v>
      </c>
      <c r="F568">
        <v>332</v>
      </c>
      <c r="G568">
        <v>15.51</v>
      </c>
      <c r="H568" t="s">
        <v>397</v>
      </c>
      <c r="I568" t="s">
        <v>397</v>
      </c>
      <c r="J568">
        <v>7727</v>
      </c>
      <c r="K568">
        <v>0.67</v>
      </c>
      <c r="L568">
        <v>120</v>
      </c>
      <c r="M568">
        <v>2.33</v>
      </c>
    </row>
    <row r="569" spans="1:13">
      <c r="A569" s="28">
        <v>4980</v>
      </c>
      <c r="B569" t="s">
        <v>715</v>
      </c>
      <c r="C569">
        <v>8600</v>
      </c>
      <c r="D569">
        <v>-10</v>
      </c>
      <c r="E569">
        <v>-0.12</v>
      </c>
      <c r="F569" t="s">
        <v>397</v>
      </c>
      <c r="G569" t="s">
        <v>397</v>
      </c>
      <c r="H569" t="s">
        <v>397</v>
      </c>
      <c r="I569" t="s">
        <v>397</v>
      </c>
      <c r="J569">
        <v>16402</v>
      </c>
      <c r="K569">
        <v>0.52</v>
      </c>
      <c r="L569">
        <v>200</v>
      </c>
      <c r="M569">
        <v>2.33</v>
      </c>
    </row>
    <row r="570" spans="1:13">
      <c r="A570" s="28">
        <v>13030</v>
      </c>
      <c r="B570" t="s">
        <v>716</v>
      </c>
      <c r="C570">
        <v>25900</v>
      </c>
      <c r="D570">
        <v>-650</v>
      </c>
      <c r="E570">
        <v>-2.4500000000000002</v>
      </c>
      <c r="F570">
        <v>2633</v>
      </c>
      <c r="G570">
        <v>9.84</v>
      </c>
      <c r="H570">
        <v>3743</v>
      </c>
      <c r="I570">
        <v>6.92</v>
      </c>
      <c r="J570">
        <v>29337</v>
      </c>
      <c r="K570">
        <v>0.88</v>
      </c>
      <c r="L570">
        <v>600</v>
      </c>
      <c r="M570">
        <v>2.3199999999999998</v>
      </c>
    </row>
    <row r="571" spans="1:13">
      <c r="A571" s="28">
        <v>123570</v>
      </c>
      <c r="B571" t="s">
        <v>717</v>
      </c>
      <c r="C571">
        <v>3885</v>
      </c>
      <c r="D571">
        <v>-50</v>
      </c>
      <c r="E571">
        <v>-1.27</v>
      </c>
      <c r="F571">
        <v>308</v>
      </c>
      <c r="G571">
        <v>12.61</v>
      </c>
      <c r="H571" t="s">
        <v>397</v>
      </c>
      <c r="I571" t="s">
        <v>397</v>
      </c>
      <c r="J571">
        <v>4160</v>
      </c>
      <c r="K571">
        <v>0.93</v>
      </c>
      <c r="L571">
        <v>90</v>
      </c>
      <c r="M571">
        <v>2.3199999999999998</v>
      </c>
    </row>
    <row r="572" spans="1:13">
      <c r="A572" s="28">
        <v>51910</v>
      </c>
      <c r="B572" t="s">
        <v>718</v>
      </c>
      <c r="C572">
        <v>431000</v>
      </c>
      <c r="D572">
        <v>-9000</v>
      </c>
      <c r="E572">
        <v>-2.0499999999999998</v>
      </c>
      <c r="F572">
        <v>23670</v>
      </c>
      <c r="G572">
        <v>18.21</v>
      </c>
      <c r="H572">
        <v>29251</v>
      </c>
      <c r="I572">
        <v>14.73</v>
      </c>
      <c r="J572">
        <v>445524</v>
      </c>
      <c r="K572">
        <v>0.97</v>
      </c>
      <c r="L572">
        <v>10000</v>
      </c>
      <c r="M572">
        <v>2.3199999999999998</v>
      </c>
    </row>
    <row r="573" spans="1:13">
      <c r="A573" s="28">
        <v>3220</v>
      </c>
      <c r="B573" t="s">
        <v>719</v>
      </c>
      <c r="C573">
        <v>15150</v>
      </c>
      <c r="D573">
        <v>30</v>
      </c>
      <c r="E573">
        <v>0.2</v>
      </c>
      <c r="F573">
        <v>1510</v>
      </c>
      <c r="G573">
        <v>10.029999999999999</v>
      </c>
      <c r="H573">
        <v>1336</v>
      </c>
      <c r="I573">
        <v>11.34</v>
      </c>
      <c r="J573">
        <v>11967</v>
      </c>
      <c r="K573">
        <v>1.27</v>
      </c>
      <c r="L573">
        <v>350</v>
      </c>
      <c r="M573">
        <v>2.31</v>
      </c>
    </row>
    <row r="574" spans="1:13">
      <c r="A574" s="28">
        <v>277410</v>
      </c>
      <c r="B574" t="s">
        <v>720</v>
      </c>
      <c r="C574">
        <v>1732</v>
      </c>
      <c r="D574">
        <v>1</v>
      </c>
      <c r="E574">
        <v>0.06</v>
      </c>
      <c r="F574">
        <v>117</v>
      </c>
      <c r="G574">
        <v>14.8</v>
      </c>
      <c r="H574" t="s">
        <v>397</v>
      </c>
      <c r="I574" t="s">
        <v>397</v>
      </c>
      <c r="J574">
        <v>1609</v>
      </c>
      <c r="K574">
        <v>1.08</v>
      </c>
      <c r="L574">
        <v>40</v>
      </c>
      <c r="M574">
        <v>2.31</v>
      </c>
    </row>
    <row r="575" spans="1:13">
      <c r="A575" s="28">
        <v>26940</v>
      </c>
      <c r="B575" t="s">
        <v>721</v>
      </c>
      <c r="C575">
        <v>3250</v>
      </c>
      <c r="D575">
        <v>5</v>
      </c>
      <c r="E575">
        <v>0.15</v>
      </c>
      <c r="F575">
        <v>355</v>
      </c>
      <c r="G575">
        <v>9.15</v>
      </c>
      <c r="H575" t="s">
        <v>397</v>
      </c>
      <c r="I575" t="s">
        <v>397</v>
      </c>
      <c r="J575">
        <v>6300</v>
      </c>
      <c r="K575">
        <v>0.52</v>
      </c>
      <c r="L575">
        <v>75</v>
      </c>
      <c r="M575">
        <v>2.31</v>
      </c>
    </row>
    <row r="576" spans="1:13">
      <c r="A576" s="28">
        <v>1630</v>
      </c>
      <c r="B576" t="s">
        <v>722</v>
      </c>
      <c r="C576">
        <v>60600</v>
      </c>
      <c r="D576">
        <v>-1600</v>
      </c>
      <c r="E576">
        <v>-2.57</v>
      </c>
      <c r="F576">
        <v>219</v>
      </c>
      <c r="G576">
        <v>276.70999999999998</v>
      </c>
      <c r="H576" t="s">
        <v>397</v>
      </c>
      <c r="I576" t="s">
        <v>397</v>
      </c>
      <c r="J576">
        <v>108745</v>
      </c>
      <c r="K576">
        <v>0.56000000000000005</v>
      </c>
      <c r="L576">
        <v>1400</v>
      </c>
      <c r="M576">
        <v>2.31</v>
      </c>
    </row>
    <row r="577" spans="1:13">
      <c r="A577" s="28">
        <v>23910</v>
      </c>
      <c r="B577" t="s">
        <v>723</v>
      </c>
      <c r="C577">
        <v>28250</v>
      </c>
      <c r="D577">
        <v>50</v>
      </c>
      <c r="E577">
        <v>0.18</v>
      </c>
      <c r="F577">
        <v>4171</v>
      </c>
      <c r="G577">
        <v>6.77</v>
      </c>
      <c r="H577">
        <v>5224</v>
      </c>
      <c r="I577">
        <v>5.41</v>
      </c>
      <c r="J577">
        <v>38333</v>
      </c>
      <c r="K577">
        <v>0.74</v>
      </c>
      <c r="L577">
        <v>650</v>
      </c>
      <c r="M577">
        <v>2.2999999999999998</v>
      </c>
    </row>
    <row r="578" spans="1:13">
      <c r="A578" s="28">
        <v>285130</v>
      </c>
      <c r="B578" t="s">
        <v>724</v>
      </c>
      <c r="C578">
        <v>65200</v>
      </c>
      <c r="D578">
        <v>-1800</v>
      </c>
      <c r="E578">
        <v>-2.69</v>
      </c>
      <c r="F578">
        <v>9910</v>
      </c>
      <c r="G578">
        <v>6.58</v>
      </c>
      <c r="H578">
        <v>942</v>
      </c>
      <c r="I578">
        <v>69.2</v>
      </c>
      <c r="J578">
        <v>124642</v>
      </c>
      <c r="K578">
        <v>0.52</v>
      </c>
      <c r="L578">
        <v>1500</v>
      </c>
      <c r="M578">
        <v>2.2999999999999998</v>
      </c>
    </row>
    <row r="579" spans="1:13">
      <c r="A579" s="28">
        <v>120240</v>
      </c>
      <c r="B579" t="s">
        <v>725</v>
      </c>
      <c r="C579">
        <v>17360</v>
      </c>
      <c r="D579">
        <v>50</v>
      </c>
      <c r="E579">
        <v>0.28999999999999998</v>
      </c>
      <c r="F579">
        <v>1916</v>
      </c>
      <c r="G579">
        <v>9.06</v>
      </c>
      <c r="H579" t="s">
        <v>397</v>
      </c>
      <c r="I579" t="s">
        <v>397</v>
      </c>
      <c r="J579">
        <v>20442</v>
      </c>
      <c r="K579">
        <v>0.85</v>
      </c>
      <c r="L579">
        <v>400</v>
      </c>
      <c r="M579">
        <v>2.2999999999999998</v>
      </c>
    </row>
    <row r="580" spans="1:13">
      <c r="A580" s="28">
        <v>81580</v>
      </c>
      <c r="B580" t="s">
        <v>726</v>
      </c>
      <c r="C580">
        <v>2170</v>
      </c>
      <c r="D580">
        <v>-15</v>
      </c>
      <c r="E580">
        <v>-0.69</v>
      </c>
      <c r="F580">
        <v>371</v>
      </c>
      <c r="G580">
        <v>5.85</v>
      </c>
      <c r="H580" t="s">
        <v>397</v>
      </c>
      <c r="I580" t="s">
        <v>397</v>
      </c>
      <c r="J580">
        <v>7276</v>
      </c>
      <c r="K580">
        <v>0.3</v>
      </c>
      <c r="L580">
        <v>50</v>
      </c>
      <c r="M580">
        <v>2.2999999999999998</v>
      </c>
    </row>
    <row r="581" spans="1:13">
      <c r="A581" s="28">
        <v>860</v>
      </c>
      <c r="B581" t="s">
        <v>727</v>
      </c>
      <c r="C581">
        <v>21800</v>
      </c>
      <c r="D581">
        <v>0</v>
      </c>
      <c r="E581">
        <v>0</v>
      </c>
      <c r="F581">
        <v>952</v>
      </c>
      <c r="G581">
        <v>22.9</v>
      </c>
      <c r="H581" t="s">
        <v>397</v>
      </c>
      <c r="I581" t="s">
        <v>397</v>
      </c>
      <c r="J581">
        <v>92542</v>
      </c>
      <c r="K581">
        <v>0.24</v>
      </c>
      <c r="L581">
        <v>500</v>
      </c>
      <c r="M581">
        <v>2.29</v>
      </c>
    </row>
    <row r="582" spans="1:13">
      <c r="A582" s="28">
        <v>7310</v>
      </c>
      <c r="B582" t="s">
        <v>728</v>
      </c>
      <c r="C582">
        <v>393500</v>
      </c>
      <c r="D582">
        <v>2500</v>
      </c>
      <c r="E582">
        <v>0.64</v>
      </c>
      <c r="F582">
        <v>80501</v>
      </c>
      <c r="G582">
        <v>4.8899999999999997</v>
      </c>
      <c r="H582">
        <v>45723</v>
      </c>
      <c r="I582">
        <v>8.61</v>
      </c>
      <c r="J582">
        <v>528433</v>
      </c>
      <c r="K582">
        <v>0.74</v>
      </c>
      <c r="L582">
        <v>9000</v>
      </c>
      <c r="M582">
        <v>2.29</v>
      </c>
    </row>
    <row r="583" spans="1:13">
      <c r="A583" s="28">
        <v>1040</v>
      </c>
      <c r="B583" t="s">
        <v>729</v>
      </c>
      <c r="C583">
        <v>109200</v>
      </c>
      <c r="D583">
        <v>13400</v>
      </c>
      <c r="E583">
        <v>13.99</v>
      </c>
      <c r="F583">
        <v>6023</v>
      </c>
      <c r="G583">
        <v>18.13</v>
      </c>
      <c r="H583">
        <v>11334</v>
      </c>
      <c r="I583">
        <v>9.6300000000000008</v>
      </c>
      <c r="J583">
        <v>191537</v>
      </c>
      <c r="K583">
        <v>0.56999999999999995</v>
      </c>
      <c r="L583">
        <v>2500</v>
      </c>
      <c r="M583">
        <v>2.29</v>
      </c>
    </row>
    <row r="584" spans="1:13">
      <c r="A584" s="28">
        <v>170790</v>
      </c>
      <c r="B584" t="s">
        <v>730</v>
      </c>
      <c r="C584">
        <v>13170</v>
      </c>
      <c r="D584">
        <v>-110</v>
      </c>
      <c r="E584">
        <v>-0.83</v>
      </c>
      <c r="F584">
        <v>1818</v>
      </c>
      <c r="G584">
        <v>7.24</v>
      </c>
      <c r="H584">
        <v>2195</v>
      </c>
      <c r="I584">
        <v>6</v>
      </c>
      <c r="J584">
        <v>10862</v>
      </c>
      <c r="K584">
        <v>1.21</v>
      </c>
      <c r="L584">
        <v>300</v>
      </c>
      <c r="M584">
        <v>2.2799999999999998</v>
      </c>
    </row>
    <row r="585" spans="1:13">
      <c r="A585" s="28">
        <v>39490</v>
      </c>
      <c r="B585" t="s">
        <v>731</v>
      </c>
      <c r="C585">
        <v>131300</v>
      </c>
      <c r="D585">
        <v>-3400</v>
      </c>
      <c r="E585">
        <v>-2.52</v>
      </c>
      <c r="F585">
        <v>17919</v>
      </c>
      <c r="G585">
        <v>7.33</v>
      </c>
      <c r="H585">
        <v>24836</v>
      </c>
      <c r="I585">
        <v>5.29</v>
      </c>
      <c r="J585">
        <v>183566</v>
      </c>
      <c r="K585">
        <v>0.72</v>
      </c>
      <c r="L585">
        <v>3000</v>
      </c>
      <c r="M585">
        <v>2.2799999999999998</v>
      </c>
    </row>
    <row r="586" spans="1:13">
      <c r="A586" s="28">
        <v>94970</v>
      </c>
      <c r="B586" t="s">
        <v>732</v>
      </c>
      <c r="C586">
        <v>6600</v>
      </c>
      <c r="D586">
        <v>-80</v>
      </c>
      <c r="E586">
        <v>-1.2</v>
      </c>
      <c r="F586">
        <v>1760</v>
      </c>
      <c r="G586">
        <v>3.75</v>
      </c>
      <c r="H586" t="s">
        <v>397</v>
      </c>
      <c r="I586" t="s">
        <v>397</v>
      </c>
      <c r="J586">
        <v>6195</v>
      </c>
      <c r="K586">
        <v>1.07</v>
      </c>
      <c r="L586">
        <v>150</v>
      </c>
      <c r="M586">
        <v>2.27</v>
      </c>
    </row>
    <row r="587" spans="1:13">
      <c r="A587" s="28">
        <v>54800</v>
      </c>
      <c r="B587" t="s">
        <v>733</v>
      </c>
      <c r="C587">
        <v>10990</v>
      </c>
      <c r="D587">
        <v>-150</v>
      </c>
      <c r="E587">
        <v>-1.35</v>
      </c>
      <c r="F587">
        <v>4473</v>
      </c>
      <c r="G587">
        <v>2.46</v>
      </c>
      <c r="H587" t="s">
        <v>397</v>
      </c>
      <c r="I587" t="s">
        <v>397</v>
      </c>
      <c r="J587">
        <v>27120</v>
      </c>
      <c r="K587">
        <v>0.41</v>
      </c>
      <c r="L587">
        <v>250</v>
      </c>
      <c r="M587">
        <v>2.27</v>
      </c>
    </row>
    <row r="588" spans="1:13">
      <c r="A588" s="28">
        <v>84110</v>
      </c>
      <c r="B588" t="s">
        <v>734</v>
      </c>
      <c r="C588">
        <v>22100</v>
      </c>
      <c r="D588">
        <v>-500</v>
      </c>
      <c r="E588">
        <v>-2.21</v>
      </c>
      <c r="F588" t="s">
        <v>397</v>
      </c>
      <c r="G588" t="s">
        <v>397</v>
      </c>
      <c r="H588" t="s">
        <v>397</v>
      </c>
      <c r="I588" t="s">
        <v>397</v>
      </c>
      <c r="J588">
        <v>37909</v>
      </c>
      <c r="K588">
        <v>0.57999999999999996</v>
      </c>
      <c r="L588">
        <v>500</v>
      </c>
      <c r="M588">
        <v>2.2599999999999998</v>
      </c>
    </row>
    <row r="589" spans="1:13">
      <c r="A589" s="28">
        <v>126600</v>
      </c>
      <c r="B589" t="s">
        <v>735</v>
      </c>
      <c r="C589">
        <v>4425</v>
      </c>
      <c r="D589">
        <v>-55</v>
      </c>
      <c r="E589">
        <v>-1.23</v>
      </c>
      <c r="F589">
        <v>1053</v>
      </c>
      <c r="G589">
        <v>4.2</v>
      </c>
      <c r="H589" t="s">
        <v>397</v>
      </c>
      <c r="I589" t="s">
        <v>397</v>
      </c>
      <c r="J589">
        <v>6585</v>
      </c>
      <c r="K589">
        <v>0.67</v>
      </c>
      <c r="L589">
        <v>100</v>
      </c>
      <c r="M589">
        <v>2.2599999999999998</v>
      </c>
    </row>
    <row r="590" spans="1:13">
      <c r="A590" s="28">
        <v>214370</v>
      </c>
      <c r="B590" t="s">
        <v>736</v>
      </c>
      <c r="C590">
        <v>23950</v>
      </c>
      <c r="D590">
        <v>250</v>
      </c>
      <c r="E590">
        <v>1.05</v>
      </c>
      <c r="F590">
        <v>556</v>
      </c>
      <c r="G590">
        <v>43.08</v>
      </c>
      <c r="H590" t="s">
        <v>397</v>
      </c>
      <c r="I590" t="s">
        <v>397</v>
      </c>
      <c r="J590">
        <v>4396</v>
      </c>
      <c r="K590">
        <v>5.45</v>
      </c>
      <c r="L590">
        <v>540</v>
      </c>
      <c r="M590">
        <v>2.25</v>
      </c>
    </row>
    <row r="591" spans="1:13">
      <c r="A591" s="28">
        <v>126880</v>
      </c>
      <c r="B591" t="s">
        <v>737</v>
      </c>
      <c r="C591">
        <v>4440</v>
      </c>
      <c r="D591">
        <v>-110</v>
      </c>
      <c r="E591">
        <v>-2.42</v>
      </c>
      <c r="F591">
        <v>313</v>
      </c>
      <c r="G591">
        <v>14.19</v>
      </c>
      <c r="H591" t="s">
        <v>397</v>
      </c>
      <c r="I591" t="s">
        <v>397</v>
      </c>
      <c r="J591">
        <v>4884</v>
      </c>
      <c r="K591">
        <v>0.91</v>
      </c>
      <c r="L591">
        <v>100</v>
      </c>
      <c r="M591">
        <v>2.25</v>
      </c>
    </row>
    <row r="592" spans="1:13">
      <c r="A592" s="28">
        <v>88130</v>
      </c>
      <c r="B592" t="s">
        <v>738</v>
      </c>
      <c r="C592">
        <v>8920</v>
      </c>
      <c r="D592">
        <v>-250</v>
      </c>
      <c r="E592">
        <v>-2.73</v>
      </c>
      <c r="F592">
        <v>151</v>
      </c>
      <c r="G592">
        <v>59.07</v>
      </c>
      <c r="H592" t="s">
        <v>397</v>
      </c>
      <c r="I592" t="s">
        <v>397</v>
      </c>
      <c r="J592">
        <v>17660</v>
      </c>
      <c r="K592">
        <v>0.51</v>
      </c>
      <c r="L592">
        <v>200</v>
      </c>
      <c r="M592">
        <v>2.2400000000000002</v>
      </c>
    </row>
    <row r="593" spans="1:13">
      <c r="A593" s="28">
        <v>67280</v>
      </c>
      <c r="B593" t="s">
        <v>739</v>
      </c>
      <c r="C593">
        <v>35750</v>
      </c>
      <c r="D593">
        <v>50</v>
      </c>
      <c r="E593">
        <v>0.14000000000000001</v>
      </c>
      <c r="F593">
        <v>5106</v>
      </c>
      <c r="G593">
        <v>7</v>
      </c>
      <c r="H593" t="s">
        <v>397</v>
      </c>
      <c r="I593" t="s">
        <v>397</v>
      </c>
      <c r="J593">
        <v>28530</v>
      </c>
      <c r="K593">
        <v>1.25</v>
      </c>
      <c r="L593">
        <v>800</v>
      </c>
      <c r="M593">
        <v>2.2400000000000002</v>
      </c>
    </row>
    <row r="594" spans="1:13">
      <c r="A594" s="28">
        <v>7700</v>
      </c>
      <c r="B594" t="s">
        <v>740</v>
      </c>
      <c r="C594">
        <v>15600</v>
      </c>
      <c r="D594">
        <v>-10</v>
      </c>
      <c r="E594">
        <v>-0.06</v>
      </c>
      <c r="F594">
        <v>3384</v>
      </c>
      <c r="G594">
        <v>4.6100000000000003</v>
      </c>
      <c r="H594" t="s">
        <v>397</v>
      </c>
      <c r="I594" t="s">
        <v>397</v>
      </c>
      <c r="J594">
        <v>52493</v>
      </c>
      <c r="K594">
        <v>0.3</v>
      </c>
      <c r="L594">
        <v>350</v>
      </c>
      <c r="M594">
        <v>2.2400000000000002</v>
      </c>
    </row>
    <row r="595" spans="1:13">
      <c r="A595" s="28">
        <v>49770</v>
      </c>
      <c r="B595" t="s">
        <v>741</v>
      </c>
      <c r="C595">
        <v>31350</v>
      </c>
      <c r="D595">
        <v>150</v>
      </c>
      <c r="E595">
        <v>0.48</v>
      </c>
      <c r="F595">
        <v>4711</v>
      </c>
      <c r="G595">
        <v>6.65</v>
      </c>
      <c r="H595">
        <v>6335</v>
      </c>
      <c r="I595">
        <v>4.95</v>
      </c>
      <c r="J595">
        <v>45847</v>
      </c>
      <c r="K595">
        <v>0.68</v>
      </c>
      <c r="L595">
        <v>701</v>
      </c>
      <c r="M595">
        <v>2.2400000000000002</v>
      </c>
    </row>
    <row r="596" spans="1:13">
      <c r="A596" s="28">
        <v>14580</v>
      </c>
      <c r="B596" t="s">
        <v>742</v>
      </c>
      <c r="C596">
        <v>5800</v>
      </c>
      <c r="D596">
        <v>20</v>
      </c>
      <c r="E596">
        <v>0.35</v>
      </c>
      <c r="F596">
        <v>850</v>
      </c>
      <c r="G596">
        <v>6.82</v>
      </c>
      <c r="H596" t="s">
        <v>397</v>
      </c>
      <c r="I596" t="s">
        <v>397</v>
      </c>
      <c r="J596">
        <v>6444</v>
      </c>
      <c r="K596">
        <v>0.9</v>
      </c>
      <c r="L596">
        <v>130</v>
      </c>
      <c r="M596">
        <v>2.2400000000000002</v>
      </c>
    </row>
    <row r="597" spans="1:13">
      <c r="A597" s="28">
        <v>4170</v>
      </c>
      <c r="B597" t="s">
        <v>743</v>
      </c>
      <c r="C597">
        <v>167800</v>
      </c>
      <c r="D597">
        <v>-1300</v>
      </c>
      <c r="E597">
        <v>-0.77</v>
      </c>
      <c r="F597">
        <v>41282</v>
      </c>
      <c r="G597">
        <v>4.0599999999999996</v>
      </c>
      <c r="H597">
        <v>33638</v>
      </c>
      <c r="I597">
        <v>4.99</v>
      </c>
      <c r="J597">
        <v>418209</v>
      </c>
      <c r="K597">
        <v>0.4</v>
      </c>
      <c r="L597">
        <v>3750</v>
      </c>
      <c r="M597">
        <v>2.23</v>
      </c>
    </row>
    <row r="598" spans="1:13">
      <c r="A598" s="28">
        <v>210</v>
      </c>
      <c r="B598" t="s">
        <v>744</v>
      </c>
      <c r="C598">
        <v>44850</v>
      </c>
      <c r="D598">
        <v>-900</v>
      </c>
      <c r="E598">
        <v>-1.97</v>
      </c>
      <c r="F598">
        <v>2679</v>
      </c>
      <c r="G598">
        <v>16.739999999999998</v>
      </c>
      <c r="H598">
        <v>7283</v>
      </c>
      <c r="I598">
        <v>6.16</v>
      </c>
      <c r="J598">
        <v>194062</v>
      </c>
      <c r="K598">
        <v>0.23</v>
      </c>
      <c r="L598">
        <v>1000</v>
      </c>
      <c r="M598">
        <v>2.23</v>
      </c>
    </row>
    <row r="599" spans="1:13">
      <c r="A599" s="28">
        <v>32190</v>
      </c>
      <c r="B599" t="s">
        <v>745</v>
      </c>
      <c r="C599">
        <v>13450</v>
      </c>
      <c r="D599">
        <v>160</v>
      </c>
      <c r="E599">
        <v>1.2</v>
      </c>
      <c r="F599">
        <v>5319</v>
      </c>
      <c r="G599">
        <v>2.5299999999999998</v>
      </c>
      <c r="H599" t="s">
        <v>397</v>
      </c>
      <c r="I599" t="s">
        <v>397</v>
      </c>
      <c r="J599">
        <v>29654</v>
      </c>
      <c r="K599">
        <v>0.45</v>
      </c>
      <c r="L599">
        <v>300</v>
      </c>
      <c r="M599">
        <v>2.23</v>
      </c>
    </row>
    <row r="600" spans="1:13">
      <c r="A600" s="28">
        <v>103140</v>
      </c>
      <c r="B600" t="s">
        <v>746</v>
      </c>
      <c r="C600">
        <v>45200</v>
      </c>
      <c r="D600">
        <v>100</v>
      </c>
      <c r="E600">
        <v>0.22</v>
      </c>
      <c r="F600">
        <v>6395</v>
      </c>
      <c r="G600">
        <v>7.07</v>
      </c>
      <c r="H600">
        <v>6559</v>
      </c>
      <c r="I600">
        <v>6.89</v>
      </c>
      <c r="J600">
        <v>67365</v>
      </c>
      <c r="K600">
        <v>0.67</v>
      </c>
      <c r="L600">
        <v>1000</v>
      </c>
      <c r="M600">
        <v>2.21</v>
      </c>
    </row>
    <row r="601" spans="1:13">
      <c r="A601" s="28">
        <v>21650</v>
      </c>
      <c r="B601" t="s">
        <v>747</v>
      </c>
      <c r="C601">
        <v>2730</v>
      </c>
      <c r="D601">
        <v>15</v>
      </c>
      <c r="E601">
        <v>0.55000000000000004</v>
      </c>
      <c r="F601">
        <v>402</v>
      </c>
      <c r="G601">
        <v>6.79</v>
      </c>
      <c r="H601" t="s">
        <v>397</v>
      </c>
      <c r="I601" t="s">
        <v>397</v>
      </c>
      <c r="J601">
        <v>4914</v>
      </c>
      <c r="K601">
        <v>0.56000000000000005</v>
      </c>
      <c r="L601">
        <v>60</v>
      </c>
      <c r="M601">
        <v>2.2000000000000002</v>
      </c>
    </row>
    <row r="602" spans="1:13">
      <c r="A602" s="28">
        <v>170030</v>
      </c>
      <c r="B602" t="s">
        <v>748</v>
      </c>
      <c r="C602">
        <v>7550</v>
      </c>
      <c r="D602">
        <v>-80</v>
      </c>
      <c r="E602">
        <v>-1.05</v>
      </c>
      <c r="F602">
        <v>753</v>
      </c>
      <c r="G602">
        <v>10.029999999999999</v>
      </c>
      <c r="H602" t="s">
        <v>397</v>
      </c>
      <c r="I602" t="s">
        <v>397</v>
      </c>
      <c r="J602">
        <v>9031</v>
      </c>
      <c r="K602">
        <v>0.84</v>
      </c>
      <c r="L602">
        <v>166</v>
      </c>
      <c r="M602">
        <v>2.2000000000000002</v>
      </c>
    </row>
    <row r="603" spans="1:13">
      <c r="A603" s="28">
        <v>11070</v>
      </c>
      <c r="B603" t="s">
        <v>749</v>
      </c>
      <c r="C603">
        <v>188300</v>
      </c>
      <c r="D603">
        <v>-3600</v>
      </c>
      <c r="E603">
        <v>-1.88</v>
      </c>
      <c r="F603">
        <v>41406</v>
      </c>
      <c r="G603">
        <v>4.55</v>
      </c>
      <c r="H603">
        <v>27174</v>
      </c>
      <c r="I603">
        <v>6.93</v>
      </c>
      <c r="J603">
        <v>180261</v>
      </c>
      <c r="K603">
        <v>1.04</v>
      </c>
      <c r="L603">
        <v>4150</v>
      </c>
      <c r="M603">
        <v>2.2000000000000002</v>
      </c>
    </row>
    <row r="604" spans="1:13">
      <c r="A604" s="28">
        <v>58400</v>
      </c>
      <c r="B604" t="s">
        <v>750</v>
      </c>
      <c r="C604">
        <v>908</v>
      </c>
      <c r="D604">
        <v>-3</v>
      </c>
      <c r="E604">
        <v>-0.33</v>
      </c>
      <c r="F604">
        <v>56</v>
      </c>
      <c r="G604">
        <v>16.21</v>
      </c>
      <c r="H604" t="s">
        <v>397</v>
      </c>
      <c r="I604" t="s">
        <v>397</v>
      </c>
      <c r="J604">
        <v>1563</v>
      </c>
      <c r="K604">
        <v>0.57999999999999996</v>
      </c>
      <c r="L604">
        <v>20</v>
      </c>
      <c r="M604">
        <v>2.2000000000000002</v>
      </c>
    </row>
    <row r="605" spans="1:13">
      <c r="A605" s="28">
        <v>1940</v>
      </c>
      <c r="B605" t="s">
        <v>751</v>
      </c>
      <c r="C605">
        <v>27250</v>
      </c>
      <c r="D605">
        <v>350</v>
      </c>
      <c r="E605">
        <v>1.3</v>
      </c>
      <c r="F605">
        <v>5760</v>
      </c>
      <c r="G605">
        <v>4.7300000000000004</v>
      </c>
      <c r="H605" t="s">
        <v>397</v>
      </c>
      <c r="I605" t="s">
        <v>397</v>
      </c>
      <c r="J605">
        <v>75645</v>
      </c>
      <c r="K605">
        <v>0.36</v>
      </c>
      <c r="L605">
        <v>600</v>
      </c>
      <c r="M605">
        <v>2.2000000000000002</v>
      </c>
    </row>
    <row r="606" spans="1:13">
      <c r="A606" s="28">
        <v>46890</v>
      </c>
      <c r="B606" t="s">
        <v>752</v>
      </c>
      <c r="C606">
        <v>10040</v>
      </c>
      <c r="D606">
        <v>30</v>
      </c>
      <c r="E606">
        <v>0.3</v>
      </c>
      <c r="F606" t="s">
        <v>397</v>
      </c>
      <c r="G606" t="s">
        <v>397</v>
      </c>
      <c r="H606">
        <v>97</v>
      </c>
      <c r="I606">
        <v>103.91</v>
      </c>
      <c r="J606">
        <v>12504</v>
      </c>
      <c r="K606">
        <v>0.8</v>
      </c>
      <c r="L606">
        <v>220</v>
      </c>
      <c r="M606">
        <v>2.19</v>
      </c>
    </row>
    <row r="607" spans="1:13">
      <c r="A607" s="28">
        <v>69080</v>
      </c>
      <c r="B607" t="s">
        <v>753</v>
      </c>
      <c r="C607">
        <v>16900</v>
      </c>
      <c r="D607">
        <v>390</v>
      </c>
      <c r="E607">
        <v>2.36</v>
      </c>
      <c r="F607">
        <v>2441</v>
      </c>
      <c r="G607">
        <v>6.92</v>
      </c>
      <c r="H607">
        <v>2090</v>
      </c>
      <c r="I607">
        <v>8.09</v>
      </c>
      <c r="J607">
        <v>19416</v>
      </c>
      <c r="K607">
        <v>0.87</v>
      </c>
      <c r="L607">
        <v>370</v>
      </c>
      <c r="M607">
        <v>2.19</v>
      </c>
    </row>
    <row r="608" spans="1:13">
      <c r="A608" s="28">
        <v>81000</v>
      </c>
      <c r="B608" t="s">
        <v>754</v>
      </c>
      <c r="C608">
        <v>13680</v>
      </c>
      <c r="D608">
        <v>30</v>
      </c>
      <c r="E608">
        <v>0.22</v>
      </c>
      <c r="F608" t="s">
        <v>397</v>
      </c>
      <c r="G608" t="s">
        <v>397</v>
      </c>
      <c r="H608" t="s">
        <v>397</v>
      </c>
      <c r="I608" t="s">
        <v>397</v>
      </c>
      <c r="J608">
        <v>28217</v>
      </c>
      <c r="K608">
        <v>0.48</v>
      </c>
      <c r="L608">
        <v>300</v>
      </c>
      <c r="M608">
        <v>2.19</v>
      </c>
    </row>
    <row r="609" spans="1:13">
      <c r="A609" s="28">
        <v>3610</v>
      </c>
      <c r="B609" t="s">
        <v>366</v>
      </c>
      <c r="C609">
        <v>2070</v>
      </c>
      <c r="D609">
        <v>0</v>
      </c>
      <c r="E609">
        <v>0</v>
      </c>
      <c r="F609">
        <v>152</v>
      </c>
      <c r="G609">
        <v>13.62</v>
      </c>
      <c r="H609" t="s">
        <v>397</v>
      </c>
      <c r="I609" t="s">
        <v>397</v>
      </c>
      <c r="J609">
        <v>5532</v>
      </c>
      <c r="K609">
        <v>0.37</v>
      </c>
      <c r="L609">
        <v>45</v>
      </c>
      <c r="M609">
        <v>2.17</v>
      </c>
    </row>
    <row r="610" spans="1:13">
      <c r="A610" s="28">
        <v>3310</v>
      </c>
      <c r="B610" t="s">
        <v>755</v>
      </c>
      <c r="C610">
        <v>1618</v>
      </c>
      <c r="D610">
        <v>8</v>
      </c>
      <c r="E610">
        <v>0.5</v>
      </c>
      <c r="F610">
        <v>123</v>
      </c>
      <c r="G610">
        <v>13.15</v>
      </c>
      <c r="H610" t="s">
        <v>397</v>
      </c>
      <c r="I610" t="s">
        <v>397</v>
      </c>
      <c r="J610">
        <v>1949</v>
      </c>
      <c r="K610">
        <v>0.83</v>
      </c>
      <c r="L610">
        <v>35</v>
      </c>
      <c r="M610">
        <v>2.16</v>
      </c>
    </row>
    <row r="611" spans="1:13">
      <c r="A611" s="28">
        <v>100700</v>
      </c>
      <c r="B611" t="s">
        <v>756</v>
      </c>
      <c r="C611">
        <v>2775</v>
      </c>
      <c r="D611">
        <v>-5</v>
      </c>
      <c r="E611">
        <v>-0.18</v>
      </c>
      <c r="F611">
        <v>240</v>
      </c>
      <c r="G611">
        <v>11.56</v>
      </c>
      <c r="H611" t="s">
        <v>397</v>
      </c>
      <c r="I611" t="s">
        <v>397</v>
      </c>
      <c r="J611">
        <v>2841</v>
      </c>
      <c r="K611">
        <v>0.98</v>
      </c>
      <c r="L611">
        <v>60</v>
      </c>
      <c r="M611">
        <v>2.16</v>
      </c>
    </row>
    <row r="612" spans="1:13">
      <c r="A612" s="28">
        <v>80520</v>
      </c>
      <c r="B612" t="s">
        <v>757</v>
      </c>
      <c r="C612">
        <v>4660</v>
      </c>
      <c r="D612">
        <v>-15</v>
      </c>
      <c r="E612">
        <v>-0.32</v>
      </c>
      <c r="F612" t="s">
        <v>397</v>
      </c>
      <c r="G612" t="s">
        <v>397</v>
      </c>
      <c r="H612" t="s">
        <v>397</v>
      </c>
      <c r="I612" t="s">
        <v>397</v>
      </c>
      <c r="J612">
        <v>11484</v>
      </c>
      <c r="K612">
        <v>0.41</v>
      </c>
      <c r="L612">
        <v>100</v>
      </c>
      <c r="M612">
        <v>2.15</v>
      </c>
    </row>
    <row r="613" spans="1:13">
      <c r="A613" s="28">
        <v>2795</v>
      </c>
      <c r="B613" t="s">
        <v>758</v>
      </c>
      <c r="C613">
        <v>9810</v>
      </c>
      <c r="D613">
        <v>-40</v>
      </c>
      <c r="E613">
        <v>-0.41</v>
      </c>
      <c r="F613" t="s">
        <v>397</v>
      </c>
      <c r="G613" t="s">
        <v>397</v>
      </c>
      <c r="H613" t="s">
        <v>397</v>
      </c>
      <c r="I613" t="s">
        <v>397</v>
      </c>
      <c r="J613" t="s">
        <v>397</v>
      </c>
      <c r="K613" t="s">
        <v>397</v>
      </c>
      <c r="L613">
        <v>210</v>
      </c>
      <c r="M613">
        <v>2.14</v>
      </c>
    </row>
    <row r="614" spans="1:13">
      <c r="A614" s="28">
        <v>220</v>
      </c>
      <c r="B614" t="s">
        <v>759</v>
      </c>
      <c r="C614">
        <v>4900</v>
      </c>
      <c r="D614">
        <v>-55</v>
      </c>
      <c r="E614">
        <v>-1.1100000000000001</v>
      </c>
      <c r="F614" t="s">
        <v>397</v>
      </c>
      <c r="G614" t="s">
        <v>397</v>
      </c>
      <c r="H614" t="s">
        <v>397</v>
      </c>
      <c r="I614" t="s">
        <v>397</v>
      </c>
      <c r="J614">
        <v>7144</v>
      </c>
      <c r="K614">
        <v>0.69</v>
      </c>
      <c r="L614">
        <v>105</v>
      </c>
      <c r="M614">
        <v>2.14</v>
      </c>
    </row>
    <row r="615" spans="1:13">
      <c r="A615" s="28">
        <v>64820</v>
      </c>
      <c r="B615" t="s">
        <v>760</v>
      </c>
      <c r="C615">
        <v>4665</v>
      </c>
      <c r="D615">
        <v>180</v>
      </c>
      <c r="E615">
        <v>4.01</v>
      </c>
      <c r="F615">
        <v>7</v>
      </c>
      <c r="G615">
        <v>666.43</v>
      </c>
      <c r="H615" t="s">
        <v>397</v>
      </c>
      <c r="I615" t="s">
        <v>397</v>
      </c>
      <c r="J615">
        <v>6516</v>
      </c>
      <c r="K615">
        <v>0.72</v>
      </c>
      <c r="L615">
        <v>100</v>
      </c>
      <c r="M615">
        <v>2.14</v>
      </c>
    </row>
    <row r="616" spans="1:13">
      <c r="A616" s="28">
        <v>2310</v>
      </c>
      <c r="B616" t="s">
        <v>761</v>
      </c>
      <c r="C616">
        <v>47000</v>
      </c>
      <c r="D616">
        <v>500</v>
      </c>
      <c r="E616">
        <v>1.08</v>
      </c>
      <c r="F616">
        <v>10540</v>
      </c>
      <c r="G616">
        <v>4.46</v>
      </c>
      <c r="H616" t="s">
        <v>397</v>
      </c>
      <c r="I616" t="s">
        <v>397</v>
      </c>
      <c r="J616">
        <v>89799</v>
      </c>
      <c r="K616">
        <v>0.52</v>
      </c>
      <c r="L616">
        <v>1000</v>
      </c>
      <c r="M616">
        <v>2.13</v>
      </c>
    </row>
    <row r="617" spans="1:13">
      <c r="A617" s="28">
        <v>37440</v>
      </c>
      <c r="B617" t="s">
        <v>762</v>
      </c>
      <c r="C617">
        <v>7050</v>
      </c>
      <c r="D617">
        <v>130</v>
      </c>
      <c r="E617">
        <v>1.88</v>
      </c>
      <c r="F617">
        <v>567</v>
      </c>
      <c r="G617">
        <v>12.43</v>
      </c>
      <c r="H617">
        <v>736</v>
      </c>
      <c r="I617">
        <v>9.58</v>
      </c>
      <c r="J617">
        <v>5186</v>
      </c>
      <c r="K617">
        <v>1.36</v>
      </c>
      <c r="L617">
        <v>150</v>
      </c>
      <c r="M617">
        <v>2.13</v>
      </c>
    </row>
    <row r="618" spans="1:13">
      <c r="A618" s="28">
        <v>17900</v>
      </c>
      <c r="B618" t="s">
        <v>763</v>
      </c>
      <c r="C618">
        <v>2350</v>
      </c>
      <c r="D618">
        <v>-25</v>
      </c>
      <c r="E618">
        <v>-1.05</v>
      </c>
      <c r="F618">
        <v>275</v>
      </c>
      <c r="G618">
        <v>8.5500000000000007</v>
      </c>
      <c r="H618" t="s">
        <v>397</v>
      </c>
      <c r="I618" t="s">
        <v>397</v>
      </c>
      <c r="J618">
        <v>4514</v>
      </c>
      <c r="K618">
        <v>0.52</v>
      </c>
      <c r="L618">
        <v>50</v>
      </c>
      <c r="M618">
        <v>2.13</v>
      </c>
    </row>
    <row r="619" spans="1:13">
      <c r="A619" s="28">
        <v>50860</v>
      </c>
      <c r="B619" t="s">
        <v>764</v>
      </c>
      <c r="C619">
        <v>2360</v>
      </c>
      <c r="D619">
        <v>30</v>
      </c>
      <c r="E619">
        <v>1.29</v>
      </c>
      <c r="F619">
        <v>451</v>
      </c>
      <c r="G619">
        <v>5.23</v>
      </c>
      <c r="H619" t="s">
        <v>397</v>
      </c>
      <c r="I619" t="s">
        <v>397</v>
      </c>
      <c r="J619">
        <v>6134</v>
      </c>
      <c r="K619">
        <v>0.38</v>
      </c>
      <c r="L619">
        <v>50</v>
      </c>
      <c r="M619">
        <v>2.12</v>
      </c>
    </row>
    <row r="620" spans="1:13">
      <c r="A620" s="28">
        <v>78020</v>
      </c>
      <c r="B620" t="s">
        <v>765</v>
      </c>
      <c r="C620">
        <v>4710</v>
      </c>
      <c r="D620">
        <v>330</v>
      </c>
      <c r="E620">
        <v>7.53</v>
      </c>
      <c r="F620">
        <v>410</v>
      </c>
      <c r="G620">
        <v>11.49</v>
      </c>
      <c r="H620" t="s">
        <v>397</v>
      </c>
      <c r="I620" t="s">
        <v>397</v>
      </c>
      <c r="J620">
        <v>18243</v>
      </c>
      <c r="K620">
        <v>0.26</v>
      </c>
      <c r="L620">
        <v>100</v>
      </c>
      <c r="M620">
        <v>2.12</v>
      </c>
    </row>
    <row r="621" spans="1:13">
      <c r="A621" s="28">
        <v>35250</v>
      </c>
      <c r="B621" t="s">
        <v>372</v>
      </c>
      <c r="C621">
        <v>16600</v>
      </c>
      <c r="D621">
        <v>10</v>
      </c>
      <c r="E621">
        <v>0.06</v>
      </c>
      <c r="F621">
        <v>570</v>
      </c>
      <c r="G621">
        <v>29.12</v>
      </c>
      <c r="H621">
        <v>1281</v>
      </c>
      <c r="I621">
        <v>12.96</v>
      </c>
      <c r="J621">
        <v>16846</v>
      </c>
      <c r="K621">
        <v>0.99</v>
      </c>
      <c r="L621">
        <v>350</v>
      </c>
      <c r="M621">
        <v>2.11</v>
      </c>
    </row>
    <row r="622" spans="1:13">
      <c r="A622" s="28">
        <v>200130</v>
      </c>
      <c r="B622" t="s">
        <v>766</v>
      </c>
      <c r="C622">
        <v>14570</v>
      </c>
      <c r="D622">
        <v>100</v>
      </c>
      <c r="E622">
        <v>0.69</v>
      </c>
      <c r="F622">
        <v>1371</v>
      </c>
      <c r="G622">
        <v>10.63</v>
      </c>
      <c r="H622" t="s">
        <v>397</v>
      </c>
      <c r="I622" t="s">
        <v>397</v>
      </c>
      <c r="J622">
        <v>13595</v>
      </c>
      <c r="K622">
        <v>1.07</v>
      </c>
      <c r="L622">
        <v>308</v>
      </c>
      <c r="M622">
        <v>2.11</v>
      </c>
    </row>
    <row r="623" spans="1:13">
      <c r="A623" s="28">
        <v>670</v>
      </c>
      <c r="B623" t="s">
        <v>767</v>
      </c>
      <c r="C623">
        <v>479000</v>
      </c>
      <c r="D623">
        <v>-12500</v>
      </c>
      <c r="E623">
        <v>-2.54</v>
      </c>
      <c r="F623">
        <v>213453</v>
      </c>
      <c r="G623">
        <v>2.2400000000000002</v>
      </c>
      <c r="H623" t="s">
        <v>397</v>
      </c>
      <c r="I623" t="s">
        <v>397</v>
      </c>
      <c r="J623">
        <v>2272640</v>
      </c>
      <c r="K623">
        <v>0.21</v>
      </c>
      <c r="L623">
        <v>10000</v>
      </c>
      <c r="M623">
        <v>2.09</v>
      </c>
    </row>
    <row r="624" spans="1:13">
      <c r="A624" s="28" t="s">
        <v>768</v>
      </c>
      <c r="B624" t="s">
        <v>769</v>
      </c>
      <c r="C624">
        <v>4785</v>
      </c>
      <c r="D624">
        <v>45</v>
      </c>
      <c r="E624">
        <v>0.95</v>
      </c>
      <c r="F624" t="s">
        <v>397</v>
      </c>
      <c r="G624" t="s">
        <v>397</v>
      </c>
      <c r="H624" t="s">
        <v>397</v>
      </c>
      <c r="I624" t="s">
        <v>397</v>
      </c>
      <c r="J624" t="s">
        <v>397</v>
      </c>
      <c r="K624" t="s">
        <v>397</v>
      </c>
      <c r="L624">
        <v>100</v>
      </c>
      <c r="M624">
        <v>2.09</v>
      </c>
    </row>
    <row r="625" spans="1:13">
      <c r="A625" s="28">
        <v>109080</v>
      </c>
      <c r="B625" t="s">
        <v>770</v>
      </c>
      <c r="C625">
        <v>9630</v>
      </c>
      <c r="D625">
        <v>0</v>
      </c>
      <c r="E625">
        <v>0</v>
      </c>
      <c r="F625">
        <v>1519</v>
      </c>
      <c r="G625">
        <v>6.34</v>
      </c>
      <c r="H625" t="s">
        <v>397</v>
      </c>
      <c r="I625" t="s">
        <v>397</v>
      </c>
      <c r="J625">
        <v>10555</v>
      </c>
      <c r="K625">
        <v>0.91</v>
      </c>
      <c r="L625">
        <v>200</v>
      </c>
      <c r="M625">
        <v>2.08</v>
      </c>
    </row>
    <row r="626" spans="1:13">
      <c r="A626" s="28">
        <v>10420</v>
      </c>
      <c r="B626" t="s">
        <v>771</v>
      </c>
      <c r="C626">
        <v>1209</v>
      </c>
      <c r="D626">
        <v>-1</v>
      </c>
      <c r="E626">
        <v>-0.08</v>
      </c>
      <c r="F626">
        <v>92</v>
      </c>
      <c r="G626">
        <v>13.14</v>
      </c>
      <c r="H626" t="s">
        <v>397</v>
      </c>
      <c r="I626" t="s">
        <v>397</v>
      </c>
      <c r="J626">
        <v>2311</v>
      </c>
      <c r="K626">
        <v>0.52</v>
      </c>
      <c r="L626">
        <v>25</v>
      </c>
      <c r="M626">
        <v>2.0699999999999998</v>
      </c>
    </row>
    <row r="627" spans="1:13">
      <c r="A627" s="28">
        <v>16380</v>
      </c>
      <c r="B627" t="s">
        <v>772</v>
      </c>
      <c r="C627">
        <v>7230</v>
      </c>
      <c r="D627">
        <v>40</v>
      </c>
      <c r="E627">
        <v>0.56000000000000005</v>
      </c>
      <c r="F627">
        <v>5357</v>
      </c>
      <c r="G627">
        <v>1.35</v>
      </c>
      <c r="H627" t="s">
        <v>397</v>
      </c>
      <c r="I627" t="s">
        <v>397</v>
      </c>
      <c r="J627">
        <v>16907</v>
      </c>
      <c r="K627">
        <v>0.43</v>
      </c>
      <c r="L627">
        <v>150</v>
      </c>
      <c r="M627">
        <v>2.0699999999999998</v>
      </c>
    </row>
    <row r="628" spans="1:13">
      <c r="A628" s="28">
        <v>60720</v>
      </c>
      <c r="B628" t="s">
        <v>773</v>
      </c>
      <c r="C628">
        <v>14500</v>
      </c>
      <c r="D628">
        <v>-120</v>
      </c>
      <c r="E628">
        <v>-0.82</v>
      </c>
      <c r="F628">
        <v>1094</v>
      </c>
      <c r="G628">
        <v>13.25</v>
      </c>
      <c r="H628">
        <v>1867</v>
      </c>
      <c r="I628">
        <v>7.77</v>
      </c>
      <c r="J628">
        <v>10166</v>
      </c>
      <c r="K628">
        <v>1.43</v>
      </c>
      <c r="L628">
        <v>300</v>
      </c>
      <c r="M628">
        <v>2.0699999999999998</v>
      </c>
    </row>
    <row r="629" spans="1:13">
      <c r="A629" s="28">
        <v>16580</v>
      </c>
      <c r="B629" t="s">
        <v>774</v>
      </c>
      <c r="C629">
        <v>14530</v>
      </c>
      <c r="D629">
        <v>50</v>
      </c>
      <c r="E629">
        <v>0.35</v>
      </c>
      <c r="F629">
        <v>1567</v>
      </c>
      <c r="G629">
        <v>9.27</v>
      </c>
      <c r="H629" t="s">
        <v>397</v>
      </c>
      <c r="I629" t="s">
        <v>397</v>
      </c>
      <c r="J629">
        <v>21845</v>
      </c>
      <c r="K629">
        <v>0.67</v>
      </c>
      <c r="L629">
        <v>300</v>
      </c>
      <c r="M629">
        <v>2.06</v>
      </c>
    </row>
    <row r="630" spans="1:13">
      <c r="A630" s="28">
        <v>60540</v>
      </c>
      <c r="B630" t="s">
        <v>775</v>
      </c>
      <c r="C630">
        <v>2435</v>
      </c>
      <c r="D630">
        <v>-45</v>
      </c>
      <c r="E630">
        <v>-1.81</v>
      </c>
      <c r="F630">
        <v>350</v>
      </c>
      <c r="G630">
        <v>6.96</v>
      </c>
      <c r="H630" t="s">
        <v>397</v>
      </c>
      <c r="I630" t="s">
        <v>397</v>
      </c>
      <c r="J630">
        <v>3834</v>
      </c>
      <c r="K630">
        <v>0.64</v>
      </c>
      <c r="L630">
        <v>50</v>
      </c>
      <c r="M630">
        <v>2.0499999999999998</v>
      </c>
    </row>
    <row r="631" spans="1:13">
      <c r="A631" s="28" t="s">
        <v>776</v>
      </c>
      <c r="B631" t="s">
        <v>777</v>
      </c>
      <c r="C631">
        <v>114500</v>
      </c>
      <c r="D631">
        <v>-12500</v>
      </c>
      <c r="E631">
        <v>-9.84</v>
      </c>
      <c r="F631" t="s">
        <v>397</v>
      </c>
      <c r="G631" t="s">
        <v>397</v>
      </c>
      <c r="H631" t="s">
        <v>397</v>
      </c>
      <c r="I631" t="s">
        <v>397</v>
      </c>
      <c r="J631" t="s">
        <v>397</v>
      </c>
      <c r="K631" t="s">
        <v>397</v>
      </c>
      <c r="L631">
        <v>2350</v>
      </c>
      <c r="M631">
        <v>2.0499999999999998</v>
      </c>
    </row>
    <row r="632" spans="1:13">
      <c r="A632" s="28">
        <v>225</v>
      </c>
      <c r="B632" t="s">
        <v>778</v>
      </c>
      <c r="C632">
        <v>5360</v>
      </c>
      <c r="D632">
        <v>-60</v>
      </c>
      <c r="E632">
        <v>-1.1100000000000001</v>
      </c>
      <c r="F632" t="s">
        <v>397</v>
      </c>
      <c r="G632" t="s">
        <v>397</v>
      </c>
      <c r="H632" t="s">
        <v>397</v>
      </c>
      <c r="I632" t="s">
        <v>397</v>
      </c>
      <c r="J632" t="s">
        <v>397</v>
      </c>
      <c r="K632" t="s">
        <v>397</v>
      </c>
      <c r="L632">
        <v>110</v>
      </c>
      <c r="M632">
        <v>2.0499999999999998</v>
      </c>
    </row>
    <row r="633" spans="1:13">
      <c r="A633" s="28">
        <v>8870</v>
      </c>
      <c r="B633" t="s">
        <v>779</v>
      </c>
      <c r="C633">
        <v>63500</v>
      </c>
      <c r="D633">
        <v>400</v>
      </c>
      <c r="E633">
        <v>0.63</v>
      </c>
      <c r="F633" t="s">
        <v>397</v>
      </c>
      <c r="G633" t="s">
        <v>397</v>
      </c>
      <c r="H633" t="s">
        <v>397</v>
      </c>
      <c r="I633" t="s">
        <v>397</v>
      </c>
      <c r="J633">
        <v>106871</v>
      </c>
      <c r="K633">
        <v>0.59</v>
      </c>
      <c r="L633">
        <v>1300</v>
      </c>
      <c r="M633">
        <v>2.0499999999999998</v>
      </c>
    </row>
    <row r="634" spans="1:13">
      <c r="A634" s="28">
        <v>8260</v>
      </c>
      <c r="B634" t="s">
        <v>780</v>
      </c>
      <c r="C634">
        <v>4905</v>
      </c>
      <c r="D634">
        <v>-105</v>
      </c>
      <c r="E634">
        <v>-2.1</v>
      </c>
      <c r="F634">
        <v>1706</v>
      </c>
      <c r="G634">
        <v>2.88</v>
      </c>
      <c r="H634" t="s">
        <v>397</v>
      </c>
      <c r="I634" t="s">
        <v>397</v>
      </c>
      <c r="J634">
        <v>6580</v>
      </c>
      <c r="K634">
        <v>0.75</v>
      </c>
      <c r="L634">
        <v>100</v>
      </c>
      <c r="M634">
        <v>2.04</v>
      </c>
    </row>
    <row r="635" spans="1:13">
      <c r="A635" s="28">
        <v>13570</v>
      </c>
      <c r="B635" t="s">
        <v>781</v>
      </c>
      <c r="C635">
        <v>5870</v>
      </c>
      <c r="D635">
        <v>-30</v>
      </c>
      <c r="E635">
        <v>-0.51</v>
      </c>
      <c r="F635" t="s">
        <v>397</v>
      </c>
      <c r="G635" t="s">
        <v>397</v>
      </c>
      <c r="H635" t="s">
        <v>397</v>
      </c>
      <c r="I635" t="s">
        <v>397</v>
      </c>
      <c r="J635">
        <v>13814</v>
      </c>
      <c r="K635">
        <v>0.42</v>
      </c>
      <c r="L635">
        <v>120</v>
      </c>
      <c r="M635">
        <v>2.04</v>
      </c>
    </row>
    <row r="636" spans="1:13">
      <c r="A636" s="28">
        <v>183190</v>
      </c>
      <c r="B636" t="s">
        <v>782</v>
      </c>
      <c r="C636">
        <v>11020</v>
      </c>
      <c r="D636">
        <v>-20</v>
      </c>
      <c r="E636">
        <v>-0.18</v>
      </c>
      <c r="F636">
        <v>1631</v>
      </c>
      <c r="G636">
        <v>6.76</v>
      </c>
      <c r="H636">
        <v>2605</v>
      </c>
      <c r="I636">
        <v>4.2300000000000004</v>
      </c>
      <c r="J636">
        <v>24770</v>
      </c>
      <c r="K636">
        <v>0.44</v>
      </c>
      <c r="L636">
        <v>225</v>
      </c>
      <c r="M636">
        <v>2.04</v>
      </c>
    </row>
    <row r="637" spans="1:13">
      <c r="A637" s="28">
        <v>25880</v>
      </c>
      <c r="B637" t="s">
        <v>783</v>
      </c>
      <c r="C637">
        <v>2455</v>
      </c>
      <c r="D637">
        <v>0</v>
      </c>
      <c r="E637">
        <v>0</v>
      </c>
      <c r="F637">
        <v>266</v>
      </c>
      <c r="G637">
        <v>9.23</v>
      </c>
      <c r="H637" t="s">
        <v>397</v>
      </c>
      <c r="I637" t="s">
        <v>397</v>
      </c>
      <c r="J637">
        <v>3833</v>
      </c>
      <c r="K637">
        <v>0.64</v>
      </c>
      <c r="L637">
        <v>50</v>
      </c>
      <c r="M637">
        <v>2.04</v>
      </c>
    </row>
    <row r="638" spans="1:13">
      <c r="A638" s="28">
        <v>18260</v>
      </c>
      <c r="B638" t="s">
        <v>784</v>
      </c>
      <c r="C638">
        <v>157700</v>
      </c>
      <c r="D638">
        <v>400</v>
      </c>
      <c r="E638">
        <v>0.25</v>
      </c>
      <c r="F638">
        <v>14218</v>
      </c>
      <c r="G638">
        <v>11.09</v>
      </c>
      <c r="H638">
        <v>10349</v>
      </c>
      <c r="I638">
        <v>15.24</v>
      </c>
      <c r="J638">
        <v>106311</v>
      </c>
      <c r="K638">
        <v>1.48</v>
      </c>
      <c r="L638">
        <v>3200</v>
      </c>
      <c r="M638">
        <v>2.0299999999999998</v>
      </c>
    </row>
    <row r="639" spans="1:13">
      <c r="A639" s="28">
        <v>37070</v>
      </c>
      <c r="B639" t="s">
        <v>785</v>
      </c>
      <c r="C639">
        <v>9870</v>
      </c>
      <c r="D639">
        <v>-10</v>
      </c>
      <c r="E639">
        <v>-0.1</v>
      </c>
      <c r="F639">
        <v>460</v>
      </c>
      <c r="G639">
        <v>21.46</v>
      </c>
      <c r="H639" t="s">
        <v>397</v>
      </c>
      <c r="I639" t="s">
        <v>397</v>
      </c>
      <c r="J639">
        <v>5338</v>
      </c>
      <c r="K639">
        <v>1.85</v>
      </c>
      <c r="L639">
        <v>200</v>
      </c>
      <c r="M639">
        <v>2.0299999999999998</v>
      </c>
    </row>
    <row r="640" spans="1:13">
      <c r="A640" s="28">
        <v>4250</v>
      </c>
      <c r="B640" t="s">
        <v>786</v>
      </c>
      <c r="C640">
        <v>4920</v>
      </c>
      <c r="D640">
        <v>-40</v>
      </c>
      <c r="E640">
        <v>-0.81</v>
      </c>
      <c r="F640">
        <v>678</v>
      </c>
      <c r="G640">
        <v>7.26</v>
      </c>
      <c r="H640" t="s">
        <v>397</v>
      </c>
      <c r="I640" t="s">
        <v>397</v>
      </c>
      <c r="J640">
        <v>9416</v>
      </c>
      <c r="K640">
        <v>0.52</v>
      </c>
      <c r="L640">
        <v>100</v>
      </c>
      <c r="M640">
        <v>2.0299999999999998</v>
      </c>
    </row>
    <row r="641" spans="1:13">
      <c r="A641" s="28">
        <v>39010</v>
      </c>
      <c r="B641" t="s">
        <v>787</v>
      </c>
      <c r="C641">
        <v>6410</v>
      </c>
      <c r="D641">
        <v>-90</v>
      </c>
      <c r="E641">
        <v>-1.38</v>
      </c>
      <c r="F641">
        <v>250</v>
      </c>
      <c r="G641">
        <v>25.64</v>
      </c>
      <c r="H641" t="s">
        <v>397</v>
      </c>
      <c r="I641" t="s">
        <v>397</v>
      </c>
      <c r="J641">
        <v>11707</v>
      </c>
      <c r="K641">
        <v>0.55000000000000004</v>
      </c>
      <c r="L641">
        <v>130</v>
      </c>
      <c r="M641">
        <v>2.0299999999999998</v>
      </c>
    </row>
    <row r="642" spans="1:13">
      <c r="A642" s="28">
        <v>16740</v>
      </c>
      <c r="B642" t="s">
        <v>788</v>
      </c>
      <c r="C642">
        <v>3960</v>
      </c>
      <c r="D642">
        <v>-20</v>
      </c>
      <c r="E642">
        <v>-0.5</v>
      </c>
      <c r="F642">
        <v>224</v>
      </c>
      <c r="G642">
        <v>17.68</v>
      </c>
      <c r="H642" t="s">
        <v>397</v>
      </c>
      <c r="I642" t="s">
        <v>397</v>
      </c>
      <c r="J642">
        <v>5889</v>
      </c>
      <c r="K642">
        <v>0.67</v>
      </c>
      <c r="L642">
        <v>80</v>
      </c>
      <c r="M642">
        <v>2.02</v>
      </c>
    </row>
    <row r="643" spans="1:13">
      <c r="A643" s="28">
        <v>89150</v>
      </c>
      <c r="B643" t="s">
        <v>789</v>
      </c>
      <c r="C643">
        <v>2965</v>
      </c>
      <c r="D643">
        <v>-5</v>
      </c>
      <c r="E643">
        <v>-0.17</v>
      </c>
      <c r="F643">
        <v>39</v>
      </c>
      <c r="G643">
        <v>76.03</v>
      </c>
      <c r="H643" t="s">
        <v>397</v>
      </c>
      <c r="I643" t="s">
        <v>397</v>
      </c>
      <c r="J643">
        <v>2027</v>
      </c>
      <c r="K643">
        <v>1.46</v>
      </c>
      <c r="L643">
        <v>60</v>
      </c>
      <c r="M643">
        <v>2.02</v>
      </c>
    </row>
    <row r="644" spans="1:13">
      <c r="A644" s="28">
        <v>290690</v>
      </c>
      <c r="B644" t="s">
        <v>790</v>
      </c>
      <c r="C644">
        <v>2470</v>
      </c>
      <c r="D644">
        <v>35</v>
      </c>
      <c r="E644">
        <v>1.44</v>
      </c>
      <c r="F644" t="s">
        <v>397</v>
      </c>
      <c r="G644" t="s">
        <v>397</v>
      </c>
      <c r="H644" t="s">
        <v>397</v>
      </c>
      <c r="I644" t="s">
        <v>397</v>
      </c>
      <c r="J644">
        <v>350</v>
      </c>
      <c r="K644">
        <v>7.06</v>
      </c>
      <c r="L644">
        <v>50</v>
      </c>
      <c r="M644">
        <v>2.02</v>
      </c>
    </row>
    <row r="645" spans="1:13">
      <c r="A645" s="28">
        <v>18250</v>
      </c>
      <c r="B645" t="s">
        <v>791</v>
      </c>
      <c r="C645">
        <v>15400</v>
      </c>
      <c r="D645">
        <v>-220</v>
      </c>
      <c r="E645">
        <v>-1.41</v>
      </c>
      <c r="F645">
        <v>632</v>
      </c>
      <c r="G645">
        <v>24.37</v>
      </c>
      <c r="H645">
        <v>2013</v>
      </c>
      <c r="I645">
        <v>7.65</v>
      </c>
      <c r="J645">
        <v>13672</v>
      </c>
      <c r="K645">
        <v>1.1299999999999999</v>
      </c>
      <c r="L645">
        <v>310</v>
      </c>
      <c r="M645">
        <v>2.0099999999999998</v>
      </c>
    </row>
    <row r="646" spans="1:13">
      <c r="A646" s="28">
        <v>90470</v>
      </c>
      <c r="B646" t="s">
        <v>792</v>
      </c>
      <c r="C646">
        <v>9930</v>
      </c>
      <c r="D646">
        <v>100</v>
      </c>
      <c r="E646">
        <v>1.02</v>
      </c>
      <c r="F646">
        <v>1904</v>
      </c>
      <c r="G646">
        <v>5.22</v>
      </c>
      <c r="H646" t="s">
        <v>397</v>
      </c>
      <c r="I646" t="s">
        <v>397</v>
      </c>
      <c r="J646">
        <v>10355</v>
      </c>
      <c r="K646">
        <v>0.96</v>
      </c>
      <c r="L646">
        <v>200</v>
      </c>
      <c r="M646">
        <v>2.0099999999999998</v>
      </c>
    </row>
    <row r="647" spans="1:13">
      <c r="A647" s="28">
        <v>90435</v>
      </c>
      <c r="B647" t="s">
        <v>793</v>
      </c>
      <c r="C647">
        <v>34000</v>
      </c>
      <c r="D647">
        <v>-1050</v>
      </c>
      <c r="E647">
        <v>-3</v>
      </c>
      <c r="F647" t="s">
        <v>397</v>
      </c>
      <c r="G647" t="s">
        <v>397</v>
      </c>
      <c r="H647" t="s">
        <v>397</v>
      </c>
      <c r="I647" t="s">
        <v>397</v>
      </c>
      <c r="J647" t="s">
        <v>397</v>
      </c>
      <c r="K647" t="s">
        <v>397</v>
      </c>
      <c r="L647">
        <v>685</v>
      </c>
      <c r="M647">
        <v>2.0099999999999998</v>
      </c>
    </row>
    <row r="648" spans="1:13">
      <c r="A648" s="28">
        <v>60480</v>
      </c>
      <c r="B648" t="s">
        <v>794</v>
      </c>
      <c r="C648">
        <v>2485</v>
      </c>
      <c r="D648">
        <v>95</v>
      </c>
      <c r="E648">
        <v>3.97</v>
      </c>
      <c r="F648">
        <v>91</v>
      </c>
      <c r="G648">
        <v>27.31</v>
      </c>
      <c r="H648" t="s">
        <v>397</v>
      </c>
      <c r="I648" t="s">
        <v>397</v>
      </c>
      <c r="J648">
        <v>4324</v>
      </c>
      <c r="K648">
        <v>0.56999999999999995</v>
      </c>
      <c r="L648">
        <v>50</v>
      </c>
      <c r="M648">
        <v>2.0099999999999998</v>
      </c>
    </row>
    <row r="649" spans="1:13">
      <c r="A649" s="28">
        <v>353810</v>
      </c>
      <c r="B649" t="s">
        <v>795</v>
      </c>
      <c r="C649">
        <v>3755</v>
      </c>
      <c r="D649">
        <v>55</v>
      </c>
      <c r="E649">
        <v>1.49</v>
      </c>
      <c r="F649">
        <v>267</v>
      </c>
      <c r="G649">
        <v>14.06</v>
      </c>
      <c r="H649" t="s">
        <v>397</v>
      </c>
      <c r="I649" t="s">
        <v>397</v>
      </c>
      <c r="J649">
        <v>1464</v>
      </c>
      <c r="K649">
        <v>2.56</v>
      </c>
      <c r="L649">
        <v>75</v>
      </c>
      <c r="M649">
        <v>2</v>
      </c>
    </row>
    <row r="650" spans="1:13">
      <c r="A650" s="28">
        <v>5930</v>
      </c>
      <c r="B650" t="s">
        <v>796</v>
      </c>
      <c r="C650">
        <v>72300</v>
      </c>
      <c r="D650">
        <v>-2000</v>
      </c>
      <c r="E650">
        <v>-2.69</v>
      </c>
      <c r="F650">
        <v>8057</v>
      </c>
      <c r="G650">
        <v>8.9700000000000006</v>
      </c>
      <c r="H650">
        <v>4697</v>
      </c>
      <c r="I650">
        <v>15.39</v>
      </c>
      <c r="J650">
        <v>57822</v>
      </c>
      <c r="K650">
        <v>1.25</v>
      </c>
      <c r="L650">
        <v>1444</v>
      </c>
      <c r="M650">
        <v>2</v>
      </c>
    </row>
    <row r="651" spans="1:13">
      <c r="A651" s="28">
        <v>4985</v>
      </c>
      <c r="B651" t="s">
        <v>797</v>
      </c>
      <c r="C651">
        <v>12500</v>
      </c>
      <c r="D651">
        <v>-10</v>
      </c>
      <c r="E651">
        <v>-0.08</v>
      </c>
      <c r="F651" t="s">
        <v>397</v>
      </c>
      <c r="G651" t="s">
        <v>397</v>
      </c>
      <c r="H651" t="s">
        <v>397</v>
      </c>
      <c r="I651" t="s">
        <v>397</v>
      </c>
      <c r="J651" t="s">
        <v>397</v>
      </c>
      <c r="K651" t="s">
        <v>397</v>
      </c>
      <c r="L651">
        <v>250</v>
      </c>
      <c r="M651">
        <v>2</v>
      </c>
    </row>
    <row r="652" spans="1:13">
      <c r="A652" s="28">
        <v>97520</v>
      </c>
      <c r="B652" t="s">
        <v>798</v>
      </c>
      <c r="C652">
        <v>25100</v>
      </c>
      <c r="D652">
        <v>150</v>
      </c>
      <c r="E652">
        <v>0.6</v>
      </c>
      <c r="F652">
        <v>1293</v>
      </c>
      <c r="G652">
        <v>19.41</v>
      </c>
      <c r="H652">
        <v>2165</v>
      </c>
      <c r="I652">
        <v>11.6</v>
      </c>
      <c r="J652">
        <v>17477</v>
      </c>
      <c r="K652">
        <v>1.44</v>
      </c>
      <c r="L652">
        <v>500</v>
      </c>
      <c r="M652">
        <v>1.99</v>
      </c>
    </row>
    <row r="653" spans="1:13">
      <c r="A653" s="28">
        <v>14280</v>
      </c>
      <c r="B653" t="s">
        <v>799</v>
      </c>
      <c r="C653">
        <v>6020</v>
      </c>
      <c r="D653">
        <v>20</v>
      </c>
      <c r="E653">
        <v>0.33</v>
      </c>
      <c r="F653">
        <v>1933</v>
      </c>
      <c r="G653">
        <v>3.11</v>
      </c>
      <c r="H653" t="s">
        <v>397</v>
      </c>
      <c r="I653" t="s">
        <v>397</v>
      </c>
      <c r="J653">
        <v>13661</v>
      </c>
      <c r="K653">
        <v>0.44</v>
      </c>
      <c r="L653">
        <v>120</v>
      </c>
      <c r="M653">
        <v>1.99</v>
      </c>
    </row>
    <row r="654" spans="1:13">
      <c r="A654" s="28">
        <v>101330</v>
      </c>
      <c r="B654" t="s">
        <v>800</v>
      </c>
      <c r="C654">
        <v>3510</v>
      </c>
      <c r="D654">
        <v>10</v>
      </c>
      <c r="E654">
        <v>0.28999999999999998</v>
      </c>
      <c r="F654">
        <v>809</v>
      </c>
      <c r="G654">
        <v>4.34</v>
      </c>
      <c r="H654" t="s">
        <v>397</v>
      </c>
      <c r="I654" t="s">
        <v>397</v>
      </c>
      <c r="J654">
        <v>12937</v>
      </c>
      <c r="K654">
        <v>0.27</v>
      </c>
      <c r="L654">
        <v>70</v>
      </c>
      <c r="M654">
        <v>1.99</v>
      </c>
    </row>
    <row r="655" spans="1:13">
      <c r="A655" s="28">
        <v>199820</v>
      </c>
      <c r="B655" t="s">
        <v>801</v>
      </c>
      <c r="C655">
        <v>10050</v>
      </c>
      <c r="D655">
        <v>60</v>
      </c>
      <c r="E655">
        <v>0.6</v>
      </c>
      <c r="F655">
        <v>665</v>
      </c>
      <c r="G655">
        <v>15.11</v>
      </c>
      <c r="H655" t="s">
        <v>397</v>
      </c>
      <c r="I655" t="s">
        <v>397</v>
      </c>
      <c r="J655">
        <v>10811</v>
      </c>
      <c r="K655">
        <v>0.93</v>
      </c>
      <c r="L655">
        <v>200</v>
      </c>
      <c r="M655">
        <v>1.99</v>
      </c>
    </row>
    <row r="656" spans="1:13">
      <c r="A656" s="28">
        <v>6620</v>
      </c>
      <c r="B656" t="s">
        <v>802</v>
      </c>
      <c r="C656">
        <v>5560</v>
      </c>
      <c r="D656">
        <v>-100</v>
      </c>
      <c r="E656">
        <v>-1.77</v>
      </c>
      <c r="F656">
        <v>238</v>
      </c>
      <c r="G656">
        <v>23.36</v>
      </c>
      <c r="H656" t="s">
        <v>397</v>
      </c>
      <c r="I656" t="s">
        <v>397</v>
      </c>
      <c r="J656">
        <v>3696</v>
      </c>
      <c r="K656">
        <v>1.5</v>
      </c>
      <c r="L656">
        <v>110</v>
      </c>
      <c r="M656">
        <v>1.98</v>
      </c>
    </row>
    <row r="657" spans="1:13">
      <c r="A657" s="28">
        <v>24070</v>
      </c>
      <c r="B657" t="s">
        <v>803</v>
      </c>
      <c r="C657">
        <v>2520</v>
      </c>
      <c r="D657">
        <v>-20</v>
      </c>
      <c r="E657">
        <v>-0.79</v>
      </c>
      <c r="F657" t="s">
        <v>397</v>
      </c>
      <c r="G657" t="s">
        <v>397</v>
      </c>
      <c r="H657" t="s">
        <v>397</v>
      </c>
      <c r="I657" t="s">
        <v>397</v>
      </c>
      <c r="J657">
        <v>7345</v>
      </c>
      <c r="K657">
        <v>0.34</v>
      </c>
      <c r="L657">
        <v>50</v>
      </c>
      <c r="M657">
        <v>1.98</v>
      </c>
    </row>
    <row r="658" spans="1:13">
      <c r="A658" s="28">
        <v>7070</v>
      </c>
      <c r="B658" t="s">
        <v>804</v>
      </c>
      <c r="C658">
        <v>21700</v>
      </c>
      <c r="D658">
        <v>0</v>
      </c>
      <c r="E658">
        <v>0</v>
      </c>
      <c r="F658">
        <v>395</v>
      </c>
      <c r="G658">
        <v>54.94</v>
      </c>
      <c r="H658">
        <v>2539</v>
      </c>
      <c r="I658">
        <v>8.5500000000000007</v>
      </c>
      <c r="J658">
        <v>39627</v>
      </c>
      <c r="K658">
        <v>0.55000000000000004</v>
      </c>
      <c r="L658">
        <v>430</v>
      </c>
      <c r="M658">
        <v>1.98</v>
      </c>
    </row>
    <row r="659" spans="1:13">
      <c r="A659" s="28">
        <v>39020</v>
      </c>
      <c r="B659" t="s">
        <v>805</v>
      </c>
      <c r="C659">
        <v>2520</v>
      </c>
      <c r="D659">
        <v>20</v>
      </c>
      <c r="E659">
        <v>0.8</v>
      </c>
      <c r="F659">
        <v>96</v>
      </c>
      <c r="G659">
        <v>26.25</v>
      </c>
      <c r="H659" t="s">
        <v>397</v>
      </c>
      <c r="I659" t="s">
        <v>397</v>
      </c>
      <c r="J659">
        <v>7375</v>
      </c>
      <c r="K659">
        <v>0.34</v>
      </c>
      <c r="L659">
        <v>50</v>
      </c>
      <c r="M659">
        <v>1.98</v>
      </c>
    </row>
    <row r="660" spans="1:13">
      <c r="A660" s="28">
        <v>4380</v>
      </c>
      <c r="B660" t="s">
        <v>806</v>
      </c>
      <c r="C660">
        <v>15190</v>
      </c>
      <c r="D660">
        <v>620</v>
      </c>
      <c r="E660">
        <v>4.26</v>
      </c>
      <c r="F660">
        <v>804</v>
      </c>
      <c r="G660">
        <v>18.89</v>
      </c>
      <c r="H660" t="s">
        <v>397</v>
      </c>
      <c r="I660" t="s">
        <v>397</v>
      </c>
      <c r="J660">
        <v>10179</v>
      </c>
      <c r="K660">
        <v>1.49</v>
      </c>
      <c r="L660">
        <v>300</v>
      </c>
      <c r="M660">
        <v>1.97</v>
      </c>
    </row>
    <row r="661" spans="1:13">
      <c r="A661" s="28">
        <v>31440</v>
      </c>
      <c r="B661" t="s">
        <v>807</v>
      </c>
      <c r="C661">
        <v>38050</v>
      </c>
      <c r="D661">
        <v>-300</v>
      </c>
      <c r="E661">
        <v>-0.78</v>
      </c>
      <c r="F661" t="s">
        <v>397</v>
      </c>
      <c r="G661" t="s">
        <v>397</v>
      </c>
      <c r="H661">
        <v>4132</v>
      </c>
      <c r="I661">
        <v>9.2100000000000009</v>
      </c>
      <c r="J661">
        <v>75425</v>
      </c>
      <c r="K661">
        <v>0.5</v>
      </c>
      <c r="L661">
        <v>750</v>
      </c>
      <c r="M661">
        <v>1.97</v>
      </c>
    </row>
    <row r="662" spans="1:13">
      <c r="A662" s="28">
        <v>376290</v>
      </c>
      <c r="B662" t="s">
        <v>808</v>
      </c>
      <c r="C662">
        <v>3255</v>
      </c>
      <c r="D662">
        <v>-45</v>
      </c>
      <c r="E662">
        <v>-1.36</v>
      </c>
      <c r="F662">
        <v>216</v>
      </c>
      <c r="G662">
        <v>15.07</v>
      </c>
      <c r="H662" t="s">
        <v>397</v>
      </c>
      <c r="I662" t="s">
        <v>397</v>
      </c>
      <c r="J662">
        <v>5729</v>
      </c>
      <c r="K662">
        <v>0.56999999999999995</v>
      </c>
      <c r="L662">
        <v>64</v>
      </c>
      <c r="M662">
        <v>1.97</v>
      </c>
    </row>
    <row r="663" spans="1:13">
      <c r="A663" s="28">
        <v>14970</v>
      </c>
      <c r="B663" t="s">
        <v>809</v>
      </c>
      <c r="C663">
        <v>3810</v>
      </c>
      <c r="D663">
        <v>-60</v>
      </c>
      <c r="E663">
        <v>-1.55</v>
      </c>
      <c r="F663" t="s">
        <v>397</v>
      </c>
      <c r="G663" t="s">
        <v>397</v>
      </c>
      <c r="H663" t="s">
        <v>397</v>
      </c>
      <c r="I663" t="s">
        <v>397</v>
      </c>
      <c r="J663">
        <v>3969</v>
      </c>
      <c r="K663">
        <v>0.96</v>
      </c>
      <c r="L663">
        <v>75</v>
      </c>
      <c r="M663">
        <v>1.97</v>
      </c>
    </row>
    <row r="664" spans="1:13">
      <c r="A664" s="28">
        <v>1740</v>
      </c>
      <c r="B664" t="s">
        <v>361</v>
      </c>
      <c r="C664">
        <v>6200</v>
      </c>
      <c r="D664">
        <v>-40</v>
      </c>
      <c r="E664">
        <v>-0.64</v>
      </c>
      <c r="F664">
        <v>395</v>
      </c>
      <c r="G664">
        <v>15.7</v>
      </c>
      <c r="H664">
        <v>470</v>
      </c>
      <c r="I664">
        <v>13.19</v>
      </c>
      <c r="J664">
        <v>10311</v>
      </c>
      <c r="K664">
        <v>0.6</v>
      </c>
      <c r="L664">
        <v>120</v>
      </c>
      <c r="M664">
        <v>1.94</v>
      </c>
    </row>
    <row r="665" spans="1:13">
      <c r="A665" s="28">
        <v>16590</v>
      </c>
      <c r="B665" t="s">
        <v>810</v>
      </c>
      <c r="C665">
        <v>6430</v>
      </c>
      <c r="D665">
        <v>50</v>
      </c>
      <c r="E665">
        <v>0.78</v>
      </c>
      <c r="F665">
        <v>1319</v>
      </c>
      <c r="G665">
        <v>4.87</v>
      </c>
      <c r="H665" t="s">
        <v>397</v>
      </c>
      <c r="I665" t="s">
        <v>397</v>
      </c>
      <c r="J665">
        <v>15417</v>
      </c>
      <c r="K665">
        <v>0.42</v>
      </c>
      <c r="L665">
        <v>125</v>
      </c>
      <c r="M665">
        <v>1.94</v>
      </c>
    </row>
    <row r="666" spans="1:13">
      <c r="A666" s="28">
        <v>78070</v>
      </c>
      <c r="B666" t="s">
        <v>811</v>
      </c>
      <c r="C666">
        <v>12910</v>
      </c>
      <c r="D666">
        <v>-10</v>
      </c>
      <c r="E666">
        <v>-0.08</v>
      </c>
      <c r="F666">
        <v>884</v>
      </c>
      <c r="G666">
        <v>14.6</v>
      </c>
      <c r="H666" t="s">
        <v>397</v>
      </c>
      <c r="I666" t="s">
        <v>397</v>
      </c>
      <c r="J666">
        <v>14020</v>
      </c>
      <c r="K666">
        <v>0.92</v>
      </c>
      <c r="L666">
        <v>250</v>
      </c>
      <c r="M666">
        <v>1.94</v>
      </c>
    </row>
    <row r="667" spans="1:13">
      <c r="A667" s="28">
        <v>280360</v>
      </c>
      <c r="B667" t="s">
        <v>812</v>
      </c>
      <c r="C667">
        <v>118700</v>
      </c>
      <c r="D667">
        <v>-2500</v>
      </c>
      <c r="E667">
        <v>-2.06</v>
      </c>
      <c r="F667">
        <v>6160</v>
      </c>
      <c r="G667">
        <v>19.27</v>
      </c>
      <c r="H667">
        <v>13415</v>
      </c>
      <c r="I667">
        <v>8.85</v>
      </c>
      <c r="J667">
        <v>228909</v>
      </c>
      <c r="K667">
        <v>0.52</v>
      </c>
      <c r="L667">
        <v>2300</v>
      </c>
      <c r="M667">
        <v>1.94</v>
      </c>
    </row>
    <row r="668" spans="1:13">
      <c r="A668" s="28">
        <v>20</v>
      </c>
      <c r="B668" t="s">
        <v>813</v>
      </c>
      <c r="C668">
        <v>9350</v>
      </c>
      <c r="D668">
        <v>-80</v>
      </c>
      <c r="E668">
        <v>-0.85</v>
      </c>
      <c r="F668">
        <v>736</v>
      </c>
      <c r="G668">
        <v>12.7</v>
      </c>
      <c r="H668" t="s">
        <v>397</v>
      </c>
      <c r="I668" t="s">
        <v>397</v>
      </c>
      <c r="J668">
        <v>13165</v>
      </c>
      <c r="K668">
        <v>0.71</v>
      </c>
      <c r="L668">
        <v>180</v>
      </c>
      <c r="M668">
        <v>1.93</v>
      </c>
    </row>
    <row r="669" spans="1:13">
      <c r="A669" s="28">
        <v>36710</v>
      </c>
      <c r="B669" t="s">
        <v>814</v>
      </c>
      <c r="C669">
        <v>2590</v>
      </c>
      <c r="D669">
        <v>-65</v>
      </c>
      <c r="E669">
        <v>-2.4500000000000002</v>
      </c>
      <c r="F669">
        <v>711</v>
      </c>
      <c r="G669">
        <v>3.64</v>
      </c>
      <c r="H669" t="s">
        <v>397</v>
      </c>
      <c r="I669" t="s">
        <v>397</v>
      </c>
      <c r="J669">
        <v>4971</v>
      </c>
      <c r="K669">
        <v>0.52</v>
      </c>
      <c r="L669">
        <v>50</v>
      </c>
      <c r="M669">
        <v>1.93</v>
      </c>
    </row>
    <row r="670" spans="1:13">
      <c r="A670" s="28">
        <v>3100</v>
      </c>
      <c r="B670" t="s">
        <v>815</v>
      </c>
      <c r="C670">
        <v>18120</v>
      </c>
      <c r="D670">
        <v>-40</v>
      </c>
      <c r="E670">
        <v>-0.22</v>
      </c>
      <c r="F670">
        <v>2510</v>
      </c>
      <c r="G670">
        <v>7.22</v>
      </c>
      <c r="H670" t="s">
        <v>397</v>
      </c>
      <c r="I670" t="s">
        <v>397</v>
      </c>
      <c r="J670">
        <v>58858</v>
      </c>
      <c r="K670">
        <v>0.31</v>
      </c>
      <c r="L670">
        <v>350</v>
      </c>
      <c r="M670">
        <v>1.93</v>
      </c>
    </row>
    <row r="671" spans="1:13">
      <c r="A671" s="28">
        <v>5670</v>
      </c>
      <c r="B671" t="s">
        <v>816</v>
      </c>
      <c r="C671">
        <v>4680</v>
      </c>
      <c r="D671">
        <v>0</v>
      </c>
      <c r="E671">
        <v>0</v>
      </c>
      <c r="F671">
        <v>452</v>
      </c>
      <c r="G671">
        <v>10.35</v>
      </c>
      <c r="H671" t="s">
        <v>397</v>
      </c>
      <c r="I671" t="s">
        <v>397</v>
      </c>
      <c r="J671">
        <v>9493</v>
      </c>
      <c r="K671">
        <v>0.49</v>
      </c>
      <c r="L671">
        <v>90</v>
      </c>
      <c r="M671">
        <v>1.92</v>
      </c>
    </row>
    <row r="672" spans="1:13">
      <c r="A672" s="28">
        <v>195870</v>
      </c>
      <c r="B672" t="s">
        <v>817</v>
      </c>
      <c r="C672">
        <v>47150</v>
      </c>
      <c r="D672">
        <v>-550</v>
      </c>
      <c r="E672">
        <v>-1.1499999999999999</v>
      </c>
      <c r="F672">
        <v>9376</v>
      </c>
      <c r="G672">
        <v>5.03</v>
      </c>
      <c r="H672">
        <v>5928</v>
      </c>
      <c r="I672">
        <v>7.95</v>
      </c>
      <c r="J672">
        <v>26311</v>
      </c>
      <c r="K672">
        <v>1.79</v>
      </c>
      <c r="L672">
        <v>900</v>
      </c>
      <c r="M672">
        <v>1.91</v>
      </c>
    </row>
    <row r="673" spans="1:13">
      <c r="A673" s="28">
        <v>97950</v>
      </c>
      <c r="B673" t="s">
        <v>818</v>
      </c>
      <c r="C673">
        <v>287500</v>
      </c>
      <c r="D673">
        <v>500</v>
      </c>
      <c r="E673">
        <v>0.17</v>
      </c>
      <c r="F673">
        <v>37188</v>
      </c>
      <c r="G673">
        <v>7.73</v>
      </c>
      <c r="H673">
        <v>35445</v>
      </c>
      <c r="I673">
        <v>8.11</v>
      </c>
      <c r="J673">
        <v>459670</v>
      </c>
      <c r="K673">
        <v>0.63</v>
      </c>
      <c r="L673">
        <v>5500</v>
      </c>
      <c r="M673">
        <v>1.91</v>
      </c>
    </row>
    <row r="674" spans="1:13">
      <c r="A674" s="28">
        <v>417970</v>
      </c>
      <c r="B674" t="s">
        <v>819</v>
      </c>
      <c r="C674">
        <v>15800</v>
      </c>
      <c r="D674">
        <v>1300</v>
      </c>
      <c r="E674">
        <v>8.9700000000000006</v>
      </c>
      <c r="F674">
        <v>1370</v>
      </c>
      <c r="G674">
        <v>11.53</v>
      </c>
      <c r="H674" t="s">
        <v>397</v>
      </c>
      <c r="I674" t="s">
        <v>397</v>
      </c>
      <c r="J674">
        <v>9776</v>
      </c>
      <c r="K674">
        <v>1.62</v>
      </c>
      <c r="L674">
        <v>300</v>
      </c>
      <c r="M674">
        <v>1.9</v>
      </c>
    </row>
    <row r="675" spans="1:13">
      <c r="A675" s="28">
        <v>65680</v>
      </c>
      <c r="B675" t="s">
        <v>820</v>
      </c>
      <c r="C675">
        <v>15810</v>
      </c>
      <c r="D675">
        <v>-320</v>
      </c>
      <c r="E675">
        <v>-1.98</v>
      </c>
      <c r="F675">
        <v>1467</v>
      </c>
      <c r="G675">
        <v>10.78</v>
      </c>
      <c r="H675" t="s">
        <v>397</v>
      </c>
      <c r="I675" t="s">
        <v>397</v>
      </c>
      <c r="J675">
        <v>27094</v>
      </c>
      <c r="K675">
        <v>0.57999999999999996</v>
      </c>
      <c r="L675">
        <v>300</v>
      </c>
      <c r="M675">
        <v>1.9</v>
      </c>
    </row>
    <row r="676" spans="1:13">
      <c r="A676" s="28">
        <v>44780</v>
      </c>
      <c r="B676" t="s">
        <v>821</v>
      </c>
      <c r="C676">
        <v>1584</v>
      </c>
      <c r="D676">
        <v>11</v>
      </c>
      <c r="E676">
        <v>0.7</v>
      </c>
      <c r="F676">
        <v>233</v>
      </c>
      <c r="G676">
        <v>6.8</v>
      </c>
      <c r="H676" t="s">
        <v>397</v>
      </c>
      <c r="I676" t="s">
        <v>397</v>
      </c>
      <c r="J676">
        <v>3220</v>
      </c>
      <c r="K676">
        <v>0.49</v>
      </c>
      <c r="L676">
        <v>30</v>
      </c>
      <c r="M676">
        <v>1.89</v>
      </c>
    </row>
    <row r="677" spans="1:13">
      <c r="A677" s="28">
        <v>210540</v>
      </c>
      <c r="B677" t="s">
        <v>822</v>
      </c>
      <c r="C677">
        <v>13260</v>
      </c>
      <c r="D677">
        <v>-60</v>
      </c>
      <c r="E677">
        <v>-0.45</v>
      </c>
      <c r="F677">
        <v>1618</v>
      </c>
      <c r="G677">
        <v>8.1999999999999993</v>
      </c>
      <c r="H677" t="s">
        <v>397</v>
      </c>
      <c r="I677" t="s">
        <v>397</v>
      </c>
      <c r="J677">
        <v>21781</v>
      </c>
      <c r="K677">
        <v>0.61</v>
      </c>
      <c r="L677">
        <v>250</v>
      </c>
      <c r="M677">
        <v>1.89</v>
      </c>
    </row>
    <row r="678" spans="1:13">
      <c r="A678" s="28">
        <v>90355</v>
      </c>
      <c r="B678" t="s">
        <v>823</v>
      </c>
      <c r="C678">
        <v>14870</v>
      </c>
      <c r="D678">
        <v>200</v>
      </c>
      <c r="E678">
        <v>1.36</v>
      </c>
      <c r="F678" t="s">
        <v>397</v>
      </c>
      <c r="G678" t="s">
        <v>397</v>
      </c>
      <c r="H678" t="s">
        <v>397</v>
      </c>
      <c r="I678" t="s">
        <v>397</v>
      </c>
      <c r="J678" t="s">
        <v>397</v>
      </c>
      <c r="K678" t="s">
        <v>397</v>
      </c>
      <c r="L678">
        <v>280</v>
      </c>
      <c r="M678">
        <v>1.88</v>
      </c>
    </row>
    <row r="679" spans="1:13">
      <c r="A679" s="28">
        <v>68790</v>
      </c>
      <c r="B679" t="s">
        <v>824</v>
      </c>
      <c r="C679">
        <v>6690</v>
      </c>
      <c r="D679">
        <v>10</v>
      </c>
      <c r="E679">
        <v>0.15</v>
      </c>
      <c r="F679">
        <v>1053</v>
      </c>
      <c r="G679">
        <v>6.35</v>
      </c>
      <c r="H679">
        <v>1063</v>
      </c>
      <c r="I679">
        <v>6.29</v>
      </c>
      <c r="J679">
        <v>12373</v>
      </c>
      <c r="K679">
        <v>0.54</v>
      </c>
      <c r="L679">
        <v>125</v>
      </c>
      <c r="M679">
        <v>1.87</v>
      </c>
    </row>
    <row r="680" spans="1:13">
      <c r="A680" s="28">
        <v>23810</v>
      </c>
      <c r="B680" t="s">
        <v>825</v>
      </c>
      <c r="C680">
        <v>9650</v>
      </c>
      <c r="D680">
        <v>-20</v>
      </c>
      <c r="E680">
        <v>-0.21</v>
      </c>
      <c r="F680">
        <v>1320</v>
      </c>
      <c r="G680">
        <v>7.31</v>
      </c>
      <c r="H680" t="s">
        <v>397</v>
      </c>
      <c r="I680" t="s">
        <v>397</v>
      </c>
      <c r="J680">
        <v>11399</v>
      </c>
      <c r="K680">
        <v>0.85</v>
      </c>
      <c r="L680">
        <v>180</v>
      </c>
      <c r="M680">
        <v>1.87</v>
      </c>
    </row>
    <row r="681" spans="1:13">
      <c r="A681" s="28">
        <v>1130</v>
      </c>
      <c r="B681" t="s">
        <v>826</v>
      </c>
      <c r="C681">
        <v>133500</v>
      </c>
      <c r="D681">
        <v>-3400</v>
      </c>
      <c r="E681">
        <v>-2.48</v>
      </c>
      <c r="F681">
        <v>24697</v>
      </c>
      <c r="G681">
        <v>5.41</v>
      </c>
      <c r="H681" t="s">
        <v>397</v>
      </c>
      <c r="I681" t="s">
        <v>397</v>
      </c>
      <c r="J681">
        <v>558185</v>
      </c>
      <c r="K681">
        <v>0.24</v>
      </c>
      <c r="L681">
        <v>2500</v>
      </c>
      <c r="M681">
        <v>1.87</v>
      </c>
    </row>
    <row r="682" spans="1:13">
      <c r="A682" s="28">
        <v>65370</v>
      </c>
      <c r="B682" t="s">
        <v>827</v>
      </c>
      <c r="C682">
        <v>8080</v>
      </c>
      <c r="D682">
        <v>-170</v>
      </c>
      <c r="E682">
        <v>-2.06</v>
      </c>
      <c r="F682">
        <v>629</v>
      </c>
      <c r="G682">
        <v>12.85</v>
      </c>
      <c r="H682" t="s">
        <v>397</v>
      </c>
      <c r="I682" t="s">
        <v>397</v>
      </c>
      <c r="J682">
        <v>4549</v>
      </c>
      <c r="K682">
        <v>1.78</v>
      </c>
      <c r="L682">
        <v>150</v>
      </c>
      <c r="M682">
        <v>1.86</v>
      </c>
    </row>
    <row r="683" spans="1:13">
      <c r="A683" s="28">
        <v>5820</v>
      </c>
      <c r="B683" t="s">
        <v>370</v>
      </c>
      <c r="C683">
        <v>18840</v>
      </c>
      <c r="D683">
        <v>-190</v>
      </c>
      <c r="E683">
        <v>-1</v>
      </c>
      <c r="F683">
        <v>3500</v>
      </c>
      <c r="G683">
        <v>5.38</v>
      </c>
      <c r="H683" t="s">
        <v>397</v>
      </c>
      <c r="I683" t="s">
        <v>397</v>
      </c>
      <c r="J683">
        <v>55263</v>
      </c>
      <c r="K683">
        <v>0.34</v>
      </c>
      <c r="L683">
        <v>350</v>
      </c>
      <c r="M683">
        <v>1.86</v>
      </c>
    </row>
    <row r="684" spans="1:13">
      <c r="A684" s="28">
        <v>119610</v>
      </c>
      <c r="B684" t="s">
        <v>828</v>
      </c>
      <c r="C684">
        <v>32200</v>
      </c>
      <c r="D684">
        <v>-1150</v>
      </c>
      <c r="E684">
        <v>-3.45</v>
      </c>
      <c r="F684">
        <v>1910</v>
      </c>
      <c r="G684">
        <v>16.86</v>
      </c>
      <c r="H684">
        <v>2658</v>
      </c>
      <c r="I684">
        <v>12.12</v>
      </c>
      <c r="J684">
        <v>15175</v>
      </c>
      <c r="K684">
        <v>2.12</v>
      </c>
      <c r="L684">
        <v>600</v>
      </c>
      <c r="M684">
        <v>1.86</v>
      </c>
    </row>
    <row r="685" spans="1:13">
      <c r="A685" s="28">
        <v>64480</v>
      </c>
      <c r="B685" t="s">
        <v>829</v>
      </c>
      <c r="C685">
        <v>8070</v>
      </c>
      <c r="D685">
        <v>-30</v>
      </c>
      <c r="E685">
        <v>-0.37</v>
      </c>
      <c r="F685">
        <v>293</v>
      </c>
      <c r="G685">
        <v>27.54</v>
      </c>
      <c r="H685" t="s">
        <v>397</v>
      </c>
      <c r="I685" t="s">
        <v>397</v>
      </c>
      <c r="J685">
        <v>4465</v>
      </c>
      <c r="K685">
        <v>1.81</v>
      </c>
      <c r="L685">
        <v>150</v>
      </c>
      <c r="M685">
        <v>1.86</v>
      </c>
    </row>
    <row r="686" spans="1:13">
      <c r="A686" s="28">
        <v>13870</v>
      </c>
      <c r="B686" t="s">
        <v>830</v>
      </c>
      <c r="C686">
        <v>4330</v>
      </c>
      <c r="D686">
        <v>30</v>
      </c>
      <c r="E686">
        <v>0.7</v>
      </c>
      <c r="F686">
        <v>621</v>
      </c>
      <c r="G686">
        <v>6.97</v>
      </c>
      <c r="H686" t="s">
        <v>397</v>
      </c>
      <c r="I686" t="s">
        <v>397</v>
      </c>
      <c r="J686">
        <v>13567</v>
      </c>
      <c r="K686">
        <v>0.32</v>
      </c>
      <c r="L686">
        <v>80</v>
      </c>
      <c r="M686">
        <v>1.85</v>
      </c>
    </row>
    <row r="687" spans="1:13">
      <c r="A687" s="28">
        <v>5990</v>
      </c>
      <c r="B687" t="s">
        <v>831</v>
      </c>
      <c r="C687">
        <v>8090</v>
      </c>
      <c r="D687">
        <v>-20</v>
      </c>
      <c r="E687">
        <v>-0.25</v>
      </c>
      <c r="F687">
        <v>520</v>
      </c>
      <c r="G687">
        <v>15.56</v>
      </c>
      <c r="H687" t="s">
        <v>397</v>
      </c>
      <c r="I687" t="s">
        <v>397</v>
      </c>
      <c r="J687">
        <v>26999</v>
      </c>
      <c r="K687">
        <v>0.3</v>
      </c>
      <c r="L687">
        <v>150</v>
      </c>
      <c r="M687">
        <v>1.85</v>
      </c>
    </row>
    <row r="688" spans="1:13">
      <c r="A688" s="28">
        <v>67730</v>
      </c>
      <c r="B688" t="s">
        <v>832</v>
      </c>
      <c r="C688">
        <v>3245</v>
      </c>
      <c r="D688">
        <v>-35</v>
      </c>
      <c r="E688">
        <v>-1.07</v>
      </c>
      <c r="F688">
        <v>21</v>
      </c>
      <c r="G688">
        <v>154.52000000000001</v>
      </c>
      <c r="H688" t="s">
        <v>397</v>
      </c>
      <c r="I688" t="s">
        <v>397</v>
      </c>
      <c r="J688">
        <v>1764</v>
      </c>
      <c r="K688">
        <v>1.84</v>
      </c>
      <c r="L688">
        <v>60</v>
      </c>
      <c r="M688">
        <v>1.85</v>
      </c>
    </row>
    <row r="689" spans="1:13">
      <c r="A689" s="28">
        <v>192650</v>
      </c>
      <c r="B689" t="s">
        <v>833</v>
      </c>
      <c r="C689">
        <v>10860</v>
      </c>
      <c r="D689">
        <v>100</v>
      </c>
      <c r="E689">
        <v>0.93</v>
      </c>
      <c r="F689">
        <v>965</v>
      </c>
      <c r="G689">
        <v>11.25</v>
      </c>
      <c r="H689">
        <v>1267</v>
      </c>
      <c r="I689">
        <v>8.57</v>
      </c>
      <c r="J689">
        <v>6133</v>
      </c>
      <c r="K689">
        <v>1.77</v>
      </c>
      <c r="L689">
        <v>200</v>
      </c>
      <c r="M689">
        <v>1.84</v>
      </c>
    </row>
    <row r="690" spans="1:13">
      <c r="A690" s="28">
        <v>115500</v>
      </c>
      <c r="B690" t="s">
        <v>834</v>
      </c>
      <c r="C690">
        <v>7600</v>
      </c>
      <c r="D690">
        <v>-160</v>
      </c>
      <c r="E690">
        <v>-2.06</v>
      </c>
      <c r="F690">
        <v>69</v>
      </c>
      <c r="G690">
        <v>110.14</v>
      </c>
      <c r="H690" t="s">
        <v>397</v>
      </c>
      <c r="I690" t="s">
        <v>397</v>
      </c>
      <c r="J690">
        <v>1523</v>
      </c>
      <c r="K690">
        <v>4.99</v>
      </c>
      <c r="L690">
        <v>140</v>
      </c>
      <c r="M690">
        <v>1.84</v>
      </c>
    </row>
    <row r="691" spans="1:13">
      <c r="A691" s="28">
        <v>286940</v>
      </c>
      <c r="B691" t="s">
        <v>835</v>
      </c>
      <c r="C691">
        <v>38100</v>
      </c>
      <c r="D691">
        <v>1200</v>
      </c>
      <c r="E691">
        <v>3.25</v>
      </c>
      <c r="F691">
        <v>2015</v>
      </c>
      <c r="G691">
        <v>18.91</v>
      </c>
      <c r="H691">
        <v>3585</v>
      </c>
      <c r="I691">
        <v>10.63</v>
      </c>
      <c r="J691">
        <v>28084</v>
      </c>
      <c r="K691">
        <v>1.36</v>
      </c>
      <c r="L691">
        <v>700</v>
      </c>
      <c r="M691">
        <v>1.84</v>
      </c>
    </row>
    <row r="692" spans="1:13">
      <c r="A692" s="28">
        <v>141000</v>
      </c>
      <c r="B692" t="s">
        <v>836</v>
      </c>
      <c r="C692">
        <v>8180</v>
      </c>
      <c r="D692">
        <v>-70</v>
      </c>
      <c r="E692">
        <v>-0.85</v>
      </c>
      <c r="F692">
        <v>1382</v>
      </c>
      <c r="G692">
        <v>5.92</v>
      </c>
      <c r="H692" t="s">
        <v>397</v>
      </c>
      <c r="I692" t="s">
        <v>397</v>
      </c>
      <c r="J692">
        <v>14931</v>
      </c>
      <c r="K692">
        <v>0.55000000000000004</v>
      </c>
      <c r="L692">
        <v>150</v>
      </c>
      <c r="M692">
        <v>1.83</v>
      </c>
    </row>
    <row r="693" spans="1:13">
      <c r="A693" s="28">
        <v>179290</v>
      </c>
      <c r="B693" t="s">
        <v>837</v>
      </c>
      <c r="C693">
        <v>6570</v>
      </c>
      <c r="D693">
        <v>140</v>
      </c>
      <c r="E693">
        <v>2.1800000000000002</v>
      </c>
      <c r="F693">
        <v>598</v>
      </c>
      <c r="G693">
        <v>10.99</v>
      </c>
      <c r="H693" t="s">
        <v>397</v>
      </c>
      <c r="I693" t="s">
        <v>397</v>
      </c>
      <c r="J693">
        <v>2604</v>
      </c>
      <c r="K693">
        <v>2.52</v>
      </c>
      <c r="L693">
        <v>120</v>
      </c>
      <c r="M693">
        <v>1.83</v>
      </c>
    </row>
    <row r="694" spans="1:13">
      <c r="A694" s="28">
        <v>452400</v>
      </c>
      <c r="B694" t="s">
        <v>838</v>
      </c>
      <c r="C694">
        <v>22800</v>
      </c>
      <c r="D694">
        <v>-50</v>
      </c>
      <c r="E694">
        <v>-0.22</v>
      </c>
      <c r="F694">
        <v>2400</v>
      </c>
      <c r="G694">
        <v>9.5</v>
      </c>
      <c r="H694" t="s">
        <v>397</v>
      </c>
      <c r="I694" t="s">
        <v>397</v>
      </c>
      <c r="J694">
        <v>12134</v>
      </c>
      <c r="K694">
        <v>1.88</v>
      </c>
      <c r="L694">
        <v>417</v>
      </c>
      <c r="M694">
        <v>1.83</v>
      </c>
    </row>
    <row r="695" spans="1:13">
      <c r="A695" s="28">
        <v>5850</v>
      </c>
      <c r="B695" t="s">
        <v>839</v>
      </c>
      <c r="C695">
        <v>32700</v>
      </c>
      <c r="D695">
        <v>0</v>
      </c>
      <c r="E695">
        <v>0</v>
      </c>
      <c r="F695">
        <v>3360</v>
      </c>
      <c r="G695">
        <v>9.73</v>
      </c>
      <c r="H695">
        <v>7755</v>
      </c>
      <c r="I695">
        <v>4.22</v>
      </c>
      <c r="J695">
        <v>35492</v>
      </c>
      <c r="K695">
        <v>0.92</v>
      </c>
      <c r="L695">
        <v>600</v>
      </c>
      <c r="M695">
        <v>1.83</v>
      </c>
    </row>
    <row r="696" spans="1:13">
      <c r="A696" s="28">
        <v>192440</v>
      </c>
      <c r="B696" t="s">
        <v>840</v>
      </c>
      <c r="C696">
        <v>30600</v>
      </c>
      <c r="D696">
        <v>-250</v>
      </c>
      <c r="E696">
        <v>-0.81</v>
      </c>
      <c r="F696">
        <v>5476</v>
      </c>
      <c r="G696">
        <v>5.59</v>
      </c>
      <c r="H696" t="s">
        <v>397</v>
      </c>
      <c r="I696" t="s">
        <v>397</v>
      </c>
      <c r="J696">
        <v>70159</v>
      </c>
      <c r="K696">
        <v>0.44</v>
      </c>
      <c r="L696">
        <v>560</v>
      </c>
      <c r="M696">
        <v>1.83</v>
      </c>
    </row>
    <row r="697" spans="1:13">
      <c r="A697" s="28">
        <v>440</v>
      </c>
      <c r="B697" t="s">
        <v>841</v>
      </c>
      <c r="C697">
        <v>17560</v>
      </c>
      <c r="D697">
        <v>40</v>
      </c>
      <c r="E697">
        <v>0.23</v>
      </c>
      <c r="F697">
        <v>113</v>
      </c>
      <c r="G697">
        <v>155.4</v>
      </c>
      <c r="H697" t="s">
        <v>397</v>
      </c>
      <c r="I697" t="s">
        <v>397</v>
      </c>
      <c r="J697">
        <v>13266</v>
      </c>
      <c r="K697">
        <v>1.32</v>
      </c>
      <c r="L697">
        <v>320</v>
      </c>
      <c r="M697">
        <v>1.82</v>
      </c>
    </row>
    <row r="698" spans="1:13">
      <c r="A698" s="28">
        <v>430</v>
      </c>
      <c r="B698" t="s">
        <v>842</v>
      </c>
      <c r="C698">
        <v>5500</v>
      </c>
      <c r="D698">
        <v>40</v>
      </c>
      <c r="E698">
        <v>0.73</v>
      </c>
      <c r="F698">
        <v>304</v>
      </c>
      <c r="G698">
        <v>18.09</v>
      </c>
      <c r="H698">
        <v>825</v>
      </c>
      <c r="I698">
        <v>6.67</v>
      </c>
      <c r="J698">
        <v>7802</v>
      </c>
      <c r="K698">
        <v>0.7</v>
      </c>
      <c r="L698">
        <v>100</v>
      </c>
      <c r="M698">
        <v>1.82</v>
      </c>
    </row>
    <row r="699" spans="1:13">
      <c r="A699" s="28">
        <v>80010</v>
      </c>
      <c r="B699" t="s">
        <v>843</v>
      </c>
      <c r="C699">
        <v>5480</v>
      </c>
      <c r="D699">
        <v>0</v>
      </c>
      <c r="E699">
        <v>0</v>
      </c>
      <c r="F699">
        <v>1002</v>
      </c>
      <c r="G699">
        <v>5.47</v>
      </c>
      <c r="H699" t="s">
        <v>397</v>
      </c>
      <c r="I699" t="s">
        <v>397</v>
      </c>
      <c r="J699">
        <v>11386</v>
      </c>
      <c r="K699">
        <v>0.48</v>
      </c>
      <c r="L699">
        <v>100</v>
      </c>
      <c r="M699">
        <v>1.82</v>
      </c>
    </row>
    <row r="700" spans="1:13">
      <c r="A700" s="28">
        <v>63760</v>
      </c>
      <c r="B700" t="s">
        <v>844</v>
      </c>
      <c r="C700">
        <v>3300</v>
      </c>
      <c r="D700">
        <v>-5</v>
      </c>
      <c r="E700">
        <v>-0.15</v>
      </c>
      <c r="F700" t="s">
        <v>397</v>
      </c>
      <c r="G700" t="s">
        <v>397</v>
      </c>
      <c r="H700" t="s">
        <v>397</v>
      </c>
      <c r="I700" t="s">
        <v>397</v>
      </c>
      <c r="J700">
        <v>7281</v>
      </c>
      <c r="K700">
        <v>0.45</v>
      </c>
      <c r="L700">
        <v>60</v>
      </c>
      <c r="M700">
        <v>1.82</v>
      </c>
    </row>
    <row r="701" spans="1:13">
      <c r="A701" s="28">
        <v>63570</v>
      </c>
      <c r="B701" t="s">
        <v>845</v>
      </c>
      <c r="C701">
        <v>6070</v>
      </c>
      <c r="D701">
        <v>-180</v>
      </c>
      <c r="E701">
        <v>-2.88</v>
      </c>
      <c r="F701">
        <v>282</v>
      </c>
      <c r="G701">
        <v>21.52</v>
      </c>
      <c r="H701">
        <v>507</v>
      </c>
      <c r="I701">
        <v>11.96</v>
      </c>
      <c r="J701">
        <v>5747</v>
      </c>
      <c r="K701">
        <v>1.06</v>
      </c>
      <c r="L701">
        <v>110</v>
      </c>
      <c r="M701">
        <v>1.81</v>
      </c>
    </row>
    <row r="702" spans="1:13">
      <c r="A702" s="28">
        <v>79370</v>
      </c>
      <c r="B702" t="s">
        <v>846</v>
      </c>
      <c r="C702">
        <v>19350</v>
      </c>
      <c r="D702">
        <v>-10</v>
      </c>
      <c r="E702">
        <v>-0.05</v>
      </c>
      <c r="F702">
        <v>1155</v>
      </c>
      <c r="G702">
        <v>16.75</v>
      </c>
      <c r="H702">
        <v>1572</v>
      </c>
      <c r="I702">
        <v>12.31</v>
      </c>
      <c r="J702">
        <v>9089</v>
      </c>
      <c r="K702">
        <v>2.13</v>
      </c>
      <c r="L702">
        <v>350</v>
      </c>
      <c r="M702">
        <v>1.81</v>
      </c>
    </row>
    <row r="703" spans="1:13">
      <c r="A703" s="28">
        <v>189980</v>
      </c>
      <c r="B703" t="s">
        <v>847</v>
      </c>
      <c r="C703">
        <v>2210</v>
      </c>
      <c r="D703">
        <v>-25</v>
      </c>
      <c r="E703">
        <v>-1.1200000000000001</v>
      </c>
      <c r="F703">
        <v>309</v>
      </c>
      <c r="G703">
        <v>7.15</v>
      </c>
      <c r="H703" t="s">
        <v>397</v>
      </c>
      <c r="I703" t="s">
        <v>397</v>
      </c>
      <c r="J703">
        <v>2295</v>
      </c>
      <c r="K703">
        <v>0.96</v>
      </c>
      <c r="L703">
        <v>40</v>
      </c>
      <c r="M703">
        <v>1.81</v>
      </c>
    </row>
    <row r="704" spans="1:13">
      <c r="A704" s="28">
        <v>49800</v>
      </c>
      <c r="B704" t="s">
        <v>848</v>
      </c>
      <c r="C704">
        <v>2785</v>
      </c>
      <c r="D704">
        <v>-15</v>
      </c>
      <c r="E704">
        <v>-0.54</v>
      </c>
      <c r="F704">
        <v>1092</v>
      </c>
      <c r="G704">
        <v>2.5499999999999998</v>
      </c>
      <c r="H704" t="s">
        <v>397</v>
      </c>
      <c r="I704" t="s">
        <v>397</v>
      </c>
      <c r="J704">
        <v>5139</v>
      </c>
      <c r="K704">
        <v>0.54</v>
      </c>
      <c r="L704">
        <v>50</v>
      </c>
      <c r="M704">
        <v>1.8</v>
      </c>
    </row>
    <row r="705" spans="1:13">
      <c r="A705" s="28">
        <v>20180</v>
      </c>
      <c r="B705" t="s">
        <v>849</v>
      </c>
      <c r="C705">
        <v>1112</v>
      </c>
      <c r="D705">
        <v>15</v>
      </c>
      <c r="E705">
        <v>1.37</v>
      </c>
      <c r="F705" t="s">
        <v>397</v>
      </c>
      <c r="G705" t="s">
        <v>397</v>
      </c>
      <c r="H705" t="s">
        <v>397</v>
      </c>
      <c r="I705" t="s">
        <v>397</v>
      </c>
      <c r="J705">
        <v>744</v>
      </c>
      <c r="K705">
        <v>1.49</v>
      </c>
      <c r="L705">
        <v>20</v>
      </c>
      <c r="M705">
        <v>1.8</v>
      </c>
    </row>
    <row r="706" spans="1:13">
      <c r="A706" s="28">
        <v>9440</v>
      </c>
      <c r="B706" t="s">
        <v>850</v>
      </c>
      <c r="C706">
        <v>2785</v>
      </c>
      <c r="D706">
        <v>-30</v>
      </c>
      <c r="E706">
        <v>-1.07</v>
      </c>
      <c r="F706" t="s">
        <v>397</v>
      </c>
      <c r="G706" t="s">
        <v>397</v>
      </c>
      <c r="H706" t="s">
        <v>397</v>
      </c>
      <c r="I706" t="s">
        <v>397</v>
      </c>
      <c r="J706">
        <v>7463</v>
      </c>
      <c r="K706">
        <v>0.37</v>
      </c>
      <c r="L706">
        <v>50</v>
      </c>
      <c r="M706">
        <v>1.8</v>
      </c>
    </row>
    <row r="707" spans="1:13">
      <c r="A707" s="28">
        <v>5250</v>
      </c>
      <c r="B707" t="s">
        <v>851</v>
      </c>
      <c r="C707">
        <v>16680</v>
      </c>
      <c r="D707">
        <v>20</v>
      </c>
      <c r="E707">
        <v>0.12</v>
      </c>
      <c r="F707">
        <v>727</v>
      </c>
      <c r="G707">
        <v>22.94</v>
      </c>
      <c r="H707" t="s">
        <v>397</v>
      </c>
      <c r="I707" t="s">
        <v>397</v>
      </c>
      <c r="J707">
        <v>23095</v>
      </c>
      <c r="K707">
        <v>0.72</v>
      </c>
      <c r="L707">
        <v>300</v>
      </c>
      <c r="M707">
        <v>1.8</v>
      </c>
    </row>
    <row r="708" spans="1:13">
      <c r="A708" s="28">
        <v>12690</v>
      </c>
      <c r="B708" t="s">
        <v>852</v>
      </c>
      <c r="C708">
        <v>2800</v>
      </c>
      <c r="D708">
        <v>-20</v>
      </c>
      <c r="E708">
        <v>-0.71</v>
      </c>
      <c r="F708">
        <v>64</v>
      </c>
      <c r="G708">
        <v>43.75</v>
      </c>
      <c r="H708" t="s">
        <v>397</v>
      </c>
      <c r="I708" t="s">
        <v>397</v>
      </c>
      <c r="J708">
        <v>2123</v>
      </c>
      <c r="K708">
        <v>1.32</v>
      </c>
      <c r="L708">
        <v>50</v>
      </c>
      <c r="M708">
        <v>1.79</v>
      </c>
    </row>
    <row r="709" spans="1:13">
      <c r="A709" s="28">
        <v>39830</v>
      </c>
      <c r="B709" t="s">
        <v>853</v>
      </c>
      <c r="C709">
        <v>6720</v>
      </c>
      <c r="D709">
        <v>20</v>
      </c>
      <c r="E709">
        <v>0.3</v>
      </c>
      <c r="F709">
        <v>719</v>
      </c>
      <c r="G709">
        <v>9.35</v>
      </c>
      <c r="H709">
        <v>1312</v>
      </c>
      <c r="I709">
        <v>5.12</v>
      </c>
      <c r="J709">
        <v>12653</v>
      </c>
      <c r="K709">
        <v>0.53</v>
      </c>
      <c r="L709">
        <v>120</v>
      </c>
      <c r="M709">
        <v>1.79</v>
      </c>
    </row>
    <row r="710" spans="1:13">
      <c r="A710" s="28">
        <v>143160</v>
      </c>
      <c r="B710" t="s">
        <v>854</v>
      </c>
      <c r="C710">
        <v>19680</v>
      </c>
      <c r="D710">
        <v>10</v>
      </c>
      <c r="E710">
        <v>0.05</v>
      </c>
      <c r="F710">
        <v>1177</v>
      </c>
      <c r="G710">
        <v>16.72</v>
      </c>
      <c r="H710" t="s">
        <v>397</v>
      </c>
      <c r="I710" t="s">
        <v>397</v>
      </c>
      <c r="J710">
        <v>18950</v>
      </c>
      <c r="K710">
        <v>1.04</v>
      </c>
      <c r="L710">
        <v>350</v>
      </c>
      <c r="M710">
        <v>1.78</v>
      </c>
    </row>
    <row r="711" spans="1:13">
      <c r="A711" s="28">
        <v>263020</v>
      </c>
      <c r="B711" t="s">
        <v>855</v>
      </c>
      <c r="C711">
        <v>2805</v>
      </c>
      <c r="D711">
        <v>210</v>
      </c>
      <c r="E711">
        <v>8.09</v>
      </c>
      <c r="F711">
        <v>473</v>
      </c>
      <c r="G711">
        <v>5.93</v>
      </c>
      <c r="H711" t="s">
        <v>397</v>
      </c>
      <c r="I711" t="s">
        <v>397</v>
      </c>
      <c r="J711">
        <v>4112</v>
      </c>
      <c r="K711">
        <v>0.68</v>
      </c>
      <c r="L711">
        <v>50</v>
      </c>
      <c r="M711">
        <v>1.78</v>
      </c>
    </row>
    <row r="712" spans="1:13">
      <c r="A712" s="28">
        <v>58430</v>
      </c>
      <c r="B712" t="s">
        <v>856</v>
      </c>
      <c r="C712">
        <v>49250</v>
      </c>
      <c r="D712">
        <v>-1050</v>
      </c>
      <c r="E712">
        <v>-2.09</v>
      </c>
      <c r="F712">
        <v>3785</v>
      </c>
      <c r="G712">
        <v>13.01</v>
      </c>
      <c r="H712" t="s">
        <v>397</v>
      </c>
      <c r="I712" t="s">
        <v>397</v>
      </c>
      <c r="J712">
        <v>57026</v>
      </c>
      <c r="K712">
        <v>0.86</v>
      </c>
      <c r="L712">
        <v>875</v>
      </c>
      <c r="M712">
        <v>1.78</v>
      </c>
    </row>
    <row r="713" spans="1:13">
      <c r="A713" s="28">
        <v>83930</v>
      </c>
      <c r="B713" t="s">
        <v>857</v>
      </c>
      <c r="C713">
        <v>16900</v>
      </c>
      <c r="D713">
        <v>-150</v>
      </c>
      <c r="E713">
        <v>-0.88</v>
      </c>
      <c r="F713">
        <v>1358</v>
      </c>
      <c r="G713">
        <v>12.44</v>
      </c>
      <c r="H713" t="s">
        <v>397</v>
      </c>
      <c r="I713" t="s">
        <v>397</v>
      </c>
      <c r="J713">
        <v>12644</v>
      </c>
      <c r="K713">
        <v>1.34</v>
      </c>
      <c r="L713">
        <v>300</v>
      </c>
      <c r="M713">
        <v>1.78</v>
      </c>
    </row>
    <row r="714" spans="1:13">
      <c r="A714" s="28">
        <v>200670</v>
      </c>
      <c r="B714" t="s">
        <v>858</v>
      </c>
      <c r="C714">
        <v>28150</v>
      </c>
      <c r="D714">
        <v>-1050</v>
      </c>
      <c r="E714">
        <v>-3.6</v>
      </c>
      <c r="F714">
        <v>2281</v>
      </c>
      <c r="G714">
        <v>12.34</v>
      </c>
      <c r="H714">
        <v>3534</v>
      </c>
      <c r="I714">
        <v>7.96</v>
      </c>
      <c r="J714">
        <v>15205</v>
      </c>
      <c r="K714">
        <v>1.85</v>
      </c>
      <c r="L714">
        <v>500</v>
      </c>
      <c r="M714">
        <v>1.78</v>
      </c>
    </row>
    <row r="715" spans="1:13">
      <c r="A715" s="28">
        <v>43370</v>
      </c>
      <c r="B715" t="s">
        <v>859</v>
      </c>
      <c r="C715">
        <v>11360</v>
      </c>
      <c r="D715">
        <v>-240</v>
      </c>
      <c r="E715">
        <v>-2.0699999999999998</v>
      </c>
      <c r="F715">
        <v>1376</v>
      </c>
      <c r="G715">
        <v>8.26</v>
      </c>
      <c r="H715" t="s">
        <v>397</v>
      </c>
      <c r="I715" t="s">
        <v>397</v>
      </c>
      <c r="J715">
        <v>32776</v>
      </c>
      <c r="K715">
        <v>0.35</v>
      </c>
      <c r="L715">
        <v>200</v>
      </c>
      <c r="M715">
        <v>1.76</v>
      </c>
    </row>
    <row r="716" spans="1:13">
      <c r="A716" s="28">
        <v>100220</v>
      </c>
      <c r="B716" t="s">
        <v>860</v>
      </c>
      <c r="C716">
        <v>5690</v>
      </c>
      <c r="D716">
        <v>-50</v>
      </c>
      <c r="E716">
        <v>-0.87</v>
      </c>
      <c r="F716" t="s">
        <v>397</v>
      </c>
      <c r="G716" t="s">
        <v>397</v>
      </c>
      <c r="H716" t="s">
        <v>397</v>
      </c>
      <c r="I716" t="s">
        <v>397</v>
      </c>
      <c r="J716">
        <v>16097</v>
      </c>
      <c r="K716">
        <v>0.35</v>
      </c>
      <c r="L716">
        <v>100</v>
      </c>
      <c r="M716">
        <v>1.76</v>
      </c>
    </row>
    <row r="717" spans="1:13">
      <c r="A717" s="28">
        <v>4910</v>
      </c>
      <c r="B717" t="s">
        <v>861</v>
      </c>
      <c r="C717">
        <v>5680</v>
      </c>
      <c r="D717">
        <v>0</v>
      </c>
      <c r="E717">
        <v>0</v>
      </c>
      <c r="F717" t="s">
        <v>397</v>
      </c>
      <c r="G717" t="s">
        <v>397</v>
      </c>
      <c r="H717" t="s">
        <v>397</v>
      </c>
      <c r="I717" t="s">
        <v>397</v>
      </c>
      <c r="J717">
        <v>16695</v>
      </c>
      <c r="K717">
        <v>0.34</v>
      </c>
      <c r="L717">
        <v>100</v>
      </c>
      <c r="M717">
        <v>1.76</v>
      </c>
    </row>
    <row r="718" spans="1:13">
      <c r="A718" s="28">
        <v>222800</v>
      </c>
      <c r="B718" t="s">
        <v>862</v>
      </c>
      <c r="C718">
        <v>28650</v>
      </c>
      <c r="D718">
        <v>250</v>
      </c>
      <c r="E718">
        <v>0.88</v>
      </c>
      <c r="F718">
        <v>7719</v>
      </c>
      <c r="G718">
        <v>3.71</v>
      </c>
      <c r="H718">
        <v>1568</v>
      </c>
      <c r="I718">
        <v>18.27</v>
      </c>
      <c r="J718">
        <v>19171</v>
      </c>
      <c r="K718">
        <v>1.49</v>
      </c>
      <c r="L718">
        <v>500</v>
      </c>
      <c r="M718">
        <v>1.75</v>
      </c>
    </row>
    <row r="719" spans="1:13">
      <c r="A719" s="28">
        <v>47050</v>
      </c>
      <c r="B719" t="s">
        <v>863</v>
      </c>
      <c r="C719">
        <v>57100</v>
      </c>
      <c r="D719">
        <v>-3300</v>
      </c>
      <c r="E719">
        <v>-5.46</v>
      </c>
      <c r="F719">
        <v>4780</v>
      </c>
      <c r="G719">
        <v>11.95</v>
      </c>
      <c r="H719">
        <v>3942</v>
      </c>
      <c r="I719">
        <v>14.48</v>
      </c>
      <c r="J719">
        <v>32288</v>
      </c>
      <c r="K719">
        <v>1.77</v>
      </c>
      <c r="L719">
        <v>1000</v>
      </c>
      <c r="M719">
        <v>1.75</v>
      </c>
    </row>
    <row r="720" spans="1:13">
      <c r="A720" s="28">
        <v>353200</v>
      </c>
      <c r="B720" t="s">
        <v>864</v>
      </c>
      <c r="C720">
        <v>22900</v>
      </c>
      <c r="D720">
        <v>150</v>
      </c>
      <c r="E720">
        <v>0.66</v>
      </c>
      <c r="F720">
        <v>3570</v>
      </c>
      <c r="G720">
        <v>6.41</v>
      </c>
      <c r="H720">
        <v>1624</v>
      </c>
      <c r="I720">
        <v>14.1</v>
      </c>
      <c r="J720">
        <v>17302</v>
      </c>
      <c r="K720">
        <v>1.32</v>
      </c>
      <c r="L720">
        <v>400</v>
      </c>
      <c r="M720">
        <v>1.75</v>
      </c>
    </row>
    <row r="721" spans="1:13">
      <c r="A721" s="28">
        <v>419120</v>
      </c>
      <c r="B721" t="s">
        <v>865</v>
      </c>
      <c r="C721">
        <v>10260</v>
      </c>
      <c r="D721">
        <v>-150</v>
      </c>
      <c r="E721">
        <v>-1.44</v>
      </c>
      <c r="F721">
        <v>1469</v>
      </c>
      <c r="G721">
        <v>6.98</v>
      </c>
      <c r="H721" t="s">
        <v>397</v>
      </c>
      <c r="I721" t="s">
        <v>397</v>
      </c>
      <c r="J721">
        <v>7296</v>
      </c>
      <c r="K721">
        <v>1.41</v>
      </c>
      <c r="L721">
        <v>180</v>
      </c>
      <c r="M721">
        <v>1.75</v>
      </c>
    </row>
    <row r="722" spans="1:13">
      <c r="A722" s="28">
        <v>268280</v>
      </c>
      <c r="B722" t="s">
        <v>866</v>
      </c>
      <c r="C722">
        <v>131700</v>
      </c>
      <c r="D722">
        <v>-500</v>
      </c>
      <c r="E722">
        <v>-0.38</v>
      </c>
      <c r="F722">
        <v>12932</v>
      </c>
      <c r="G722">
        <v>10.18</v>
      </c>
      <c r="H722" t="s">
        <v>397</v>
      </c>
      <c r="I722" t="s">
        <v>397</v>
      </c>
      <c r="J722">
        <v>75680</v>
      </c>
      <c r="K722">
        <v>1.74</v>
      </c>
      <c r="L722">
        <v>2300</v>
      </c>
      <c r="M722">
        <v>1.75</v>
      </c>
    </row>
    <row r="723" spans="1:13">
      <c r="A723" s="28">
        <v>4080</v>
      </c>
      <c r="B723" t="s">
        <v>867</v>
      </c>
      <c r="C723">
        <v>14400</v>
      </c>
      <c r="D723">
        <v>0</v>
      </c>
      <c r="E723">
        <v>0</v>
      </c>
      <c r="F723">
        <v>901</v>
      </c>
      <c r="G723">
        <v>15.98</v>
      </c>
      <c r="H723" t="s">
        <v>397</v>
      </c>
      <c r="I723" t="s">
        <v>397</v>
      </c>
      <c r="J723">
        <v>11398</v>
      </c>
      <c r="K723">
        <v>1.26</v>
      </c>
      <c r="L723">
        <v>250</v>
      </c>
      <c r="M723">
        <v>1.74</v>
      </c>
    </row>
    <row r="724" spans="1:13">
      <c r="A724" s="28">
        <v>131030</v>
      </c>
      <c r="B724" t="s">
        <v>868</v>
      </c>
      <c r="C724">
        <v>5740</v>
      </c>
      <c r="D724">
        <v>-80</v>
      </c>
      <c r="E724">
        <v>-1.37</v>
      </c>
      <c r="F724">
        <v>316</v>
      </c>
      <c r="G724">
        <v>18.16</v>
      </c>
      <c r="H724" t="s">
        <v>397</v>
      </c>
      <c r="I724" t="s">
        <v>397</v>
      </c>
      <c r="J724">
        <v>8207</v>
      </c>
      <c r="K724">
        <v>0.7</v>
      </c>
      <c r="L724">
        <v>100</v>
      </c>
      <c r="M724">
        <v>1.74</v>
      </c>
    </row>
    <row r="725" spans="1:13">
      <c r="A725" s="28">
        <v>720</v>
      </c>
      <c r="B725" t="s">
        <v>367</v>
      </c>
      <c r="C725">
        <v>34500</v>
      </c>
      <c r="D725">
        <v>500</v>
      </c>
      <c r="E725">
        <v>1.47</v>
      </c>
      <c r="F725">
        <v>3637</v>
      </c>
      <c r="G725">
        <v>9.49</v>
      </c>
      <c r="H725">
        <v>5041</v>
      </c>
      <c r="I725">
        <v>6.84</v>
      </c>
      <c r="J725">
        <v>69028</v>
      </c>
      <c r="K725">
        <v>0.5</v>
      </c>
      <c r="L725">
        <v>600</v>
      </c>
      <c r="M725">
        <v>1.74</v>
      </c>
    </row>
    <row r="726" spans="1:13">
      <c r="A726" s="28">
        <v>318410</v>
      </c>
      <c r="B726" t="s">
        <v>869</v>
      </c>
      <c r="C726">
        <v>11470</v>
      </c>
      <c r="D726">
        <v>10</v>
      </c>
      <c r="E726">
        <v>0.09</v>
      </c>
      <c r="F726">
        <v>184</v>
      </c>
      <c r="G726">
        <v>62.34</v>
      </c>
      <c r="H726" t="s">
        <v>397</v>
      </c>
      <c r="I726" t="s">
        <v>397</v>
      </c>
      <c r="J726">
        <v>13154</v>
      </c>
      <c r="K726">
        <v>0.87</v>
      </c>
      <c r="L726">
        <v>200</v>
      </c>
      <c r="M726">
        <v>1.74</v>
      </c>
    </row>
    <row r="727" spans="1:13">
      <c r="A727" s="28">
        <v>36690</v>
      </c>
      <c r="B727" t="s">
        <v>870</v>
      </c>
      <c r="C727">
        <v>2885</v>
      </c>
      <c r="D727">
        <v>15</v>
      </c>
      <c r="E727">
        <v>0.52</v>
      </c>
      <c r="F727" t="s">
        <v>397</v>
      </c>
      <c r="G727" t="s">
        <v>397</v>
      </c>
      <c r="H727" t="s">
        <v>397</v>
      </c>
      <c r="I727" t="s">
        <v>397</v>
      </c>
      <c r="J727">
        <v>3029</v>
      </c>
      <c r="K727">
        <v>0.95</v>
      </c>
      <c r="L727">
        <v>50</v>
      </c>
      <c r="M727">
        <v>1.73</v>
      </c>
    </row>
    <row r="728" spans="1:13">
      <c r="A728" s="28">
        <v>243070</v>
      </c>
      <c r="B728" t="s">
        <v>871</v>
      </c>
      <c r="C728">
        <v>34600</v>
      </c>
      <c r="D728">
        <v>-200</v>
      </c>
      <c r="E728">
        <v>-0.56999999999999995</v>
      </c>
      <c r="F728">
        <v>1897</v>
      </c>
      <c r="G728">
        <v>18.239999999999998</v>
      </c>
      <c r="H728">
        <v>4644</v>
      </c>
      <c r="I728">
        <v>7.45</v>
      </c>
      <c r="J728">
        <v>23877</v>
      </c>
      <c r="K728">
        <v>1.45</v>
      </c>
      <c r="L728">
        <v>600</v>
      </c>
      <c r="M728">
        <v>1.73</v>
      </c>
    </row>
    <row r="729" spans="1:13">
      <c r="A729" s="28">
        <v>377330</v>
      </c>
      <c r="B729" t="s">
        <v>872</v>
      </c>
      <c r="C729">
        <v>6930</v>
      </c>
      <c r="D729">
        <v>30</v>
      </c>
      <c r="E729">
        <v>0.43</v>
      </c>
      <c r="F729" t="s">
        <v>397</v>
      </c>
      <c r="G729" t="s">
        <v>397</v>
      </c>
      <c r="H729" t="s">
        <v>397</v>
      </c>
      <c r="I729" t="s">
        <v>397</v>
      </c>
      <c r="J729">
        <v>7503</v>
      </c>
      <c r="K729">
        <v>0.92</v>
      </c>
      <c r="L729">
        <v>120</v>
      </c>
      <c r="M729">
        <v>1.73</v>
      </c>
    </row>
    <row r="730" spans="1:13">
      <c r="A730" s="28">
        <v>29460</v>
      </c>
      <c r="B730" t="s">
        <v>873</v>
      </c>
      <c r="C730">
        <v>20300</v>
      </c>
      <c r="D730">
        <v>-100</v>
      </c>
      <c r="E730">
        <v>-0.49</v>
      </c>
      <c r="F730">
        <v>8092</v>
      </c>
      <c r="G730">
        <v>2.5099999999999998</v>
      </c>
      <c r="H730" t="s">
        <v>397</v>
      </c>
      <c r="I730" t="s">
        <v>397</v>
      </c>
      <c r="J730">
        <v>58058</v>
      </c>
      <c r="K730">
        <v>0.35</v>
      </c>
      <c r="L730">
        <v>350</v>
      </c>
      <c r="M730">
        <v>1.72</v>
      </c>
    </row>
    <row r="731" spans="1:13">
      <c r="A731" s="28">
        <v>105840</v>
      </c>
      <c r="B731" t="s">
        <v>874</v>
      </c>
      <c r="C731">
        <v>8740</v>
      </c>
      <c r="D731">
        <v>-250</v>
      </c>
      <c r="E731">
        <v>-2.78</v>
      </c>
      <c r="F731">
        <v>478</v>
      </c>
      <c r="G731">
        <v>18.28</v>
      </c>
      <c r="H731" t="s">
        <v>397</v>
      </c>
      <c r="I731" t="s">
        <v>397</v>
      </c>
      <c r="J731">
        <v>7877</v>
      </c>
      <c r="K731">
        <v>1.1100000000000001</v>
      </c>
      <c r="L731">
        <v>150</v>
      </c>
      <c r="M731">
        <v>1.72</v>
      </c>
    </row>
    <row r="732" spans="1:13">
      <c r="A732" s="28">
        <v>357230</v>
      </c>
      <c r="B732" t="s">
        <v>875</v>
      </c>
      <c r="C732">
        <v>4685</v>
      </c>
      <c r="D732">
        <v>-130</v>
      </c>
      <c r="E732">
        <v>-2.7</v>
      </c>
      <c r="F732">
        <v>282</v>
      </c>
      <c r="G732">
        <v>16.61</v>
      </c>
      <c r="H732" t="s">
        <v>397</v>
      </c>
      <c r="I732" t="s">
        <v>397</v>
      </c>
      <c r="J732">
        <v>3477</v>
      </c>
      <c r="K732">
        <v>1.35</v>
      </c>
      <c r="L732">
        <v>80</v>
      </c>
      <c r="M732">
        <v>1.71</v>
      </c>
    </row>
    <row r="733" spans="1:13">
      <c r="A733" s="28">
        <v>64760</v>
      </c>
      <c r="B733" t="s">
        <v>876</v>
      </c>
      <c r="C733">
        <v>99300</v>
      </c>
      <c r="D733">
        <v>-600</v>
      </c>
      <c r="E733">
        <v>-0.6</v>
      </c>
      <c r="F733">
        <v>8056</v>
      </c>
      <c r="G733">
        <v>12.33</v>
      </c>
      <c r="H733">
        <v>6786</v>
      </c>
      <c r="I733">
        <v>14.63</v>
      </c>
      <c r="J733">
        <v>35707</v>
      </c>
      <c r="K733">
        <v>2.78</v>
      </c>
      <c r="L733">
        <v>1700</v>
      </c>
      <c r="M733">
        <v>1.71</v>
      </c>
    </row>
    <row r="734" spans="1:13">
      <c r="A734" s="28">
        <v>23350</v>
      </c>
      <c r="B734" t="s">
        <v>877</v>
      </c>
      <c r="C734">
        <v>5850</v>
      </c>
      <c r="D734">
        <v>40</v>
      </c>
      <c r="E734">
        <v>0.69</v>
      </c>
      <c r="F734">
        <v>365</v>
      </c>
      <c r="G734">
        <v>16.03</v>
      </c>
      <c r="H734" t="s">
        <v>397</v>
      </c>
      <c r="I734" t="s">
        <v>397</v>
      </c>
      <c r="J734">
        <v>14302</v>
      </c>
      <c r="K734">
        <v>0.41</v>
      </c>
      <c r="L734">
        <v>100</v>
      </c>
      <c r="M734">
        <v>1.71</v>
      </c>
    </row>
    <row r="735" spans="1:13">
      <c r="A735" s="28">
        <v>48830</v>
      </c>
      <c r="B735" t="s">
        <v>878</v>
      </c>
      <c r="C735">
        <v>1752</v>
      </c>
      <c r="D735">
        <v>18</v>
      </c>
      <c r="E735">
        <v>1.04</v>
      </c>
      <c r="F735">
        <v>79</v>
      </c>
      <c r="G735">
        <v>22.18</v>
      </c>
      <c r="H735" t="s">
        <v>397</v>
      </c>
      <c r="I735" t="s">
        <v>397</v>
      </c>
      <c r="J735">
        <v>2343</v>
      </c>
      <c r="K735">
        <v>0.75</v>
      </c>
      <c r="L735">
        <v>30</v>
      </c>
      <c r="M735">
        <v>1.71</v>
      </c>
    </row>
    <row r="736" spans="1:13">
      <c r="A736" s="28">
        <v>66575</v>
      </c>
      <c r="B736" t="s">
        <v>879</v>
      </c>
      <c r="C736">
        <v>43900</v>
      </c>
      <c r="D736">
        <v>-650</v>
      </c>
      <c r="E736">
        <v>-1.46</v>
      </c>
      <c r="F736" t="s">
        <v>397</v>
      </c>
      <c r="G736" t="s">
        <v>397</v>
      </c>
      <c r="H736" t="s">
        <v>397</v>
      </c>
      <c r="I736" t="s">
        <v>397</v>
      </c>
      <c r="J736" t="s">
        <v>397</v>
      </c>
      <c r="K736" t="s">
        <v>397</v>
      </c>
      <c r="L736">
        <v>750</v>
      </c>
      <c r="M736">
        <v>1.71</v>
      </c>
    </row>
    <row r="737" spans="1:13">
      <c r="A737" s="28">
        <v>9240</v>
      </c>
      <c r="B737" t="s">
        <v>880</v>
      </c>
      <c r="C737">
        <v>47000</v>
      </c>
      <c r="D737">
        <v>-550</v>
      </c>
      <c r="E737">
        <v>-1.1599999999999999</v>
      </c>
      <c r="F737" t="s">
        <v>397</v>
      </c>
      <c r="G737" t="s">
        <v>397</v>
      </c>
      <c r="H737">
        <v>1399</v>
      </c>
      <c r="I737">
        <v>33.6</v>
      </c>
      <c r="J737">
        <v>28093</v>
      </c>
      <c r="K737">
        <v>1.67</v>
      </c>
      <c r="L737">
        <v>800</v>
      </c>
      <c r="M737">
        <v>1.7</v>
      </c>
    </row>
    <row r="738" spans="1:13">
      <c r="A738" s="28">
        <v>1465</v>
      </c>
      <c r="B738" t="s">
        <v>881</v>
      </c>
      <c r="C738">
        <v>179800</v>
      </c>
      <c r="D738">
        <v>100</v>
      </c>
      <c r="E738">
        <v>0.06</v>
      </c>
      <c r="F738" t="s">
        <v>397</v>
      </c>
      <c r="G738" t="s">
        <v>397</v>
      </c>
      <c r="H738" t="s">
        <v>397</v>
      </c>
      <c r="I738" t="s">
        <v>397</v>
      </c>
      <c r="J738" t="s">
        <v>397</v>
      </c>
      <c r="K738" t="s">
        <v>397</v>
      </c>
      <c r="L738">
        <v>3050</v>
      </c>
      <c r="M738">
        <v>1.7</v>
      </c>
    </row>
    <row r="739" spans="1:13">
      <c r="A739" s="28">
        <v>37230</v>
      </c>
      <c r="B739" t="s">
        <v>882</v>
      </c>
      <c r="C739">
        <v>2055</v>
      </c>
      <c r="D739">
        <v>-45</v>
      </c>
      <c r="E739">
        <v>-2.14</v>
      </c>
      <c r="F739" t="s">
        <v>397</v>
      </c>
      <c r="G739" t="s">
        <v>397</v>
      </c>
      <c r="H739" t="s">
        <v>397</v>
      </c>
      <c r="I739" t="s">
        <v>397</v>
      </c>
      <c r="J739">
        <v>2250</v>
      </c>
      <c r="K739">
        <v>0.91</v>
      </c>
      <c r="L739">
        <v>35</v>
      </c>
      <c r="M739">
        <v>1.7</v>
      </c>
    </row>
    <row r="740" spans="1:13">
      <c r="A740" s="28">
        <v>2030</v>
      </c>
      <c r="B740" t="s">
        <v>883</v>
      </c>
      <c r="C740">
        <v>222000</v>
      </c>
      <c r="D740">
        <v>9000</v>
      </c>
      <c r="E740">
        <v>4.2300000000000004</v>
      </c>
      <c r="F740">
        <v>46012</v>
      </c>
      <c r="G740">
        <v>4.82</v>
      </c>
      <c r="H740" t="s">
        <v>397</v>
      </c>
      <c r="I740" t="s">
        <v>397</v>
      </c>
      <c r="J740">
        <v>548397</v>
      </c>
      <c r="K740">
        <v>0.4</v>
      </c>
      <c r="L740">
        <v>3750</v>
      </c>
      <c r="M740">
        <v>1.69</v>
      </c>
    </row>
    <row r="741" spans="1:13">
      <c r="A741" s="28">
        <v>5740</v>
      </c>
      <c r="B741" t="s">
        <v>884</v>
      </c>
      <c r="C741">
        <v>5910</v>
      </c>
      <c r="D741">
        <v>60</v>
      </c>
      <c r="E741">
        <v>1.03</v>
      </c>
      <c r="F741">
        <v>559</v>
      </c>
      <c r="G741">
        <v>10.57</v>
      </c>
      <c r="H741" t="s">
        <v>397</v>
      </c>
      <c r="I741" t="s">
        <v>397</v>
      </c>
      <c r="J741">
        <v>20510</v>
      </c>
      <c r="K741">
        <v>0.28999999999999998</v>
      </c>
      <c r="L741">
        <v>100</v>
      </c>
      <c r="M741">
        <v>1.69</v>
      </c>
    </row>
    <row r="742" spans="1:13">
      <c r="A742" s="28">
        <v>86670</v>
      </c>
      <c r="B742" t="s">
        <v>885</v>
      </c>
      <c r="C742">
        <v>11840</v>
      </c>
      <c r="D742">
        <v>-220</v>
      </c>
      <c r="E742">
        <v>-1.82</v>
      </c>
      <c r="F742">
        <v>1784</v>
      </c>
      <c r="G742">
        <v>6.64</v>
      </c>
      <c r="H742">
        <v>2022</v>
      </c>
      <c r="I742">
        <v>5.86</v>
      </c>
      <c r="J742">
        <v>11634</v>
      </c>
      <c r="K742">
        <v>1.02</v>
      </c>
      <c r="L742">
        <v>200</v>
      </c>
      <c r="M742">
        <v>1.69</v>
      </c>
    </row>
    <row r="743" spans="1:13">
      <c r="A743" s="28">
        <v>33270</v>
      </c>
      <c r="B743" t="s">
        <v>886</v>
      </c>
      <c r="C743">
        <v>23650</v>
      </c>
      <c r="D743">
        <v>-250</v>
      </c>
      <c r="E743">
        <v>-1.05</v>
      </c>
      <c r="F743">
        <v>3058</v>
      </c>
      <c r="G743">
        <v>7.73</v>
      </c>
      <c r="H743" t="s">
        <v>397</v>
      </c>
      <c r="I743" t="s">
        <v>397</v>
      </c>
      <c r="J743">
        <v>22971</v>
      </c>
      <c r="K743">
        <v>1.03</v>
      </c>
      <c r="L743">
        <v>400</v>
      </c>
      <c r="M743">
        <v>1.69</v>
      </c>
    </row>
    <row r="744" spans="1:13">
      <c r="A744" s="28">
        <v>8250</v>
      </c>
      <c r="B744" t="s">
        <v>887</v>
      </c>
      <c r="C744">
        <v>5930</v>
      </c>
      <c r="D744">
        <v>-10</v>
      </c>
      <c r="E744">
        <v>-0.17</v>
      </c>
      <c r="F744">
        <v>501</v>
      </c>
      <c r="G744">
        <v>11.84</v>
      </c>
      <c r="H744" t="s">
        <v>397</v>
      </c>
      <c r="I744" t="s">
        <v>397</v>
      </c>
      <c r="J744">
        <v>18762</v>
      </c>
      <c r="K744">
        <v>0.32</v>
      </c>
      <c r="L744">
        <v>100</v>
      </c>
      <c r="M744">
        <v>1.69</v>
      </c>
    </row>
    <row r="745" spans="1:13">
      <c r="A745" s="28">
        <v>119500</v>
      </c>
      <c r="B745" t="s">
        <v>888</v>
      </c>
      <c r="C745">
        <v>3555</v>
      </c>
      <c r="D745">
        <v>5</v>
      </c>
      <c r="E745">
        <v>0.14000000000000001</v>
      </c>
      <c r="F745">
        <v>146</v>
      </c>
      <c r="G745">
        <v>24.35</v>
      </c>
      <c r="H745" t="s">
        <v>397</v>
      </c>
      <c r="I745" t="s">
        <v>397</v>
      </c>
      <c r="J745">
        <v>4072</v>
      </c>
      <c r="K745">
        <v>0.87</v>
      </c>
      <c r="L745">
        <v>60</v>
      </c>
      <c r="M745">
        <v>1.69</v>
      </c>
    </row>
    <row r="746" spans="1:13">
      <c r="A746" s="28">
        <v>293580</v>
      </c>
      <c r="B746" t="s">
        <v>889</v>
      </c>
      <c r="C746">
        <v>1070</v>
      </c>
      <c r="D746">
        <v>30</v>
      </c>
      <c r="E746">
        <v>2.88</v>
      </c>
      <c r="F746">
        <v>88</v>
      </c>
      <c r="G746">
        <v>12.16</v>
      </c>
      <c r="H746" t="s">
        <v>397</v>
      </c>
      <c r="I746" t="s">
        <v>397</v>
      </c>
      <c r="J746">
        <v>996</v>
      </c>
      <c r="K746">
        <v>1.07</v>
      </c>
      <c r="L746">
        <v>18</v>
      </c>
      <c r="M746">
        <v>1.68</v>
      </c>
    </row>
    <row r="747" spans="1:13">
      <c r="A747" s="28">
        <v>92460</v>
      </c>
      <c r="B747" t="s">
        <v>352</v>
      </c>
      <c r="C747">
        <v>5950</v>
      </c>
      <c r="D747">
        <v>-190</v>
      </c>
      <c r="E747">
        <v>-3.09</v>
      </c>
      <c r="F747">
        <v>470</v>
      </c>
      <c r="G747">
        <v>12.66</v>
      </c>
      <c r="H747" t="s">
        <v>397</v>
      </c>
      <c r="I747" t="s">
        <v>397</v>
      </c>
      <c r="J747">
        <v>5683</v>
      </c>
      <c r="K747">
        <v>1.05</v>
      </c>
      <c r="L747">
        <v>100</v>
      </c>
      <c r="M747">
        <v>1.68</v>
      </c>
    </row>
    <row r="748" spans="1:13">
      <c r="A748" s="28">
        <v>118990</v>
      </c>
      <c r="B748" t="s">
        <v>890</v>
      </c>
      <c r="C748">
        <v>14660</v>
      </c>
      <c r="D748">
        <v>-220</v>
      </c>
      <c r="E748">
        <v>-1.48</v>
      </c>
      <c r="F748">
        <v>1580</v>
      </c>
      <c r="G748">
        <v>9.2799999999999994</v>
      </c>
      <c r="H748" t="s">
        <v>397</v>
      </c>
      <c r="I748" t="s">
        <v>397</v>
      </c>
      <c r="J748">
        <v>7276</v>
      </c>
      <c r="K748">
        <v>2.0099999999999998</v>
      </c>
      <c r="L748">
        <v>246</v>
      </c>
      <c r="M748">
        <v>1.68</v>
      </c>
    </row>
    <row r="749" spans="1:13">
      <c r="A749" s="28">
        <v>36120</v>
      </c>
      <c r="B749" t="s">
        <v>891</v>
      </c>
      <c r="C749">
        <v>2970</v>
      </c>
      <c r="D749">
        <v>30</v>
      </c>
      <c r="E749">
        <v>1.02</v>
      </c>
      <c r="F749">
        <v>68</v>
      </c>
      <c r="G749">
        <v>43.68</v>
      </c>
      <c r="H749" t="s">
        <v>397</v>
      </c>
      <c r="I749" t="s">
        <v>397</v>
      </c>
      <c r="J749">
        <v>866</v>
      </c>
      <c r="K749">
        <v>3.43</v>
      </c>
      <c r="L749">
        <v>50</v>
      </c>
      <c r="M749">
        <v>1.68</v>
      </c>
    </row>
    <row r="750" spans="1:13">
      <c r="A750" s="28">
        <v>33530</v>
      </c>
      <c r="B750" t="s">
        <v>892</v>
      </c>
      <c r="C750">
        <v>5980</v>
      </c>
      <c r="D750">
        <v>100</v>
      </c>
      <c r="E750">
        <v>1.7</v>
      </c>
      <c r="F750">
        <v>64</v>
      </c>
      <c r="G750">
        <v>93.44</v>
      </c>
      <c r="H750" t="s">
        <v>397</v>
      </c>
      <c r="I750" t="s">
        <v>397</v>
      </c>
      <c r="J750">
        <v>14878</v>
      </c>
      <c r="K750">
        <v>0.4</v>
      </c>
      <c r="L750">
        <v>100</v>
      </c>
      <c r="M750">
        <v>1.67</v>
      </c>
    </row>
    <row r="751" spans="1:13">
      <c r="A751" s="28">
        <v>8420</v>
      </c>
      <c r="B751" t="s">
        <v>893</v>
      </c>
      <c r="C751">
        <v>2995</v>
      </c>
      <c r="D751">
        <v>10</v>
      </c>
      <c r="E751">
        <v>0.34</v>
      </c>
      <c r="F751">
        <v>1338</v>
      </c>
      <c r="G751">
        <v>2.2400000000000002</v>
      </c>
      <c r="H751" t="s">
        <v>397</v>
      </c>
      <c r="I751" t="s">
        <v>397</v>
      </c>
      <c r="J751">
        <v>8612</v>
      </c>
      <c r="K751">
        <v>0.35</v>
      </c>
      <c r="L751">
        <v>50</v>
      </c>
      <c r="M751">
        <v>1.67</v>
      </c>
    </row>
    <row r="752" spans="1:13">
      <c r="A752" s="28">
        <v>183300</v>
      </c>
      <c r="B752" t="s">
        <v>894</v>
      </c>
      <c r="C752">
        <v>59900</v>
      </c>
      <c r="D752">
        <v>1100</v>
      </c>
      <c r="E752">
        <v>1.87</v>
      </c>
      <c r="F752">
        <v>4213</v>
      </c>
      <c r="G752">
        <v>14.22</v>
      </c>
      <c r="H752">
        <v>4158</v>
      </c>
      <c r="I752">
        <v>14.4</v>
      </c>
      <c r="J752">
        <v>25921</v>
      </c>
      <c r="K752">
        <v>2.31</v>
      </c>
      <c r="L752">
        <v>1000</v>
      </c>
      <c r="M752">
        <v>1.67</v>
      </c>
    </row>
    <row r="753" spans="1:13">
      <c r="A753" s="28">
        <v>8490</v>
      </c>
      <c r="B753" t="s">
        <v>895</v>
      </c>
      <c r="C753">
        <v>23900</v>
      </c>
      <c r="D753">
        <v>0</v>
      </c>
      <c r="E753">
        <v>0</v>
      </c>
      <c r="F753">
        <v>3056</v>
      </c>
      <c r="G753">
        <v>7.82</v>
      </c>
      <c r="H753">
        <v>1809</v>
      </c>
      <c r="I753">
        <v>13.21</v>
      </c>
      <c r="J753">
        <v>37893</v>
      </c>
      <c r="K753">
        <v>0.63</v>
      </c>
      <c r="L753">
        <v>400</v>
      </c>
      <c r="M753">
        <v>1.67</v>
      </c>
    </row>
    <row r="754" spans="1:13">
      <c r="A754" s="28">
        <v>54210</v>
      </c>
      <c r="B754" t="s">
        <v>896</v>
      </c>
      <c r="C754">
        <v>8980</v>
      </c>
      <c r="D754">
        <v>-120</v>
      </c>
      <c r="E754">
        <v>-1.32</v>
      </c>
      <c r="F754">
        <v>2177</v>
      </c>
      <c r="G754">
        <v>4.12</v>
      </c>
      <c r="H754" t="s">
        <v>397</v>
      </c>
      <c r="I754" t="s">
        <v>397</v>
      </c>
      <c r="J754">
        <v>10449</v>
      </c>
      <c r="K754">
        <v>0.86</v>
      </c>
      <c r="L754">
        <v>150</v>
      </c>
      <c r="M754">
        <v>1.67</v>
      </c>
    </row>
    <row r="755" spans="1:13">
      <c r="A755" s="28">
        <v>45060</v>
      </c>
      <c r="B755" t="s">
        <v>897</v>
      </c>
      <c r="C755">
        <v>3010</v>
      </c>
      <c r="D755">
        <v>-50</v>
      </c>
      <c r="E755">
        <v>-1.63</v>
      </c>
      <c r="F755">
        <v>441</v>
      </c>
      <c r="G755">
        <v>6.83</v>
      </c>
      <c r="H755" t="s">
        <v>397</v>
      </c>
      <c r="I755" t="s">
        <v>397</v>
      </c>
      <c r="J755">
        <v>6078</v>
      </c>
      <c r="K755">
        <v>0.5</v>
      </c>
      <c r="L755">
        <v>50</v>
      </c>
      <c r="M755">
        <v>1.66</v>
      </c>
    </row>
    <row r="756" spans="1:13">
      <c r="A756" s="28">
        <v>33830</v>
      </c>
      <c r="B756" t="s">
        <v>898</v>
      </c>
      <c r="C756">
        <v>910</v>
      </c>
      <c r="D756">
        <v>-7</v>
      </c>
      <c r="E756">
        <v>-0.76</v>
      </c>
      <c r="F756">
        <v>52</v>
      </c>
      <c r="G756">
        <v>17.5</v>
      </c>
      <c r="H756" t="s">
        <v>397</v>
      </c>
      <c r="I756" t="s">
        <v>397</v>
      </c>
      <c r="J756">
        <v>1286</v>
      </c>
      <c r="K756">
        <v>0.71</v>
      </c>
      <c r="L756">
        <v>15</v>
      </c>
      <c r="M756">
        <v>1.65</v>
      </c>
    </row>
    <row r="757" spans="1:13">
      <c r="A757" s="28">
        <v>1390</v>
      </c>
      <c r="B757" t="s">
        <v>899</v>
      </c>
      <c r="C757">
        <v>6070</v>
      </c>
      <c r="D757">
        <v>20</v>
      </c>
      <c r="E757">
        <v>0.33</v>
      </c>
      <c r="F757">
        <v>4677</v>
      </c>
      <c r="G757">
        <v>1.3</v>
      </c>
      <c r="H757" t="s">
        <v>397</v>
      </c>
      <c r="I757" t="s">
        <v>397</v>
      </c>
      <c r="J757">
        <v>11474</v>
      </c>
      <c r="K757">
        <v>0.53</v>
      </c>
      <c r="L757">
        <v>100</v>
      </c>
      <c r="M757">
        <v>1.65</v>
      </c>
    </row>
    <row r="758" spans="1:13">
      <c r="A758" s="28">
        <v>99190</v>
      </c>
      <c r="B758" t="s">
        <v>900</v>
      </c>
      <c r="C758">
        <v>21400</v>
      </c>
      <c r="D758">
        <v>50</v>
      </c>
      <c r="E758">
        <v>0.23</v>
      </c>
      <c r="F758">
        <v>588</v>
      </c>
      <c r="G758">
        <v>36.39</v>
      </c>
      <c r="H758">
        <v>665</v>
      </c>
      <c r="I758">
        <v>32.159999999999997</v>
      </c>
      <c r="J758">
        <v>10416</v>
      </c>
      <c r="K758">
        <v>2.0499999999999998</v>
      </c>
      <c r="L758">
        <v>350</v>
      </c>
      <c r="M758">
        <v>1.64</v>
      </c>
    </row>
    <row r="759" spans="1:13">
      <c r="A759" s="28">
        <v>101170</v>
      </c>
      <c r="B759" t="s">
        <v>901</v>
      </c>
      <c r="C759">
        <v>6100</v>
      </c>
      <c r="D759">
        <v>50</v>
      </c>
      <c r="E759">
        <v>0.83</v>
      </c>
      <c r="F759">
        <v>385</v>
      </c>
      <c r="G759">
        <v>15.84</v>
      </c>
      <c r="H759">
        <v>494</v>
      </c>
      <c r="I759">
        <v>12.34</v>
      </c>
      <c r="J759">
        <v>6520</v>
      </c>
      <c r="K759">
        <v>0.94</v>
      </c>
      <c r="L759">
        <v>100</v>
      </c>
      <c r="M759">
        <v>1.64</v>
      </c>
    </row>
    <row r="760" spans="1:13">
      <c r="A760" s="28">
        <v>251970</v>
      </c>
      <c r="B760" t="s">
        <v>902</v>
      </c>
      <c r="C760">
        <v>22150</v>
      </c>
      <c r="D760">
        <v>-600</v>
      </c>
      <c r="E760">
        <v>-2.64</v>
      </c>
      <c r="F760">
        <v>1580</v>
      </c>
      <c r="G760">
        <v>14.02</v>
      </c>
      <c r="H760">
        <v>2696</v>
      </c>
      <c r="I760">
        <v>8.2200000000000006</v>
      </c>
      <c r="J760">
        <v>17379</v>
      </c>
      <c r="K760">
        <v>1.27</v>
      </c>
      <c r="L760">
        <v>360</v>
      </c>
      <c r="M760">
        <v>1.63</v>
      </c>
    </row>
    <row r="761" spans="1:13">
      <c r="A761" s="28">
        <v>3380</v>
      </c>
      <c r="B761" t="s">
        <v>903</v>
      </c>
      <c r="C761">
        <v>7340</v>
      </c>
      <c r="D761">
        <v>160</v>
      </c>
      <c r="E761">
        <v>2.23</v>
      </c>
      <c r="F761">
        <v>2736</v>
      </c>
      <c r="G761">
        <v>2.68</v>
      </c>
      <c r="H761" t="s">
        <v>397</v>
      </c>
      <c r="I761" t="s">
        <v>397</v>
      </c>
      <c r="J761">
        <v>29169</v>
      </c>
      <c r="K761">
        <v>0.25</v>
      </c>
      <c r="L761">
        <v>120</v>
      </c>
      <c r="M761">
        <v>1.63</v>
      </c>
    </row>
    <row r="762" spans="1:13">
      <c r="A762" s="28">
        <v>36580</v>
      </c>
      <c r="B762" t="s">
        <v>904</v>
      </c>
      <c r="C762">
        <v>3070</v>
      </c>
      <c r="D762">
        <v>-85</v>
      </c>
      <c r="E762">
        <v>-2.69</v>
      </c>
      <c r="F762" t="s">
        <v>397</v>
      </c>
      <c r="G762" t="s">
        <v>397</v>
      </c>
      <c r="H762" t="s">
        <v>397</v>
      </c>
      <c r="I762" t="s">
        <v>397</v>
      </c>
      <c r="J762">
        <v>7532</v>
      </c>
      <c r="K762">
        <v>0.41</v>
      </c>
      <c r="L762">
        <v>50</v>
      </c>
      <c r="M762">
        <v>1.63</v>
      </c>
    </row>
    <row r="763" spans="1:13">
      <c r="A763" s="28">
        <v>142210</v>
      </c>
      <c r="B763" t="s">
        <v>905</v>
      </c>
      <c r="C763">
        <v>6130</v>
      </c>
      <c r="D763">
        <v>-80</v>
      </c>
      <c r="E763">
        <v>-1.29</v>
      </c>
      <c r="F763">
        <v>970</v>
      </c>
      <c r="G763">
        <v>6.32</v>
      </c>
      <c r="H763" t="s">
        <v>397</v>
      </c>
      <c r="I763" t="s">
        <v>397</v>
      </c>
      <c r="J763">
        <v>5002</v>
      </c>
      <c r="K763">
        <v>1.23</v>
      </c>
      <c r="L763">
        <v>100</v>
      </c>
      <c r="M763">
        <v>1.63</v>
      </c>
    </row>
    <row r="764" spans="1:13">
      <c r="A764" s="28">
        <v>41930</v>
      </c>
      <c r="B764" t="s">
        <v>906</v>
      </c>
      <c r="C764">
        <v>7400</v>
      </c>
      <c r="D764">
        <v>-80</v>
      </c>
      <c r="E764">
        <v>-1.07</v>
      </c>
      <c r="F764">
        <v>1017</v>
      </c>
      <c r="G764">
        <v>7.28</v>
      </c>
      <c r="H764" t="s">
        <v>397</v>
      </c>
      <c r="I764" t="s">
        <v>397</v>
      </c>
      <c r="J764">
        <v>9336</v>
      </c>
      <c r="K764">
        <v>0.79</v>
      </c>
      <c r="L764">
        <v>120</v>
      </c>
      <c r="M764">
        <v>1.62</v>
      </c>
    </row>
    <row r="765" spans="1:13">
      <c r="A765" s="28">
        <v>41460</v>
      </c>
      <c r="B765" t="s">
        <v>907</v>
      </c>
      <c r="C765">
        <v>4320</v>
      </c>
      <c r="D765">
        <v>-70</v>
      </c>
      <c r="E765">
        <v>-1.59</v>
      </c>
      <c r="F765">
        <v>185</v>
      </c>
      <c r="G765">
        <v>23.35</v>
      </c>
      <c r="H765" t="s">
        <v>397</v>
      </c>
      <c r="I765" t="s">
        <v>397</v>
      </c>
      <c r="J765">
        <v>2469</v>
      </c>
      <c r="K765">
        <v>1.75</v>
      </c>
      <c r="L765">
        <v>70</v>
      </c>
      <c r="M765">
        <v>1.62</v>
      </c>
    </row>
    <row r="766" spans="1:13">
      <c r="A766" s="28">
        <v>2360</v>
      </c>
      <c r="B766" t="s">
        <v>908</v>
      </c>
      <c r="C766">
        <v>620</v>
      </c>
      <c r="D766">
        <v>-13</v>
      </c>
      <c r="E766">
        <v>-2.0499999999999998</v>
      </c>
      <c r="F766">
        <v>17</v>
      </c>
      <c r="G766">
        <v>36.47</v>
      </c>
      <c r="H766" t="s">
        <v>397</v>
      </c>
      <c r="I766" t="s">
        <v>397</v>
      </c>
      <c r="J766">
        <v>857</v>
      </c>
      <c r="K766">
        <v>0.72</v>
      </c>
      <c r="L766">
        <v>10</v>
      </c>
      <c r="M766">
        <v>1.61</v>
      </c>
    </row>
    <row r="767" spans="1:13">
      <c r="A767" s="28">
        <v>5800</v>
      </c>
      <c r="B767" t="s">
        <v>909</v>
      </c>
      <c r="C767">
        <v>9320</v>
      </c>
      <c r="D767">
        <v>0</v>
      </c>
      <c r="E767">
        <v>0</v>
      </c>
      <c r="F767">
        <v>2611</v>
      </c>
      <c r="G767">
        <v>3.57</v>
      </c>
      <c r="H767" t="s">
        <v>397</v>
      </c>
      <c r="I767" t="s">
        <v>397</v>
      </c>
      <c r="J767">
        <v>40302</v>
      </c>
      <c r="K767">
        <v>0.23</v>
      </c>
      <c r="L767">
        <v>150</v>
      </c>
      <c r="M767">
        <v>1.61</v>
      </c>
    </row>
    <row r="768" spans="1:13">
      <c r="A768" s="28">
        <v>23600</v>
      </c>
      <c r="B768" t="s">
        <v>910</v>
      </c>
      <c r="C768">
        <v>10840</v>
      </c>
      <c r="D768">
        <v>70</v>
      </c>
      <c r="E768">
        <v>0.65</v>
      </c>
      <c r="F768">
        <v>3517</v>
      </c>
      <c r="G768">
        <v>3.08</v>
      </c>
      <c r="H768" t="s">
        <v>397</v>
      </c>
      <c r="I768" t="s">
        <v>397</v>
      </c>
      <c r="J768">
        <v>31370</v>
      </c>
      <c r="K768">
        <v>0.35</v>
      </c>
      <c r="L768">
        <v>175</v>
      </c>
      <c r="M768">
        <v>1.61</v>
      </c>
    </row>
    <row r="769" spans="1:13">
      <c r="A769" s="28">
        <v>262840</v>
      </c>
      <c r="B769" t="s">
        <v>911</v>
      </c>
      <c r="C769">
        <v>6230</v>
      </c>
      <c r="D769">
        <v>60</v>
      </c>
      <c r="E769">
        <v>0.97</v>
      </c>
      <c r="F769">
        <v>305</v>
      </c>
      <c r="G769">
        <v>20.43</v>
      </c>
      <c r="H769" t="s">
        <v>397</v>
      </c>
      <c r="I769" t="s">
        <v>397</v>
      </c>
      <c r="J769">
        <v>4623</v>
      </c>
      <c r="K769">
        <v>1.35</v>
      </c>
      <c r="L769">
        <v>100</v>
      </c>
      <c r="M769">
        <v>1.61</v>
      </c>
    </row>
    <row r="770" spans="1:13">
      <c r="A770" s="28">
        <v>53800</v>
      </c>
      <c r="B770" t="s">
        <v>912</v>
      </c>
      <c r="C770">
        <v>68400</v>
      </c>
      <c r="D770">
        <v>1800</v>
      </c>
      <c r="E770">
        <v>2.7</v>
      </c>
      <c r="F770">
        <v>1631</v>
      </c>
      <c r="G770">
        <v>41.94</v>
      </c>
      <c r="H770" t="s">
        <v>397</v>
      </c>
      <c r="I770" t="s">
        <v>397</v>
      </c>
      <c r="J770">
        <v>29416</v>
      </c>
      <c r="K770">
        <v>2.33</v>
      </c>
      <c r="L770">
        <v>1100</v>
      </c>
      <c r="M770">
        <v>1.61</v>
      </c>
    </row>
    <row r="771" spans="1:13">
      <c r="A771" s="28">
        <v>9140</v>
      </c>
      <c r="B771" t="s">
        <v>913</v>
      </c>
      <c r="C771">
        <v>21800</v>
      </c>
      <c r="D771">
        <v>-400</v>
      </c>
      <c r="E771">
        <v>-1.8</v>
      </c>
      <c r="F771">
        <v>2080</v>
      </c>
      <c r="G771">
        <v>10.48</v>
      </c>
      <c r="H771" t="s">
        <v>397</v>
      </c>
      <c r="I771" t="s">
        <v>397</v>
      </c>
      <c r="J771">
        <v>49149</v>
      </c>
      <c r="K771">
        <v>0.44</v>
      </c>
      <c r="L771">
        <v>350</v>
      </c>
      <c r="M771">
        <v>1.61</v>
      </c>
    </row>
    <row r="772" spans="1:13">
      <c r="A772" s="28">
        <v>325</v>
      </c>
      <c r="B772" t="s">
        <v>914</v>
      </c>
      <c r="C772">
        <v>31550</v>
      </c>
      <c r="D772">
        <v>-150</v>
      </c>
      <c r="E772">
        <v>-0.47</v>
      </c>
      <c r="F772" t="s">
        <v>397</v>
      </c>
      <c r="G772" t="s">
        <v>397</v>
      </c>
      <c r="H772" t="s">
        <v>397</v>
      </c>
      <c r="I772" t="s">
        <v>397</v>
      </c>
      <c r="J772" t="s">
        <v>397</v>
      </c>
      <c r="K772" t="s">
        <v>397</v>
      </c>
      <c r="L772">
        <v>505</v>
      </c>
      <c r="M772">
        <v>1.6</v>
      </c>
    </row>
    <row r="773" spans="1:13">
      <c r="A773" s="28">
        <v>27710</v>
      </c>
      <c r="B773" t="s">
        <v>915</v>
      </c>
      <c r="C773">
        <v>1563</v>
      </c>
      <c r="D773">
        <v>-10</v>
      </c>
      <c r="E773">
        <v>-0.64</v>
      </c>
      <c r="F773" t="s">
        <v>397</v>
      </c>
      <c r="G773" t="s">
        <v>397</v>
      </c>
      <c r="H773" t="s">
        <v>397</v>
      </c>
      <c r="I773" t="s">
        <v>397</v>
      </c>
      <c r="J773">
        <v>1860</v>
      </c>
      <c r="K773">
        <v>0.84</v>
      </c>
      <c r="L773">
        <v>25</v>
      </c>
      <c r="M773">
        <v>1.6</v>
      </c>
    </row>
    <row r="774" spans="1:13">
      <c r="A774" s="28">
        <v>41510</v>
      </c>
      <c r="B774" t="s">
        <v>916</v>
      </c>
      <c r="C774">
        <v>74900</v>
      </c>
      <c r="D774">
        <v>-200</v>
      </c>
      <c r="E774">
        <v>-0.27</v>
      </c>
      <c r="F774">
        <v>3390</v>
      </c>
      <c r="G774">
        <v>22.09</v>
      </c>
      <c r="H774">
        <v>5522</v>
      </c>
      <c r="I774">
        <v>13.56</v>
      </c>
      <c r="J774">
        <v>29467</v>
      </c>
      <c r="K774">
        <v>2.54</v>
      </c>
      <c r="L774">
        <v>1200</v>
      </c>
      <c r="M774">
        <v>1.6</v>
      </c>
    </row>
    <row r="775" spans="1:13">
      <c r="A775" s="28">
        <v>296640</v>
      </c>
      <c r="B775" t="s">
        <v>917</v>
      </c>
      <c r="C775">
        <v>6970</v>
      </c>
      <c r="D775">
        <v>-20</v>
      </c>
      <c r="E775">
        <v>-0.28999999999999998</v>
      </c>
      <c r="F775">
        <v>500</v>
      </c>
      <c r="G775">
        <v>13.94</v>
      </c>
      <c r="H775" t="s">
        <v>397</v>
      </c>
      <c r="I775" t="s">
        <v>397</v>
      </c>
      <c r="J775">
        <v>6096</v>
      </c>
      <c r="K775">
        <v>1.1399999999999999</v>
      </c>
      <c r="L775">
        <v>110</v>
      </c>
      <c r="M775">
        <v>1.58</v>
      </c>
    </row>
    <row r="776" spans="1:13">
      <c r="A776" s="28">
        <v>7980</v>
      </c>
      <c r="B776" t="s">
        <v>918</v>
      </c>
      <c r="C776">
        <v>1906</v>
      </c>
      <c r="D776">
        <v>47</v>
      </c>
      <c r="E776">
        <v>2.5299999999999998</v>
      </c>
      <c r="F776">
        <v>548</v>
      </c>
      <c r="G776">
        <v>3.48</v>
      </c>
      <c r="H776" t="s">
        <v>397</v>
      </c>
      <c r="I776" t="s">
        <v>397</v>
      </c>
      <c r="J776">
        <v>4369</v>
      </c>
      <c r="K776">
        <v>0.44</v>
      </c>
      <c r="L776">
        <v>30</v>
      </c>
      <c r="M776">
        <v>1.57</v>
      </c>
    </row>
    <row r="777" spans="1:13">
      <c r="A777" s="28">
        <v>38010</v>
      </c>
      <c r="B777" t="s">
        <v>919</v>
      </c>
      <c r="C777">
        <v>7650</v>
      </c>
      <c r="D777">
        <v>230</v>
      </c>
      <c r="E777">
        <v>3.1</v>
      </c>
      <c r="F777">
        <v>1299</v>
      </c>
      <c r="G777">
        <v>5.89</v>
      </c>
      <c r="H777" t="s">
        <v>397</v>
      </c>
      <c r="I777" t="s">
        <v>397</v>
      </c>
      <c r="J777">
        <v>10111</v>
      </c>
      <c r="K777">
        <v>0.76</v>
      </c>
      <c r="L777">
        <v>120</v>
      </c>
      <c r="M777">
        <v>1.57</v>
      </c>
    </row>
    <row r="778" spans="1:13">
      <c r="A778" s="28">
        <v>4710</v>
      </c>
      <c r="B778" t="s">
        <v>920</v>
      </c>
      <c r="C778">
        <v>6360</v>
      </c>
      <c r="D778">
        <v>-60</v>
      </c>
      <c r="E778">
        <v>-0.93</v>
      </c>
      <c r="F778">
        <v>468</v>
      </c>
      <c r="G778">
        <v>13.59</v>
      </c>
      <c r="H778" t="s">
        <v>397</v>
      </c>
      <c r="I778" t="s">
        <v>397</v>
      </c>
      <c r="J778">
        <v>9749</v>
      </c>
      <c r="K778">
        <v>0.65</v>
      </c>
      <c r="L778">
        <v>100</v>
      </c>
      <c r="M778">
        <v>1.57</v>
      </c>
    </row>
    <row r="779" spans="1:13">
      <c r="A779" s="28">
        <v>1525</v>
      </c>
      <c r="B779" t="s">
        <v>921</v>
      </c>
      <c r="C779">
        <v>5720</v>
      </c>
      <c r="D779">
        <v>-70</v>
      </c>
      <c r="E779">
        <v>-1.21</v>
      </c>
      <c r="F779" t="s">
        <v>397</v>
      </c>
      <c r="G779" t="s">
        <v>397</v>
      </c>
      <c r="H779" t="s">
        <v>397</v>
      </c>
      <c r="I779" t="s">
        <v>397</v>
      </c>
      <c r="J779" t="s">
        <v>397</v>
      </c>
      <c r="K779" t="s">
        <v>397</v>
      </c>
      <c r="L779">
        <v>90</v>
      </c>
      <c r="M779">
        <v>1.57</v>
      </c>
    </row>
    <row r="780" spans="1:13">
      <c r="A780" s="28">
        <v>60850</v>
      </c>
      <c r="B780" t="s">
        <v>922</v>
      </c>
      <c r="C780">
        <v>8930</v>
      </c>
      <c r="D780">
        <v>-10</v>
      </c>
      <c r="E780">
        <v>-0.11</v>
      </c>
      <c r="F780">
        <v>888</v>
      </c>
      <c r="G780">
        <v>10.06</v>
      </c>
      <c r="H780" t="s">
        <v>397</v>
      </c>
      <c r="I780" t="s">
        <v>397</v>
      </c>
      <c r="J780">
        <v>5441</v>
      </c>
      <c r="K780">
        <v>1.64</v>
      </c>
      <c r="L780">
        <v>140</v>
      </c>
      <c r="M780">
        <v>1.57</v>
      </c>
    </row>
    <row r="781" spans="1:13">
      <c r="A781" s="28">
        <v>123410</v>
      </c>
      <c r="B781" t="s">
        <v>923</v>
      </c>
      <c r="C781">
        <v>5140</v>
      </c>
      <c r="D781">
        <v>-400</v>
      </c>
      <c r="E781">
        <v>-7.22</v>
      </c>
      <c r="F781">
        <v>336</v>
      </c>
      <c r="G781">
        <v>15.3</v>
      </c>
      <c r="H781">
        <v>970</v>
      </c>
      <c r="I781">
        <v>5.3</v>
      </c>
      <c r="J781">
        <v>5157</v>
      </c>
      <c r="K781">
        <v>1</v>
      </c>
      <c r="L781">
        <v>80</v>
      </c>
      <c r="M781">
        <v>1.56</v>
      </c>
    </row>
    <row r="782" spans="1:13">
      <c r="A782" s="28">
        <v>9070</v>
      </c>
      <c r="B782" t="s">
        <v>924</v>
      </c>
      <c r="C782">
        <v>3855</v>
      </c>
      <c r="D782">
        <v>25</v>
      </c>
      <c r="E782">
        <v>0.65</v>
      </c>
      <c r="F782">
        <v>879</v>
      </c>
      <c r="G782">
        <v>4.3899999999999997</v>
      </c>
      <c r="H782" t="s">
        <v>397</v>
      </c>
      <c r="I782" t="s">
        <v>397</v>
      </c>
      <c r="J782">
        <v>8350</v>
      </c>
      <c r="K782">
        <v>0.46</v>
      </c>
      <c r="L782">
        <v>60</v>
      </c>
      <c r="M782">
        <v>1.56</v>
      </c>
    </row>
    <row r="783" spans="1:13">
      <c r="A783" s="28">
        <v>194700</v>
      </c>
      <c r="B783" t="s">
        <v>925</v>
      </c>
      <c r="C783">
        <v>9590</v>
      </c>
      <c r="D783">
        <v>-110</v>
      </c>
      <c r="E783">
        <v>-1.1299999999999999</v>
      </c>
      <c r="F783">
        <v>1206</v>
      </c>
      <c r="G783">
        <v>7.95</v>
      </c>
      <c r="H783" t="s">
        <v>397</v>
      </c>
      <c r="I783" t="s">
        <v>397</v>
      </c>
      <c r="J783">
        <v>10231</v>
      </c>
      <c r="K783">
        <v>0.94</v>
      </c>
      <c r="L783">
        <v>150</v>
      </c>
      <c r="M783">
        <v>1.56</v>
      </c>
    </row>
    <row r="784" spans="1:13">
      <c r="A784" s="28">
        <v>138080</v>
      </c>
      <c r="B784" t="s">
        <v>926</v>
      </c>
      <c r="C784">
        <v>12830</v>
      </c>
      <c r="D784">
        <v>-440</v>
      </c>
      <c r="E784">
        <v>-3.32</v>
      </c>
      <c r="F784" t="s">
        <v>397</v>
      </c>
      <c r="G784" t="s">
        <v>397</v>
      </c>
      <c r="H784" t="s">
        <v>397</v>
      </c>
      <c r="I784" t="s">
        <v>397</v>
      </c>
      <c r="J784">
        <v>14050</v>
      </c>
      <c r="K784">
        <v>0.91</v>
      </c>
      <c r="L784">
        <v>200</v>
      </c>
      <c r="M784">
        <v>1.56</v>
      </c>
    </row>
    <row r="785" spans="1:13">
      <c r="A785" s="28">
        <v>6890</v>
      </c>
      <c r="B785" t="s">
        <v>927</v>
      </c>
      <c r="C785">
        <v>12880</v>
      </c>
      <c r="D785">
        <v>20</v>
      </c>
      <c r="E785">
        <v>0.16</v>
      </c>
      <c r="F785">
        <v>782</v>
      </c>
      <c r="G785">
        <v>16.47</v>
      </c>
      <c r="H785" t="s">
        <v>397</v>
      </c>
      <c r="I785" t="s">
        <v>397</v>
      </c>
      <c r="J785">
        <v>12992</v>
      </c>
      <c r="K785">
        <v>0.99</v>
      </c>
      <c r="L785">
        <v>200</v>
      </c>
      <c r="M785">
        <v>1.55</v>
      </c>
    </row>
    <row r="786" spans="1:13">
      <c r="A786" s="28">
        <v>32750</v>
      </c>
      <c r="B786" t="s">
        <v>928</v>
      </c>
      <c r="C786">
        <v>5150</v>
      </c>
      <c r="D786">
        <v>20</v>
      </c>
      <c r="E786">
        <v>0.39</v>
      </c>
      <c r="F786">
        <v>210</v>
      </c>
      <c r="G786">
        <v>24.52</v>
      </c>
      <c r="H786" t="s">
        <v>397</v>
      </c>
      <c r="I786" t="s">
        <v>397</v>
      </c>
      <c r="J786">
        <v>10278</v>
      </c>
      <c r="K786">
        <v>0.5</v>
      </c>
      <c r="L786">
        <v>80</v>
      </c>
      <c r="M786">
        <v>1.55</v>
      </c>
    </row>
    <row r="787" spans="1:13">
      <c r="A787" s="28">
        <v>160980</v>
      </c>
      <c r="B787" t="s">
        <v>929</v>
      </c>
      <c r="C787">
        <v>19490</v>
      </c>
      <c r="D787">
        <v>-210</v>
      </c>
      <c r="E787">
        <v>-1.07</v>
      </c>
      <c r="F787">
        <v>761</v>
      </c>
      <c r="G787">
        <v>25.61</v>
      </c>
      <c r="H787" t="s">
        <v>397</v>
      </c>
      <c r="I787" t="s">
        <v>397</v>
      </c>
      <c r="J787">
        <v>14805</v>
      </c>
      <c r="K787">
        <v>1.32</v>
      </c>
      <c r="L787">
        <v>300</v>
      </c>
      <c r="M787">
        <v>1.54</v>
      </c>
    </row>
    <row r="788" spans="1:13">
      <c r="A788" s="28">
        <v>10040</v>
      </c>
      <c r="B788" t="s">
        <v>930</v>
      </c>
      <c r="C788">
        <v>2920</v>
      </c>
      <c r="D788">
        <v>-5</v>
      </c>
      <c r="E788">
        <v>-0.17</v>
      </c>
      <c r="F788">
        <v>23</v>
      </c>
      <c r="G788">
        <v>126.96</v>
      </c>
      <c r="H788" t="s">
        <v>397</v>
      </c>
      <c r="I788" t="s">
        <v>397</v>
      </c>
      <c r="J788">
        <v>6218</v>
      </c>
      <c r="K788">
        <v>0.47</v>
      </c>
      <c r="L788">
        <v>45</v>
      </c>
      <c r="M788">
        <v>1.54</v>
      </c>
    </row>
    <row r="789" spans="1:13">
      <c r="A789" s="28">
        <v>11280</v>
      </c>
      <c r="B789" t="s">
        <v>931</v>
      </c>
      <c r="C789">
        <v>3255</v>
      </c>
      <c r="D789">
        <v>-60</v>
      </c>
      <c r="E789">
        <v>-1.81</v>
      </c>
      <c r="F789">
        <v>253</v>
      </c>
      <c r="G789">
        <v>12.87</v>
      </c>
      <c r="H789" t="s">
        <v>397</v>
      </c>
      <c r="I789" t="s">
        <v>397</v>
      </c>
      <c r="J789">
        <v>4948</v>
      </c>
      <c r="K789">
        <v>0.66</v>
      </c>
      <c r="L789">
        <v>50</v>
      </c>
      <c r="M789">
        <v>1.54</v>
      </c>
    </row>
    <row r="790" spans="1:13">
      <c r="A790" s="28">
        <v>318000</v>
      </c>
      <c r="B790" t="s">
        <v>932</v>
      </c>
      <c r="C790">
        <v>8700</v>
      </c>
      <c r="D790">
        <v>-60</v>
      </c>
      <c r="E790">
        <v>-0.68</v>
      </c>
      <c r="F790">
        <v>399</v>
      </c>
      <c r="G790">
        <v>21.8</v>
      </c>
      <c r="H790" t="s">
        <v>397</v>
      </c>
      <c r="I790" t="s">
        <v>397</v>
      </c>
      <c r="J790">
        <v>4288</v>
      </c>
      <c r="K790">
        <v>2.0299999999999998</v>
      </c>
      <c r="L790">
        <v>134</v>
      </c>
      <c r="M790">
        <v>1.54</v>
      </c>
    </row>
    <row r="791" spans="1:13">
      <c r="A791" s="28">
        <v>1820</v>
      </c>
      <c r="B791" t="s">
        <v>933</v>
      </c>
      <c r="C791">
        <v>32500</v>
      </c>
      <c r="D791">
        <v>50</v>
      </c>
      <c r="E791">
        <v>0.15</v>
      </c>
      <c r="F791">
        <v>2840</v>
      </c>
      <c r="G791">
        <v>11.44</v>
      </c>
      <c r="H791">
        <v>2838</v>
      </c>
      <c r="I791">
        <v>11.45</v>
      </c>
      <c r="J791">
        <v>21828</v>
      </c>
      <c r="K791">
        <v>1.49</v>
      </c>
      <c r="L791">
        <v>500</v>
      </c>
      <c r="M791">
        <v>1.54</v>
      </c>
    </row>
    <row r="792" spans="1:13">
      <c r="A792" s="28">
        <v>161390</v>
      </c>
      <c r="B792" t="s">
        <v>934</v>
      </c>
      <c r="C792">
        <v>52400</v>
      </c>
      <c r="D792">
        <v>-300</v>
      </c>
      <c r="E792">
        <v>-0.56999999999999995</v>
      </c>
      <c r="F792">
        <v>5658</v>
      </c>
      <c r="G792">
        <v>9.26</v>
      </c>
      <c r="H792">
        <v>7697</v>
      </c>
      <c r="I792">
        <v>6.81</v>
      </c>
      <c r="J792">
        <v>72196</v>
      </c>
      <c r="K792">
        <v>0.73</v>
      </c>
      <c r="L792">
        <v>800</v>
      </c>
      <c r="M792">
        <v>1.53</v>
      </c>
    </row>
    <row r="793" spans="1:13">
      <c r="A793" s="28">
        <v>120030</v>
      </c>
      <c r="B793" t="s">
        <v>935</v>
      </c>
      <c r="C793">
        <v>98600</v>
      </c>
      <c r="D793">
        <v>100</v>
      </c>
      <c r="E793">
        <v>0.1</v>
      </c>
      <c r="F793">
        <v>10425</v>
      </c>
      <c r="G793">
        <v>9.4600000000000009</v>
      </c>
      <c r="H793" t="s">
        <v>397</v>
      </c>
      <c r="I793" t="s">
        <v>397</v>
      </c>
      <c r="J793">
        <v>134669</v>
      </c>
      <c r="K793">
        <v>0.73</v>
      </c>
      <c r="L793">
        <v>1500</v>
      </c>
      <c r="M793">
        <v>1.52</v>
      </c>
    </row>
    <row r="794" spans="1:13">
      <c r="A794" s="28">
        <v>79960</v>
      </c>
      <c r="B794" t="s">
        <v>936</v>
      </c>
      <c r="C794">
        <v>19700</v>
      </c>
      <c r="D794">
        <v>90</v>
      </c>
      <c r="E794">
        <v>0.46</v>
      </c>
      <c r="F794">
        <v>2921</v>
      </c>
      <c r="G794">
        <v>6.74</v>
      </c>
      <c r="H794" t="s">
        <v>397</v>
      </c>
      <c r="I794" t="s">
        <v>397</v>
      </c>
      <c r="J794">
        <v>35453</v>
      </c>
      <c r="K794">
        <v>0.56000000000000005</v>
      </c>
      <c r="L794">
        <v>300</v>
      </c>
      <c r="M794">
        <v>1.52</v>
      </c>
    </row>
    <row r="795" spans="1:13">
      <c r="A795" s="28">
        <v>319660</v>
      </c>
      <c r="B795" t="s">
        <v>937</v>
      </c>
      <c r="C795">
        <v>26500</v>
      </c>
      <c r="D795">
        <v>500</v>
      </c>
      <c r="E795">
        <v>1.92</v>
      </c>
      <c r="F795">
        <v>2665</v>
      </c>
      <c r="G795">
        <v>9.94</v>
      </c>
      <c r="H795">
        <v>2304</v>
      </c>
      <c r="I795">
        <v>11.5</v>
      </c>
      <c r="J795">
        <v>12197</v>
      </c>
      <c r="K795">
        <v>2.17</v>
      </c>
      <c r="L795">
        <v>400</v>
      </c>
      <c r="M795">
        <v>1.51</v>
      </c>
    </row>
    <row r="796" spans="1:13">
      <c r="A796" s="28">
        <v>6880</v>
      </c>
      <c r="B796" t="s">
        <v>938</v>
      </c>
      <c r="C796">
        <v>7930</v>
      </c>
      <c r="D796">
        <v>290</v>
      </c>
      <c r="E796">
        <v>3.8</v>
      </c>
      <c r="F796">
        <v>139</v>
      </c>
      <c r="G796">
        <v>57.05</v>
      </c>
      <c r="H796" t="s">
        <v>397</v>
      </c>
      <c r="I796" t="s">
        <v>397</v>
      </c>
      <c r="J796">
        <v>8832</v>
      </c>
      <c r="K796">
        <v>0.9</v>
      </c>
      <c r="L796">
        <v>120</v>
      </c>
      <c r="M796">
        <v>1.51</v>
      </c>
    </row>
    <row r="797" spans="1:13">
      <c r="A797" s="28">
        <v>6140</v>
      </c>
      <c r="B797" t="s">
        <v>939</v>
      </c>
      <c r="C797">
        <v>6640</v>
      </c>
      <c r="D797">
        <v>-60</v>
      </c>
      <c r="E797">
        <v>-0.9</v>
      </c>
      <c r="F797">
        <v>468</v>
      </c>
      <c r="G797">
        <v>14.19</v>
      </c>
      <c r="H797" t="s">
        <v>397</v>
      </c>
      <c r="I797" t="s">
        <v>397</v>
      </c>
      <c r="J797">
        <v>8116</v>
      </c>
      <c r="K797">
        <v>0.82</v>
      </c>
      <c r="L797">
        <v>100</v>
      </c>
      <c r="M797">
        <v>1.51</v>
      </c>
    </row>
    <row r="798" spans="1:13">
      <c r="A798" s="28">
        <v>204320</v>
      </c>
      <c r="B798" t="s">
        <v>940</v>
      </c>
      <c r="C798">
        <v>33200</v>
      </c>
      <c r="D798">
        <v>100</v>
      </c>
      <c r="E798">
        <v>0.3</v>
      </c>
      <c r="F798">
        <v>2096</v>
      </c>
      <c r="G798">
        <v>15.84</v>
      </c>
      <c r="H798">
        <v>4741</v>
      </c>
      <c r="I798">
        <v>7</v>
      </c>
      <c r="J798">
        <v>45998</v>
      </c>
      <c r="K798">
        <v>0.72</v>
      </c>
      <c r="L798">
        <v>500</v>
      </c>
      <c r="M798">
        <v>1.51</v>
      </c>
    </row>
    <row r="799" spans="1:13">
      <c r="A799" s="28">
        <v>35200</v>
      </c>
      <c r="B799" t="s">
        <v>941</v>
      </c>
      <c r="C799">
        <v>3330</v>
      </c>
      <c r="D799">
        <v>-5</v>
      </c>
      <c r="E799">
        <v>-0.15</v>
      </c>
      <c r="F799">
        <v>156</v>
      </c>
      <c r="G799">
        <v>21.35</v>
      </c>
      <c r="H799" t="s">
        <v>397</v>
      </c>
      <c r="I799" t="s">
        <v>397</v>
      </c>
      <c r="J799">
        <v>4351</v>
      </c>
      <c r="K799">
        <v>0.77</v>
      </c>
      <c r="L799">
        <v>50</v>
      </c>
      <c r="M799">
        <v>1.5</v>
      </c>
    </row>
    <row r="800" spans="1:13">
      <c r="A800" s="28">
        <v>24060</v>
      </c>
      <c r="B800" t="s">
        <v>942</v>
      </c>
      <c r="C800">
        <v>9990</v>
      </c>
      <c r="D800">
        <v>300</v>
      </c>
      <c r="E800">
        <v>3.1</v>
      </c>
      <c r="F800">
        <v>183</v>
      </c>
      <c r="G800">
        <v>54.59</v>
      </c>
      <c r="H800" t="s">
        <v>397</v>
      </c>
      <c r="I800" t="s">
        <v>397</v>
      </c>
      <c r="J800">
        <v>5508</v>
      </c>
      <c r="K800">
        <v>1.81</v>
      </c>
      <c r="L800">
        <v>150</v>
      </c>
      <c r="M800">
        <v>1.5</v>
      </c>
    </row>
    <row r="801" spans="1:13">
      <c r="A801" s="28">
        <v>5160</v>
      </c>
      <c r="B801" t="s">
        <v>943</v>
      </c>
      <c r="C801">
        <v>8680</v>
      </c>
      <c r="D801">
        <v>1330</v>
      </c>
      <c r="E801">
        <v>18.100000000000001</v>
      </c>
      <c r="F801">
        <v>125</v>
      </c>
      <c r="G801">
        <v>69.44</v>
      </c>
      <c r="H801">
        <v>157</v>
      </c>
      <c r="I801">
        <v>55.39</v>
      </c>
      <c r="J801">
        <v>7762</v>
      </c>
      <c r="K801">
        <v>1.1200000000000001</v>
      </c>
      <c r="L801">
        <v>130</v>
      </c>
      <c r="M801">
        <v>1.5</v>
      </c>
    </row>
    <row r="802" spans="1:13">
      <c r="A802" s="28">
        <v>14940</v>
      </c>
      <c r="B802" t="s">
        <v>944</v>
      </c>
      <c r="C802">
        <v>3345</v>
      </c>
      <c r="D802">
        <v>-5</v>
      </c>
      <c r="E802">
        <v>-0.15</v>
      </c>
      <c r="F802">
        <v>184</v>
      </c>
      <c r="G802">
        <v>18.18</v>
      </c>
      <c r="H802" t="s">
        <v>397</v>
      </c>
      <c r="I802" t="s">
        <v>397</v>
      </c>
      <c r="J802">
        <v>1862</v>
      </c>
      <c r="K802">
        <v>1.8</v>
      </c>
      <c r="L802">
        <v>50</v>
      </c>
      <c r="M802">
        <v>1.49</v>
      </c>
    </row>
    <row r="803" spans="1:13">
      <c r="A803" s="28">
        <v>6260</v>
      </c>
      <c r="B803" t="s">
        <v>945</v>
      </c>
      <c r="C803">
        <v>104100</v>
      </c>
      <c r="D803">
        <v>2800</v>
      </c>
      <c r="E803">
        <v>2.76</v>
      </c>
      <c r="F803">
        <v>16306</v>
      </c>
      <c r="G803">
        <v>6.38</v>
      </c>
      <c r="H803">
        <v>12619</v>
      </c>
      <c r="I803">
        <v>8.25</v>
      </c>
      <c r="J803">
        <v>144965</v>
      </c>
      <c r="K803">
        <v>0.72</v>
      </c>
      <c r="L803">
        <v>1550</v>
      </c>
      <c r="M803">
        <v>1.49</v>
      </c>
    </row>
    <row r="804" spans="1:13">
      <c r="A804" s="28">
        <v>12330</v>
      </c>
      <c r="B804" t="s">
        <v>946</v>
      </c>
      <c r="C804">
        <v>269000</v>
      </c>
      <c r="D804">
        <v>4000</v>
      </c>
      <c r="E804">
        <v>1.51</v>
      </c>
      <c r="F804">
        <v>27163</v>
      </c>
      <c r="G804">
        <v>9.9</v>
      </c>
      <c r="H804">
        <v>40324</v>
      </c>
      <c r="I804">
        <v>6.67</v>
      </c>
      <c r="J804">
        <v>410816</v>
      </c>
      <c r="K804">
        <v>0.65</v>
      </c>
      <c r="L804">
        <v>4000</v>
      </c>
      <c r="M804">
        <v>1.49</v>
      </c>
    </row>
    <row r="805" spans="1:13">
      <c r="A805" s="28">
        <v>28260</v>
      </c>
      <c r="B805" t="s">
        <v>947</v>
      </c>
      <c r="C805">
        <v>154100</v>
      </c>
      <c r="D805">
        <v>-16700</v>
      </c>
      <c r="E805">
        <v>-9.7799999999999994</v>
      </c>
      <c r="F805">
        <v>12460</v>
      </c>
      <c r="G805">
        <v>12.37</v>
      </c>
      <c r="H805">
        <v>12830</v>
      </c>
      <c r="I805">
        <v>12.01</v>
      </c>
      <c r="J805">
        <v>164524</v>
      </c>
      <c r="K805">
        <v>0.94</v>
      </c>
      <c r="L805">
        <v>2300</v>
      </c>
      <c r="M805">
        <v>1.49</v>
      </c>
    </row>
    <row r="806" spans="1:13">
      <c r="A806" s="28">
        <v>60250</v>
      </c>
      <c r="B806" t="s">
        <v>948</v>
      </c>
      <c r="C806">
        <v>13440</v>
      </c>
      <c r="D806">
        <v>-360</v>
      </c>
      <c r="E806">
        <v>-2.61</v>
      </c>
      <c r="F806">
        <v>903</v>
      </c>
      <c r="G806">
        <v>14.88</v>
      </c>
      <c r="H806">
        <v>1053</v>
      </c>
      <c r="I806">
        <v>12.76</v>
      </c>
      <c r="J806">
        <v>5131</v>
      </c>
      <c r="K806">
        <v>2.62</v>
      </c>
      <c r="L806">
        <v>200</v>
      </c>
      <c r="M806">
        <v>1.49</v>
      </c>
    </row>
    <row r="807" spans="1:13">
      <c r="A807" s="28">
        <v>134790</v>
      </c>
      <c r="B807" t="s">
        <v>949</v>
      </c>
      <c r="C807">
        <v>26850</v>
      </c>
      <c r="D807">
        <v>-250</v>
      </c>
      <c r="E807">
        <v>-0.92</v>
      </c>
      <c r="F807">
        <v>1516</v>
      </c>
      <c r="G807">
        <v>17.71</v>
      </c>
      <c r="H807" t="s">
        <v>397</v>
      </c>
      <c r="I807" t="s">
        <v>397</v>
      </c>
      <c r="J807">
        <v>37778</v>
      </c>
      <c r="K807">
        <v>0.71</v>
      </c>
      <c r="L807">
        <v>400</v>
      </c>
      <c r="M807">
        <v>1.49</v>
      </c>
    </row>
    <row r="808" spans="1:13">
      <c r="A808" s="28">
        <v>200780</v>
      </c>
      <c r="B808" t="s">
        <v>950</v>
      </c>
      <c r="C808">
        <v>6690</v>
      </c>
      <c r="D808">
        <v>0</v>
      </c>
      <c r="E808">
        <v>0</v>
      </c>
      <c r="F808">
        <v>33</v>
      </c>
      <c r="G808">
        <v>202.73</v>
      </c>
      <c r="H808" t="s">
        <v>397</v>
      </c>
      <c r="I808" t="s">
        <v>397</v>
      </c>
      <c r="J808">
        <v>9427</v>
      </c>
      <c r="K808">
        <v>0.71</v>
      </c>
      <c r="L808">
        <v>100</v>
      </c>
      <c r="M808">
        <v>1.49</v>
      </c>
    </row>
    <row r="809" spans="1:13">
      <c r="A809" s="28">
        <v>50</v>
      </c>
      <c r="B809" t="s">
        <v>951</v>
      </c>
      <c r="C809">
        <v>8470</v>
      </c>
      <c r="D809">
        <v>-140</v>
      </c>
      <c r="E809">
        <v>-1.63</v>
      </c>
      <c r="F809">
        <v>177</v>
      </c>
      <c r="G809">
        <v>47.85</v>
      </c>
      <c r="H809" t="s">
        <v>397</v>
      </c>
      <c r="I809" t="s">
        <v>397</v>
      </c>
      <c r="J809">
        <v>30304</v>
      </c>
      <c r="K809">
        <v>0.28000000000000003</v>
      </c>
      <c r="L809">
        <v>125</v>
      </c>
      <c r="M809">
        <v>1.48</v>
      </c>
    </row>
    <row r="810" spans="1:13">
      <c r="A810" s="28">
        <v>19010</v>
      </c>
      <c r="B810" t="s">
        <v>952</v>
      </c>
      <c r="C810">
        <v>2025</v>
      </c>
      <c r="D810">
        <v>-45</v>
      </c>
      <c r="E810">
        <v>-2.17</v>
      </c>
      <c r="F810" t="s">
        <v>397</v>
      </c>
      <c r="G810" t="s">
        <v>397</v>
      </c>
      <c r="H810" t="s">
        <v>397</v>
      </c>
      <c r="I810" t="s">
        <v>397</v>
      </c>
      <c r="J810">
        <v>7548</v>
      </c>
      <c r="K810">
        <v>0.27</v>
      </c>
      <c r="L810">
        <v>30</v>
      </c>
      <c r="M810">
        <v>1.48</v>
      </c>
    </row>
    <row r="811" spans="1:13">
      <c r="A811" s="28">
        <v>150900</v>
      </c>
      <c r="B811" t="s">
        <v>953</v>
      </c>
      <c r="C811">
        <v>6820</v>
      </c>
      <c r="D811">
        <v>-30</v>
      </c>
      <c r="E811">
        <v>-0.44</v>
      </c>
      <c r="F811">
        <v>456</v>
      </c>
      <c r="G811">
        <v>14.96</v>
      </c>
      <c r="H811" t="s">
        <v>397</v>
      </c>
      <c r="I811" t="s">
        <v>397</v>
      </c>
      <c r="J811">
        <v>2799</v>
      </c>
      <c r="K811">
        <v>2.44</v>
      </c>
      <c r="L811">
        <v>100</v>
      </c>
      <c r="M811">
        <v>1.47</v>
      </c>
    </row>
    <row r="812" spans="1:13">
      <c r="A812" s="28">
        <v>14440</v>
      </c>
      <c r="B812" t="s">
        <v>954</v>
      </c>
      <c r="C812">
        <v>3410</v>
      </c>
      <c r="D812">
        <v>20</v>
      </c>
      <c r="E812">
        <v>0.59</v>
      </c>
      <c r="F812">
        <v>343</v>
      </c>
      <c r="G812">
        <v>9.94</v>
      </c>
      <c r="H812" t="s">
        <v>397</v>
      </c>
      <c r="I812" t="s">
        <v>397</v>
      </c>
      <c r="J812">
        <v>8125</v>
      </c>
      <c r="K812">
        <v>0.42</v>
      </c>
      <c r="L812">
        <v>50</v>
      </c>
      <c r="M812">
        <v>1.47</v>
      </c>
    </row>
    <row r="813" spans="1:13">
      <c r="A813" s="28">
        <v>405100</v>
      </c>
      <c r="B813" t="s">
        <v>955</v>
      </c>
      <c r="C813">
        <v>32550</v>
      </c>
      <c r="D813">
        <v>-1350</v>
      </c>
      <c r="E813">
        <v>-3.98</v>
      </c>
      <c r="F813">
        <v>241</v>
      </c>
      <c r="G813">
        <v>135.06</v>
      </c>
      <c r="H813" t="s">
        <v>397</v>
      </c>
      <c r="I813" t="s">
        <v>397</v>
      </c>
      <c r="J813">
        <v>2905</v>
      </c>
      <c r="K813">
        <v>11.2</v>
      </c>
      <c r="L813">
        <v>480</v>
      </c>
      <c r="M813">
        <v>1.47</v>
      </c>
    </row>
    <row r="814" spans="1:13">
      <c r="A814" s="28">
        <v>90460</v>
      </c>
      <c r="B814" t="s">
        <v>956</v>
      </c>
      <c r="C814">
        <v>17080</v>
      </c>
      <c r="D814">
        <v>60</v>
      </c>
      <c r="E814">
        <v>0.35</v>
      </c>
      <c r="F814">
        <v>4551</v>
      </c>
      <c r="G814">
        <v>3.75</v>
      </c>
      <c r="H814">
        <v>2974</v>
      </c>
      <c r="I814">
        <v>5.74</v>
      </c>
      <c r="J814">
        <v>17692</v>
      </c>
      <c r="K814">
        <v>0.97</v>
      </c>
      <c r="L814">
        <v>250</v>
      </c>
      <c r="M814">
        <v>1.46</v>
      </c>
    </row>
    <row r="815" spans="1:13">
      <c r="A815" s="28">
        <v>272210</v>
      </c>
      <c r="B815" t="s">
        <v>957</v>
      </c>
      <c r="C815">
        <v>17110</v>
      </c>
      <c r="D815">
        <v>-360</v>
      </c>
      <c r="E815">
        <v>-2.06</v>
      </c>
      <c r="F815" t="s">
        <v>397</v>
      </c>
      <c r="G815" t="s">
        <v>397</v>
      </c>
      <c r="H815">
        <v>621</v>
      </c>
      <c r="I815">
        <v>27.57</v>
      </c>
      <c r="J815">
        <v>10697</v>
      </c>
      <c r="K815">
        <v>1.6</v>
      </c>
      <c r="L815">
        <v>250</v>
      </c>
      <c r="M815">
        <v>1.46</v>
      </c>
    </row>
    <row r="816" spans="1:13">
      <c r="A816" s="28">
        <v>6280</v>
      </c>
      <c r="B816" t="s">
        <v>958</v>
      </c>
      <c r="C816">
        <v>119500</v>
      </c>
      <c r="D816">
        <v>-1000</v>
      </c>
      <c r="E816">
        <v>-0.83</v>
      </c>
      <c r="F816">
        <v>5735</v>
      </c>
      <c r="G816">
        <v>20.84</v>
      </c>
      <c r="H816">
        <v>2368</v>
      </c>
      <c r="I816">
        <v>50.47</v>
      </c>
      <c r="J816">
        <v>116367</v>
      </c>
      <c r="K816">
        <v>1.03</v>
      </c>
      <c r="L816">
        <v>1750</v>
      </c>
      <c r="M816">
        <v>1.46</v>
      </c>
    </row>
    <row r="817" spans="1:13">
      <c r="A817" s="28">
        <v>272290</v>
      </c>
      <c r="B817" t="s">
        <v>959</v>
      </c>
      <c r="C817">
        <v>31050</v>
      </c>
      <c r="D817">
        <v>-200</v>
      </c>
      <c r="E817">
        <v>-0.64</v>
      </c>
      <c r="F817">
        <v>4316</v>
      </c>
      <c r="G817">
        <v>7.19</v>
      </c>
      <c r="H817">
        <v>2946</v>
      </c>
      <c r="I817">
        <v>10.54</v>
      </c>
      <c r="J817">
        <v>19465</v>
      </c>
      <c r="K817">
        <v>1.6</v>
      </c>
      <c r="L817">
        <v>450</v>
      </c>
      <c r="M817">
        <v>1.45</v>
      </c>
    </row>
    <row r="818" spans="1:13">
      <c r="A818" s="28">
        <v>80470</v>
      </c>
      <c r="B818" t="s">
        <v>960</v>
      </c>
      <c r="C818">
        <v>4820</v>
      </c>
      <c r="D818">
        <v>5</v>
      </c>
      <c r="E818">
        <v>0.1</v>
      </c>
      <c r="F818">
        <v>321</v>
      </c>
      <c r="G818">
        <v>15.02</v>
      </c>
      <c r="H818" t="s">
        <v>397</v>
      </c>
      <c r="I818" t="s">
        <v>397</v>
      </c>
      <c r="J818">
        <v>6008</v>
      </c>
      <c r="K818">
        <v>0.8</v>
      </c>
      <c r="L818">
        <v>70</v>
      </c>
      <c r="M818">
        <v>1.45</v>
      </c>
    </row>
    <row r="819" spans="1:13">
      <c r="A819" s="28">
        <v>69730</v>
      </c>
      <c r="B819" t="s">
        <v>961</v>
      </c>
      <c r="C819">
        <v>4135</v>
      </c>
      <c r="D819">
        <v>-5</v>
      </c>
      <c r="E819">
        <v>-0.12</v>
      </c>
      <c r="F819">
        <v>2009</v>
      </c>
      <c r="G819">
        <v>2.06</v>
      </c>
      <c r="H819" t="s">
        <v>397</v>
      </c>
      <c r="I819" t="s">
        <v>397</v>
      </c>
      <c r="J819">
        <v>12715</v>
      </c>
      <c r="K819">
        <v>0.33</v>
      </c>
      <c r="L819">
        <v>60</v>
      </c>
      <c r="M819">
        <v>1.45</v>
      </c>
    </row>
    <row r="820" spans="1:13">
      <c r="A820" s="28">
        <v>9150</v>
      </c>
      <c r="B820" t="s">
        <v>962</v>
      </c>
      <c r="C820">
        <v>145600</v>
      </c>
      <c r="D820">
        <v>1100</v>
      </c>
      <c r="E820">
        <v>0.76</v>
      </c>
      <c r="F820">
        <v>12977</v>
      </c>
      <c r="G820">
        <v>11.22</v>
      </c>
      <c r="H820">
        <v>8484</v>
      </c>
      <c r="I820">
        <v>17.16</v>
      </c>
      <c r="J820">
        <v>103702</v>
      </c>
      <c r="K820">
        <v>1.4</v>
      </c>
      <c r="L820">
        <v>2100</v>
      </c>
      <c r="M820">
        <v>1.44</v>
      </c>
    </row>
    <row r="821" spans="1:13">
      <c r="A821" s="28">
        <v>51500</v>
      </c>
      <c r="B821" t="s">
        <v>963</v>
      </c>
      <c r="C821">
        <v>24300</v>
      </c>
      <c r="D821">
        <v>50</v>
      </c>
      <c r="E821">
        <v>0.21</v>
      </c>
      <c r="F821">
        <v>4136</v>
      </c>
      <c r="G821">
        <v>5.88</v>
      </c>
      <c r="H821">
        <v>5584</v>
      </c>
      <c r="I821">
        <v>4.3499999999999996</v>
      </c>
      <c r="J821">
        <v>25929</v>
      </c>
      <c r="K821">
        <v>0.94</v>
      </c>
      <c r="L821">
        <v>350</v>
      </c>
      <c r="M821">
        <v>1.44</v>
      </c>
    </row>
    <row r="822" spans="1:13">
      <c r="A822" s="28">
        <v>290720</v>
      </c>
      <c r="B822" t="s">
        <v>964</v>
      </c>
      <c r="C822">
        <v>6950</v>
      </c>
      <c r="D822">
        <v>50</v>
      </c>
      <c r="E822">
        <v>0.72</v>
      </c>
      <c r="F822" t="s">
        <v>397</v>
      </c>
      <c r="G822" t="s">
        <v>397</v>
      </c>
      <c r="H822" t="s">
        <v>397</v>
      </c>
      <c r="I822" t="s">
        <v>397</v>
      </c>
      <c r="J822">
        <v>3672</v>
      </c>
      <c r="K822">
        <v>1.89</v>
      </c>
      <c r="L822">
        <v>100</v>
      </c>
      <c r="M822">
        <v>1.44</v>
      </c>
    </row>
    <row r="823" spans="1:13">
      <c r="A823" s="28">
        <v>151860</v>
      </c>
      <c r="B823" t="s">
        <v>965</v>
      </c>
      <c r="C823">
        <v>10410</v>
      </c>
      <c r="D823">
        <v>130</v>
      </c>
      <c r="E823">
        <v>1.26</v>
      </c>
      <c r="F823">
        <v>13572</v>
      </c>
      <c r="G823">
        <v>0.77</v>
      </c>
      <c r="H823" t="s">
        <v>397</v>
      </c>
      <c r="I823" t="s">
        <v>397</v>
      </c>
      <c r="J823">
        <v>22772</v>
      </c>
      <c r="K823">
        <v>0.46</v>
      </c>
      <c r="L823">
        <v>150</v>
      </c>
      <c r="M823">
        <v>1.44</v>
      </c>
    </row>
    <row r="824" spans="1:13">
      <c r="A824" s="28">
        <v>2240</v>
      </c>
      <c r="B824" t="s">
        <v>966</v>
      </c>
      <c r="C824">
        <v>21050</v>
      </c>
      <c r="D824">
        <v>-350</v>
      </c>
      <c r="E824">
        <v>-1.64</v>
      </c>
      <c r="F824">
        <v>3242</v>
      </c>
      <c r="G824">
        <v>6.49</v>
      </c>
      <c r="H824" t="s">
        <v>397</v>
      </c>
      <c r="I824" t="s">
        <v>397</v>
      </c>
      <c r="J824">
        <v>64024</v>
      </c>
      <c r="K824">
        <v>0.33</v>
      </c>
      <c r="L824">
        <v>300</v>
      </c>
      <c r="M824">
        <v>1.43</v>
      </c>
    </row>
    <row r="825" spans="1:13">
      <c r="A825" s="28">
        <v>318010</v>
      </c>
      <c r="B825" t="s">
        <v>967</v>
      </c>
      <c r="C825">
        <v>6980</v>
      </c>
      <c r="D825">
        <v>-10</v>
      </c>
      <c r="E825">
        <v>-0.14000000000000001</v>
      </c>
      <c r="F825">
        <v>518</v>
      </c>
      <c r="G825">
        <v>13.47</v>
      </c>
      <c r="H825" t="s">
        <v>397</v>
      </c>
      <c r="I825" t="s">
        <v>397</v>
      </c>
      <c r="J825">
        <v>7973</v>
      </c>
      <c r="K825">
        <v>0.88</v>
      </c>
      <c r="L825">
        <v>100</v>
      </c>
      <c r="M825">
        <v>1.43</v>
      </c>
    </row>
    <row r="826" spans="1:13">
      <c r="A826" s="28">
        <v>12200</v>
      </c>
      <c r="B826" t="s">
        <v>968</v>
      </c>
      <c r="C826">
        <v>1750</v>
      </c>
      <c r="D826">
        <v>40</v>
      </c>
      <c r="E826">
        <v>2.34</v>
      </c>
      <c r="F826" t="s">
        <v>397</v>
      </c>
      <c r="G826" t="s">
        <v>397</v>
      </c>
      <c r="H826" t="s">
        <v>397</v>
      </c>
      <c r="I826" t="s">
        <v>397</v>
      </c>
      <c r="J826">
        <v>3924</v>
      </c>
      <c r="K826">
        <v>0.45</v>
      </c>
      <c r="L826">
        <v>25</v>
      </c>
      <c r="M826">
        <v>1.43</v>
      </c>
    </row>
    <row r="827" spans="1:13">
      <c r="A827" s="28">
        <v>1200</v>
      </c>
      <c r="B827" t="s">
        <v>969</v>
      </c>
      <c r="C827">
        <v>4200</v>
      </c>
      <c r="D827">
        <v>-105</v>
      </c>
      <c r="E827">
        <v>-2.44</v>
      </c>
      <c r="F827">
        <v>168</v>
      </c>
      <c r="G827">
        <v>25</v>
      </c>
      <c r="H827" t="s">
        <v>397</v>
      </c>
      <c r="I827" t="s">
        <v>397</v>
      </c>
      <c r="J827">
        <v>10623</v>
      </c>
      <c r="K827">
        <v>0.4</v>
      </c>
      <c r="L827">
        <v>60</v>
      </c>
      <c r="M827">
        <v>1.43</v>
      </c>
    </row>
    <row r="828" spans="1:13">
      <c r="A828" s="28">
        <v>12610</v>
      </c>
      <c r="B828" t="s">
        <v>970</v>
      </c>
      <c r="C828">
        <v>3500</v>
      </c>
      <c r="D828">
        <v>-20</v>
      </c>
      <c r="E828">
        <v>-0.56999999999999995</v>
      </c>
      <c r="F828">
        <v>345</v>
      </c>
      <c r="G828">
        <v>10.14</v>
      </c>
      <c r="H828" t="s">
        <v>397</v>
      </c>
      <c r="I828" t="s">
        <v>397</v>
      </c>
      <c r="J828">
        <v>5831</v>
      </c>
      <c r="K828">
        <v>0.6</v>
      </c>
      <c r="L828">
        <v>50</v>
      </c>
      <c r="M828">
        <v>1.43</v>
      </c>
    </row>
    <row r="829" spans="1:13">
      <c r="A829" s="28">
        <v>273060</v>
      </c>
      <c r="B829" t="s">
        <v>971</v>
      </c>
      <c r="C829">
        <v>1410</v>
      </c>
      <c r="D829">
        <v>-1</v>
      </c>
      <c r="E829">
        <v>-7.0000000000000007E-2</v>
      </c>
      <c r="F829">
        <v>45</v>
      </c>
      <c r="G829">
        <v>31.33</v>
      </c>
      <c r="H829" t="s">
        <v>397</v>
      </c>
      <c r="I829" t="s">
        <v>397</v>
      </c>
      <c r="J829">
        <v>907</v>
      </c>
      <c r="K829">
        <v>1.55</v>
      </c>
      <c r="L829">
        <v>20</v>
      </c>
      <c r="M829">
        <v>1.42</v>
      </c>
    </row>
    <row r="830" spans="1:13">
      <c r="A830" s="28">
        <v>53080</v>
      </c>
      <c r="B830" t="s">
        <v>972</v>
      </c>
      <c r="C830">
        <v>21300</v>
      </c>
      <c r="D830">
        <v>-1500</v>
      </c>
      <c r="E830">
        <v>-6.58</v>
      </c>
      <c r="F830">
        <v>1227</v>
      </c>
      <c r="G830">
        <v>17.36</v>
      </c>
      <c r="H830" t="s">
        <v>397</v>
      </c>
      <c r="I830" t="s">
        <v>397</v>
      </c>
      <c r="J830">
        <v>12192</v>
      </c>
      <c r="K830">
        <v>1.75</v>
      </c>
      <c r="L830">
        <v>300</v>
      </c>
      <c r="M830">
        <v>1.41</v>
      </c>
    </row>
    <row r="831" spans="1:13">
      <c r="A831" s="28">
        <v>14285</v>
      </c>
      <c r="B831" t="s">
        <v>973</v>
      </c>
      <c r="C831">
        <v>9210</v>
      </c>
      <c r="D831">
        <v>-10</v>
      </c>
      <c r="E831">
        <v>-0.11</v>
      </c>
      <c r="F831" t="s">
        <v>397</v>
      </c>
      <c r="G831" t="s">
        <v>397</v>
      </c>
      <c r="H831" t="s">
        <v>397</v>
      </c>
      <c r="I831" t="s">
        <v>397</v>
      </c>
      <c r="J831" t="s">
        <v>397</v>
      </c>
      <c r="K831" t="s">
        <v>397</v>
      </c>
      <c r="L831">
        <v>130</v>
      </c>
      <c r="M831">
        <v>1.41</v>
      </c>
    </row>
    <row r="832" spans="1:13">
      <c r="A832" s="28">
        <v>9290</v>
      </c>
      <c r="B832" t="s">
        <v>974</v>
      </c>
      <c r="C832">
        <v>7080</v>
      </c>
      <c r="D832">
        <v>-60</v>
      </c>
      <c r="E832">
        <v>-0.84</v>
      </c>
      <c r="F832">
        <v>588</v>
      </c>
      <c r="G832">
        <v>12.04</v>
      </c>
      <c r="H832" t="s">
        <v>397</v>
      </c>
      <c r="I832" t="s">
        <v>397</v>
      </c>
      <c r="J832">
        <v>12593</v>
      </c>
      <c r="K832">
        <v>0.56000000000000005</v>
      </c>
      <c r="L832">
        <v>100</v>
      </c>
      <c r="M832">
        <v>1.41</v>
      </c>
    </row>
    <row r="833" spans="1:13">
      <c r="A833" s="28">
        <v>67080</v>
      </c>
      <c r="B833" t="s">
        <v>975</v>
      </c>
      <c r="C833">
        <v>10610</v>
      </c>
      <c r="D833">
        <v>-580</v>
      </c>
      <c r="E833">
        <v>-5.18</v>
      </c>
      <c r="F833">
        <v>64</v>
      </c>
      <c r="G833">
        <v>165.78</v>
      </c>
      <c r="H833" t="s">
        <v>397</v>
      </c>
      <c r="I833" t="s">
        <v>397</v>
      </c>
      <c r="J833">
        <v>4452</v>
      </c>
      <c r="K833">
        <v>2.38</v>
      </c>
      <c r="L833">
        <v>150</v>
      </c>
      <c r="M833">
        <v>1.41</v>
      </c>
    </row>
    <row r="834" spans="1:13">
      <c r="A834" s="28">
        <v>65510</v>
      </c>
      <c r="B834" t="s">
        <v>976</v>
      </c>
      <c r="C834">
        <v>14160</v>
      </c>
      <c r="D834">
        <v>-530</v>
      </c>
      <c r="E834">
        <v>-3.61</v>
      </c>
      <c r="F834">
        <v>1610</v>
      </c>
      <c r="G834">
        <v>8.8000000000000007</v>
      </c>
      <c r="H834">
        <v>2013</v>
      </c>
      <c r="I834">
        <v>7.03</v>
      </c>
      <c r="J834">
        <v>9709</v>
      </c>
      <c r="K834">
        <v>1.46</v>
      </c>
      <c r="L834">
        <v>200</v>
      </c>
      <c r="M834">
        <v>1.41</v>
      </c>
    </row>
    <row r="835" spans="1:13">
      <c r="A835" s="28">
        <v>192080</v>
      </c>
      <c r="B835" t="s">
        <v>977</v>
      </c>
      <c r="C835">
        <v>42800</v>
      </c>
      <c r="D835">
        <v>1700</v>
      </c>
      <c r="E835">
        <v>4.1399999999999997</v>
      </c>
      <c r="F835" t="s">
        <v>397</v>
      </c>
      <c r="G835" t="s">
        <v>397</v>
      </c>
      <c r="H835">
        <v>7889</v>
      </c>
      <c r="I835">
        <v>5.43</v>
      </c>
      <c r="J835">
        <v>37154</v>
      </c>
      <c r="K835">
        <v>1.1499999999999999</v>
      </c>
      <c r="L835">
        <v>600</v>
      </c>
      <c r="M835">
        <v>1.4</v>
      </c>
    </row>
    <row r="836" spans="1:13">
      <c r="A836" s="28">
        <v>110990</v>
      </c>
      <c r="B836" t="s">
        <v>978</v>
      </c>
      <c r="C836">
        <v>21500</v>
      </c>
      <c r="D836">
        <v>1500</v>
      </c>
      <c r="E836">
        <v>7.5</v>
      </c>
      <c r="F836">
        <v>508</v>
      </c>
      <c r="G836">
        <v>42.32</v>
      </c>
      <c r="H836" t="s">
        <v>397</v>
      </c>
      <c r="I836" t="s">
        <v>397</v>
      </c>
      <c r="J836">
        <v>9727</v>
      </c>
      <c r="K836">
        <v>2.21</v>
      </c>
      <c r="L836">
        <v>300</v>
      </c>
      <c r="M836">
        <v>1.4</v>
      </c>
    </row>
    <row r="837" spans="1:13">
      <c r="A837" s="28">
        <v>155660</v>
      </c>
      <c r="B837" t="s">
        <v>979</v>
      </c>
      <c r="C837">
        <v>4295</v>
      </c>
      <c r="D837">
        <v>-10</v>
      </c>
      <c r="E837">
        <v>-0.23</v>
      </c>
      <c r="F837">
        <v>1502</v>
      </c>
      <c r="G837">
        <v>2.86</v>
      </c>
      <c r="H837" t="s">
        <v>397</v>
      </c>
      <c r="I837" t="s">
        <v>397</v>
      </c>
      <c r="J837">
        <v>12480</v>
      </c>
      <c r="K837">
        <v>0.34</v>
      </c>
      <c r="L837">
        <v>60</v>
      </c>
      <c r="M837">
        <v>1.4</v>
      </c>
    </row>
    <row r="838" spans="1:13">
      <c r="A838" s="28">
        <v>19180</v>
      </c>
      <c r="B838" t="s">
        <v>980</v>
      </c>
      <c r="C838">
        <v>3570</v>
      </c>
      <c r="D838">
        <v>-10</v>
      </c>
      <c r="E838">
        <v>-0.28000000000000003</v>
      </c>
      <c r="F838" t="s">
        <v>397</v>
      </c>
      <c r="G838" t="s">
        <v>397</v>
      </c>
      <c r="H838" t="s">
        <v>397</v>
      </c>
      <c r="I838" t="s">
        <v>397</v>
      </c>
      <c r="J838">
        <v>4827</v>
      </c>
      <c r="K838">
        <v>0.74</v>
      </c>
      <c r="L838">
        <v>50</v>
      </c>
      <c r="M838">
        <v>1.4</v>
      </c>
    </row>
    <row r="839" spans="1:13">
      <c r="A839" s="28">
        <v>448280</v>
      </c>
      <c r="B839" t="s">
        <v>981</v>
      </c>
      <c r="C839">
        <v>32050</v>
      </c>
      <c r="D839">
        <v>0</v>
      </c>
      <c r="E839">
        <v>0</v>
      </c>
      <c r="F839">
        <v>2196</v>
      </c>
      <c r="G839">
        <v>14.59</v>
      </c>
      <c r="H839" t="s">
        <v>397</v>
      </c>
      <c r="I839" t="s">
        <v>397</v>
      </c>
      <c r="J839">
        <v>6337</v>
      </c>
      <c r="K839">
        <v>5.0599999999999996</v>
      </c>
      <c r="L839">
        <v>450</v>
      </c>
      <c r="M839">
        <v>1.4</v>
      </c>
    </row>
    <row r="840" spans="1:13">
      <c r="A840" s="28">
        <v>78890</v>
      </c>
      <c r="B840" t="s">
        <v>982</v>
      </c>
      <c r="C840">
        <v>7130</v>
      </c>
      <c r="D840">
        <v>200</v>
      </c>
      <c r="E840">
        <v>2.89</v>
      </c>
      <c r="F840">
        <v>677</v>
      </c>
      <c r="G840">
        <v>10.53</v>
      </c>
      <c r="H840" t="s">
        <v>397</v>
      </c>
      <c r="I840" t="s">
        <v>397</v>
      </c>
      <c r="J840">
        <v>11795</v>
      </c>
      <c r="K840">
        <v>0.6</v>
      </c>
      <c r="L840">
        <v>100</v>
      </c>
      <c r="M840">
        <v>1.4</v>
      </c>
    </row>
    <row r="841" spans="1:13">
      <c r="A841" s="28">
        <v>12790</v>
      </c>
      <c r="B841" t="s">
        <v>983</v>
      </c>
      <c r="C841">
        <v>7200</v>
      </c>
      <c r="D841">
        <v>0</v>
      </c>
      <c r="E841">
        <v>0</v>
      </c>
      <c r="F841">
        <v>1053</v>
      </c>
      <c r="G841">
        <v>6.84</v>
      </c>
      <c r="H841" t="s">
        <v>397</v>
      </c>
      <c r="I841" t="s">
        <v>397</v>
      </c>
      <c r="J841">
        <v>10676</v>
      </c>
      <c r="K841">
        <v>0.67</v>
      </c>
      <c r="L841">
        <v>100</v>
      </c>
      <c r="M841">
        <v>1.39</v>
      </c>
    </row>
    <row r="842" spans="1:13">
      <c r="A842" s="28">
        <v>14820</v>
      </c>
      <c r="B842" t="s">
        <v>984</v>
      </c>
      <c r="C842">
        <v>43050</v>
      </c>
      <c r="D842">
        <v>-750</v>
      </c>
      <c r="E842">
        <v>-1.71</v>
      </c>
      <c r="F842">
        <v>2472</v>
      </c>
      <c r="G842">
        <v>17.420000000000002</v>
      </c>
      <c r="H842">
        <v>2394</v>
      </c>
      <c r="I842">
        <v>17.989999999999998</v>
      </c>
      <c r="J842">
        <v>25113</v>
      </c>
      <c r="K842">
        <v>1.71</v>
      </c>
      <c r="L842">
        <v>600</v>
      </c>
      <c r="M842">
        <v>1.39</v>
      </c>
    </row>
    <row r="843" spans="1:13">
      <c r="A843" s="28">
        <v>6090</v>
      </c>
      <c r="B843" t="s">
        <v>985</v>
      </c>
      <c r="C843">
        <v>8660</v>
      </c>
      <c r="D843">
        <v>-10</v>
      </c>
      <c r="E843">
        <v>-0.12</v>
      </c>
      <c r="F843">
        <v>905</v>
      </c>
      <c r="G843">
        <v>9.57</v>
      </c>
      <c r="H843" t="s">
        <v>397</v>
      </c>
      <c r="I843" t="s">
        <v>397</v>
      </c>
      <c r="J843">
        <v>21856</v>
      </c>
      <c r="K843">
        <v>0.4</v>
      </c>
      <c r="L843">
        <v>120</v>
      </c>
      <c r="M843">
        <v>1.39</v>
      </c>
    </row>
    <row r="844" spans="1:13">
      <c r="A844" s="28">
        <v>4370</v>
      </c>
      <c r="B844" t="s">
        <v>986</v>
      </c>
      <c r="C844">
        <v>362500</v>
      </c>
      <c r="D844">
        <v>5500</v>
      </c>
      <c r="E844">
        <v>1.54</v>
      </c>
      <c r="F844">
        <v>20081</v>
      </c>
      <c r="G844">
        <v>18.05</v>
      </c>
      <c r="H844">
        <v>32492</v>
      </c>
      <c r="I844">
        <v>11.16</v>
      </c>
      <c r="J844">
        <v>398464</v>
      </c>
      <c r="K844">
        <v>0.91</v>
      </c>
      <c r="L844">
        <v>5000</v>
      </c>
      <c r="M844">
        <v>1.38</v>
      </c>
    </row>
    <row r="845" spans="1:13">
      <c r="A845" s="28">
        <v>229640</v>
      </c>
      <c r="B845" t="s">
        <v>987</v>
      </c>
      <c r="C845">
        <v>18130</v>
      </c>
      <c r="D845">
        <v>120</v>
      </c>
      <c r="E845">
        <v>0.67</v>
      </c>
      <c r="F845" t="s">
        <v>397</v>
      </c>
      <c r="G845" t="s">
        <v>397</v>
      </c>
      <c r="H845">
        <v>273</v>
      </c>
      <c r="I845">
        <v>66.3</v>
      </c>
      <c r="J845">
        <v>4898</v>
      </c>
      <c r="K845">
        <v>3.7</v>
      </c>
      <c r="L845">
        <v>250</v>
      </c>
      <c r="M845">
        <v>1.38</v>
      </c>
    </row>
    <row r="846" spans="1:13">
      <c r="A846" s="28">
        <v>187870</v>
      </c>
      <c r="B846" t="s">
        <v>988</v>
      </c>
      <c r="C846">
        <v>15250</v>
      </c>
      <c r="D846">
        <v>-450</v>
      </c>
      <c r="E846">
        <v>-2.87</v>
      </c>
      <c r="F846">
        <v>1560</v>
      </c>
      <c r="G846">
        <v>9.7799999999999994</v>
      </c>
      <c r="H846" t="s">
        <v>397</v>
      </c>
      <c r="I846" t="s">
        <v>397</v>
      </c>
      <c r="J846">
        <v>19571</v>
      </c>
      <c r="K846">
        <v>0.78</v>
      </c>
      <c r="L846">
        <v>210</v>
      </c>
      <c r="M846">
        <v>1.38</v>
      </c>
    </row>
    <row r="847" spans="1:13">
      <c r="A847" s="28">
        <v>150</v>
      </c>
      <c r="B847" t="s">
        <v>989</v>
      </c>
      <c r="C847">
        <v>145000</v>
      </c>
      <c r="D847">
        <v>11000</v>
      </c>
      <c r="E847">
        <v>8.2100000000000009</v>
      </c>
      <c r="F847" t="s">
        <v>397</v>
      </c>
      <c r="G847" t="s">
        <v>397</v>
      </c>
      <c r="H847">
        <v>9498</v>
      </c>
      <c r="I847">
        <v>15.27</v>
      </c>
      <c r="J847">
        <v>132422</v>
      </c>
      <c r="K847">
        <v>1.0900000000000001</v>
      </c>
      <c r="L847">
        <v>2000</v>
      </c>
      <c r="M847">
        <v>1.38</v>
      </c>
    </row>
    <row r="848" spans="1:13">
      <c r="A848" s="28">
        <v>136490</v>
      </c>
      <c r="B848" t="s">
        <v>990</v>
      </c>
      <c r="C848">
        <v>7270</v>
      </c>
      <c r="D848">
        <v>0</v>
      </c>
      <c r="E848">
        <v>0</v>
      </c>
      <c r="F848">
        <v>975</v>
      </c>
      <c r="G848">
        <v>7.46</v>
      </c>
      <c r="H848" t="s">
        <v>397</v>
      </c>
      <c r="I848" t="s">
        <v>397</v>
      </c>
      <c r="J848">
        <v>17831</v>
      </c>
      <c r="K848">
        <v>0.41</v>
      </c>
      <c r="L848">
        <v>100</v>
      </c>
      <c r="M848">
        <v>1.38</v>
      </c>
    </row>
    <row r="849" spans="1:13">
      <c r="A849" s="28">
        <v>25860</v>
      </c>
      <c r="B849" t="s">
        <v>991</v>
      </c>
      <c r="C849">
        <v>7290</v>
      </c>
      <c r="D849">
        <v>-30</v>
      </c>
      <c r="E849">
        <v>-0.41</v>
      </c>
      <c r="F849">
        <v>986</v>
      </c>
      <c r="G849">
        <v>7.39</v>
      </c>
      <c r="H849" t="s">
        <v>397</v>
      </c>
      <c r="I849" t="s">
        <v>397</v>
      </c>
      <c r="J849">
        <v>10670</v>
      </c>
      <c r="K849">
        <v>0.68</v>
      </c>
      <c r="L849">
        <v>100</v>
      </c>
      <c r="M849">
        <v>1.37</v>
      </c>
    </row>
    <row r="850" spans="1:13">
      <c r="A850" s="28">
        <v>32080</v>
      </c>
      <c r="B850" t="s">
        <v>992</v>
      </c>
      <c r="C850">
        <v>1459</v>
      </c>
      <c r="D850">
        <v>-9</v>
      </c>
      <c r="E850">
        <v>-0.61</v>
      </c>
      <c r="F850" t="s">
        <v>397</v>
      </c>
      <c r="G850" t="s">
        <v>397</v>
      </c>
      <c r="H850" t="s">
        <v>397</v>
      </c>
      <c r="I850" t="s">
        <v>397</v>
      </c>
      <c r="J850">
        <v>5240</v>
      </c>
      <c r="K850">
        <v>0.28000000000000003</v>
      </c>
      <c r="L850">
        <v>20</v>
      </c>
      <c r="M850">
        <v>1.37</v>
      </c>
    </row>
    <row r="851" spans="1:13">
      <c r="A851" s="28">
        <v>331380</v>
      </c>
      <c r="B851" t="s">
        <v>993</v>
      </c>
      <c r="C851">
        <v>2205</v>
      </c>
      <c r="D851">
        <v>0</v>
      </c>
      <c r="E851">
        <v>0</v>
      </c>
      <c r="F851">
        <v>143</v>
      </c>
      <c r="G851">
        <v>15.42</v>
      </c>
      <c r="H851">
        <v>304</v>
      </c>
      <c r="I851">
        <v>7.24</v>
      </c>
      <c r="J851">
        <v>1096</v>
      </c>
      <c r="K851">
        <v>2.0099999999999998</v>
      </c>
      <c r="L851">
        <v>30</v>
      </c>
      <c r="M851">
        <v>1.36</v>
      </c>
    </row>
    <row r="852" spans="1:13">
      <c r="A852" s="28">
        <v>290740</v>
      </c>
      <c r="B852" t="s">
        <v>994</v>
      </c>
      <c r="C852">
        <v>7330</v>
      </c>
      <c r="D852">
        <v>20</v>
      </c>
      <c r="E852">
        <v>0.27</v>
      </c>
      <c r="F852" t="s">
        <v>397</v>
      </c>
      <c r="G852" t="s">
        <v>397</v>
      </c>
      <c r="H852" t="s">
        <v>397</v>
      </c>
      <c r="I852" t="s">
        <v>397</v>
      </c>
      <c r="J852">
        <v>6815</v>
      </c>
      <c r="K852">
        <v>1.08</v>
      </c>
      <c r="L852">
        <v>100</v>
      </c>
      <c r="M852">
        <v>1.36</v>
      </c>
    </row>
    <row r="853" spans="1:13">
      <c r="A853" s="28">
        <v>137080</v>
      </c>
      <c r="B853" t="s">
        <v>995</v>
      </c>
      <c r="C853">
        <v>7330</v>
      </c>
      <c r="D853">
        <v>-290</v>
      </c>
      <c r="E853">
        <v>-3.81</v>
      </c>
      <c r="F853">
        <v>232</v>
      </c>
      <c r="G853">
        <v>31.59</v>
      </c>
      <c r="H853" t="s">
        <v>397</v>
      </c>
      <c r="I853" t="s">
        <v>397</v>
      </c>
      <c r="J853">
        <v>9763</v>
      </c>
      <c r="K853">
        <v>0.75</v>
      </c>
      <c r="L853">
        <v>100</v>
      </c>
      <c r="M853">
        <v>1.36</v>
      </c>
    </row>
    <row r="854" spans="1:13">
      <c r="A854" s="28">
        <v>66130</v>
      </c>
      <c r="B854" t="s">
        <v>996</v>
      </c>
      <c r="C854">
        <v>5140</v>
      </c>
      <c r="D854">
        <v>-50</v>
      </c>
      <c r="E854">
        <v>-0.96</v>
      </c>
      <c r="F854">
        <v>383</v>
      </c>
      <c r="G854">
        <v>13.42</v>
      </c>
      <c r="H854" t="s">
        <v>397</v>
      </c>
      <c r="I854" t="s">
        <v>397</v>
      </c>
      <c r="J854">
        <v>8100</v>
      </c>
      <c r="K854">
        <v>0.63</v>
      </c>
      <c r="L854">
        <v>70</v>
      </c>
      <c r="M854">
        <v>1.36</v>
      </c>
    </row>
    <row r="855" spans="1:13">
      <c r="A855" s="28">
        <v>38290</v>
      </c>
      <c r="B855" t="s">
        <v>997</v>
      </c>
      <c r="C855">
        <v>22250</v>
      </c>
      <c r="D855">
        <v>-750</v>
      </c>
      <c r="E855">
        <v>-3.26</v>
      </c>
      <c r="F855" t="s">
        <v>397</v>
      </c>
      <c r="G855" t="s">
        <v>397</v>
      </c>
      <c r="H855">
        <v>1035</v>
      </c>
      <c r="I855">
        <v>21.49</v>
      </c>
      <c r="J855">
        <v>17861</v>
      </c>
      <c r="K855">
        <v>1.25</v>
      </c>
      <c r="L855">
        <v>300</v>
      </c>
      <c r="M855">
        <v>1.35</v>
      </c>
    </row>
    <row r="856" spans="1:13">
      <c r="A856" s="28">
        <v>23160</v>
      </c>
      <c r="B856" t="s">
        <v>998</v>
      </c>
      <c r="C856">
        <v>12710</v>
      </c>
      <c r="D856">
        <v>-380</v>
      </c>
      <c r="E856">
        <v>-2.9</v>
      </c>
      <c r="F856">
        <v>1383</v>
      </c>
      <c r="G856">
        <v>9.19</v>
      </c>
      <c r="H856">
        <v>1968</v>
      </c>
      <c r="I856">
        <v>6.46</v>
      </c>
      <c r="J856">
        <v>18560</v>
      </c>
      <c r="K856">
        <v>0.68</v>
      </c>
      <c r="L856">
        <v>170</v>
      </c>
      <c r="M856">
        <v>1.34</v>
      </c>
    </row>
    <row r="857" spans="1:13">
      <c r="A857" s="28">
        <v>211050</v>
      </c>
      <c r="B857" t="s">
        <v>999</v>
      </c>
      <c r="C857">
        <v>22550</v>
      </c>
      <c r="D857">
        <v>-300</v>
      </c>
      <c r="E857">
        <v>-1.31</v>
      </c>
      <c r="F857">
        <v>2052</v>
      </c>
      <c r="G857">
        <v>10.99</v>
      </c>
      <c r="H857" t="s">
        <v>397</v>
      </c>
      <c r="I857" t="s">
        <v>397</v>
      </c>
      <c r="J857">
        <v>7144</v>
      </c>
      <c r="K857">
        <v>3.16</v>
      </c>
      <c r="L857">
        <v>300</v>
      </c>
      <c r="M857">
        <v>1.33</v>
      </c>
    </row>
    <row r="858" spans="1:13">
      <c r="A858" s="28">
        <v>92780</v>
      </c>
      <c r="B858" t="s">
        <v>1000</v>
      </c>
      <c r="C858">
        <v>4525</v>
      </c>
      <c r="D858">
        <v>5</v>
      </c>
      <c r="E858">
        <v>0.11</v>
      </c>
      <c r="F858">
        <v>198</v>
      </c>
      <c r="G858">
        <v>22.85</v>
      </c>
      <c r="H858" t="s">
        <v>397</v>
      </c>
      <c r="I858" t="s">
        <v>397</v>
      </c>
      <c r="J858">
        <v>9239</v>
      </c>
      <c r="K858">
        <v>0.49</v>
      </c>
      <c r="L858">
        <v>60</v>
      </c>
      <c r="M858">
        <v>1.33</v>
      </c>
    </row>
    <row r="859" spans="1:13">
      <c r="A859" s="28">
        <v>112040</v>
      </c>
      <c r="B859" t="s">
        <v>1001</v>
      </c>
      <c r="C859">
        <v>56200</v>
      </c>
      <c r="D859">
        <v>-7200</v>
      </c>
      <c r="E859">
        <v>-11.36</v>
      </c>
      <c r="F859" t="s">
        <v>397</v>
      </c>
      <c r="G859" t="s">
        <v>397</v>
      </c>
      <c r="H859">
        <v>2849</v>
      </c>
      <c r="I859">
        <v>19.73</v>
      </c>
      <c r="J859">
        <v>11306</v>
      </c>
      <c r="K859">
        <v>4.97</v>
      </c>
      <c r="L859">
        <v>750</v>
      </c>
      <c r="M859">
        <v>1.33</v>
      </c>
    </row>
    <row r="860" spans="1:13">
      <c r="A860" s="28">
        <v>140070</v>
      </c>
      <c r="B860" t="s">
        <v>1002</v>
      </c>
      <c r="C860">
        <v>3775</v>
      </c>
      <c r="D860">
        <v>-50</v>
      </c>
      <c r="E860">
        <v>-1.31</v>
      </c>
      <c r="F860">
        <v>733</v>
      </c>
      <c r="G860">
        <v>5.15</v>
      </c>
      <c r="H860" t="s">
        <v>397</v>
      </c>
      <c r="I860" t="s">
        <v>397</v>
      </c>
      <c r="J860">
        <v>5292</v>
      </c>
      <c r="K860">
        <v>0.71</v>
      </c>
      <c r="L860">
        <v>50</v>
      </c>
      <c r="M860">
        <v>1.32</v>
      </c>
    </row>
    <row r="861" spans="1:13">
      <c r="A861" s="28">
        <v>73490</v>
      </c>
      <c r="B861" t="s">
        <v>1003</v>
      </c>
      <c r="C861">
        <v>26550</v>
      </c>
      <c r="D861">
        <v>150</v>
      </c>
      <c r="E861">
        <v>0.56999999999999995</v>
      </c>
      <c r="F861">
        <v>1996</v>
      </c>
      <c r="G861">
        <v>13.3</v>
      </c>
      <c r="H861">
        <v>4646</v>
      </c>
      <c r="I861">
        <v>5.71</v>
      </c>
      <c r="J861">
        <v>19430</v>
      </c>
      <c r="K861">
        <v>1.37</v>
      </c>
      <c r="L861">
        <v>350</v>
      </c>
      <c r="M861">
        <v>1.32</v>
      </c>
    </row>
    <row r="862" spans="1:13">
      <c r="A862" s="28">
        <v>640</v>
      </c>
      <c r="B862" t="s">
        <v>1004</v>
      </c>
      <c r="C862">
        <v>114200</v>
      </c>
      <c r="D862">
        <v>-1700</v>
      </c>
      <c r="E862">
        <v>-1.47</v>
      </c>
      <c r="F862">
        <v>1784</v>
      </c>
      <c r="G862">
        <v>64.010000000000005</v>
      </c>
      <c r="H862">
        <v>13561</v>
      </c>
      <c r="I862">
        <v>8.42</v>
      </c>
      <c r="J862">
        <v>157100</v>
      </c>
      <c r="K862">
        <v>0.73</v>
      </c>
      <c r="L862">
        <v>1500</v>
      </c>
      <c r="M862">
        <v>1.31</v>
      </c>
    </row>
    <row r="863" spans="1:13">
      <c r="A863" s="28">
        <v>1065</v>
      </c>
      <c r="B863" t="s">
        <v>1005</v>
      </c>
      <c r="C863">
        <v>30500</v>
      </c>
      <c r="D863">
        <v>50</v>
      </c>
      <c r="E863">
        <v>0.16</v>
      </c>
      <c r="F863" t="s">
        <v>397</v>
      </c>
      <c r="G863" t="s">
        <v>397</v>
      </c>
      <c r="H863" t="s">
        <v>397</v>
      </c>
      <c r="I863" t="s">
        <v>397</v>
      </c>
      <c r="J863" t="s">
        <v>397</v>
      </c>
      <c r="K863" t="s">
        <v>397</v>
      </c>
      <c r="L863">
        <v>400</v>
      </c>
      <c r="M863">
        <v>1.31</v>
      </c>
    </row>
    <row r="864" spans="1:13">
      <c r="A864" s="28">
        <v>90850</v>
      </c>
      <c r="B864" t="s">
        <v>1006</v>
      </c>
      <c r="C864">
        <v>6090</v>
      </c>
      <c r="D864">
        <v>40</v>
      </c>
      <c r="E864">
        <v>0.66</v>
      </c>
      <c r="F864">
        <v>639</v>
      </c>
      <c r="G864">
        <v>9.5299999999999994</v>
      </c>
      <c r="H864">
        <v>827</v>
      </c>
      <c r="I864">
        <v>7.36</v>
      </c>
      <c r="J864">
        <v>3874</v>
      </c>
      <c r="K864">
        <v>1.57</v>
      </c>
      <c r="L864">
        <v>80</v>
      </c>
      <c r="M864">
        <v>1.31</v>
      </c>
    </row>
    <row r="865" spans="1:13">
      <c r="A865" s="28">
        <v>1527</v>
      </c>
      <c r="B865" t="s">
        <v>1007</v>
      </c>
      <c r="C865">
        <v>11520</v>
      </c>
      <c r="D865">
        <v>0</v>
      </c>
      <c r="E865">
        <v>0</v>
      </c>
      <c r="F865" t="s">
        <v>397</v>
      </c>
      <c r="G865" t="s">
        <v>397</v>
      </c>
      <c r="H865" t="s">
        <v>397</v>
      </c>
      <c r="I865" t="s">
        <v>397</v>
      </c>
      <c r="J865" t="s">
        <v>397</v>
      </c>
      <c r="K865" t="s">
        <v>397</v>
      </c>
      <c r="L865">
        <v>150</v>
      </c>
      <c r="M865">
        <v>1.3</v>
      </c>
    </row>
    <row r="866" spans="1:13">
      <c r="A866" s="28">
        <v>265520</v>
      </c>
      <c r="B866" t="s">
        <v>1008</v>
      </c>
      <c r="C866">
        <v>20800</v>
      </c>
      <c r="D866">
        <v>-500</v>
      </c>
      <c r="E866">
        <v>-2.35</v>
      </c>
      <c r="F866">
        <v>5463</v>
      </c>
      <c r="G866">
        <v>3.81</v>
      </c>
      <c r="H866" t="s">
        <v>397</v>
      </c>
      <c r="I866" t="s">
        <v>397</v>
      </c>
      <c r="J866">
        <v>17980</v>
      </c>
      <c r="K866">
        <v>1.1599999999999999</v>
      </c>
      <c r="L866">
        <v>270</v>
      </c>
      <c r="M866">
        <v>1.3</v>
      </c>
    </row>
    <row r="867" spans="1:13">
      <c r="A867" s="28">
        <v>163560</v>
      </c>
      <c r="B867" t="s">
        <v>1009</v>
      </c>
      <c r="C867">
        <v>9310</v>
      </c>
      <c r="D867">
        <v>-590</v>
      </c>
      <c r="E867">
        <v>-5.96</v>
      </c>
      <c r="F867">
        <v>561</v>
      </c>
      <c r="G867">
        <v>16.600000000000001</v>
      </c>
      <c r="H867" t="s">
        <v>397</v>
      </c>
      <c r="I867" t="s">
        <v>397</v>
      </c>
      <c r="J867">
        <v>15353</v>
      </c>
      <c r="K867">
        <v>0.61</v>
      </c>
      <c r="L867">
        <v>120</v>
      </c>
      <c r="M867">
        <v>1.29</v>
      </c>
    </row>
    <row r="868" spans="1:13">
      <c r="A868" s="28">
        <v>725</v>
      </c>
      <c r="B868" t="s">
        <v>1010</v>
      </c>
      <c r="C868">
        <v>50400</v>
      </c>
      <c r="D868">
        <v>-600</v>
      </c>
      <c r="E868">
        <v>-1.18</v>
      </c>
      <c r="F868" t="s">
        <v>397</v>
      </c>
      <c r="G868" t="s">
        <v>397</v>
      </c>
      <c r="H868" t="s">
        <v>397</v>
      </c>
      <c r="I868" t="s">
        <v>397</v>
      </c>
      <c r="J868" t="s">
        <v>397</v>
      </c>
      <c r="K868" t="s">
        <v>397</v>
      </c>
      <c r="L868">
        <v>650</v>
      </c>
      <c r="M868">
        <v>1.29</v>
      </c>
    </row>
    <row r="869" spans="1:13">
      <c r="A869" s="28">
        <v>166090</v>
      </c>
      <c r="B869" t="s">
        <v>1011</v>
      </c>
      <c r="C869">
        <v>46500</v>
      </c>
      <c r="D869">
        <v>200</v>
      </c>
      <c r="E869">
        <v>0.43</v>
      </c>
      <c r="F869">
        <v>4105</v>
      </c>
      <c r="G869">
        <v>11.33</v>
      </c>
      <c r="H869">
        <v>3223</v>
      </c>
      <c r="I869">
        <v>14.43</v>
      </c>
      <c r="J869">
        <v>15244</v>
      </c>
      <c r="K869">
        <v>3.05</v>
      </c>
      <c r="L869">
        <v>600</v>
      </c>
      <c r="M869">
        <v>1.29</v>
      </c>
    </row>
    <row r="870" spans="1:13">
      <c r="A870" s="28">
        <v>102120</v>
      </c>
      <c r="B870" t="s">
        <v>1012</v>
      </c>
      <c r="C870">
        <v>15670</v>
      </c>
      <c r="D870">
        <v>50</v>
      </c>
      <c r="E870">
        <v>0.32</v>
      </c>
      <c r="F870">
        <v>770</v>
      </c>
      <c r="G870">
        <v>20.350000000000001</v>
      </c>
      <c r="H870" t="s">
        <v>397</v>
      </c>
      <c r="I870" t="s">
        <v>397</v>
      </c>
      <c r="J870">
        <v>7332</v>
      </c>
      <c r="K870">
        <v>2.14</v>
      </c>
      <c r="L870">
        <v>200</v>
      </c>
      <c r="M870">
        <v>1.28</v>
      </c>
    </row>
    <row r="871" spans="1:13">
      <c r="A871" s="28">
        <v>9470</v>
      </c>
      <c r="B871" t="s">
        <v>1013</v>
      </c>
      <c r="C871">
        <v>23400</v>
      </c>
      <c r="D871">
        <v>-50</v>
      </c>
      <c r="E871">
        <v>-0.21</v>
      </c>
      <c r="F871">
        <v>1611</v>
      </c>
      <c r="G871">
        <v>14.53</v>
      </c>
      <c r="H871" t="s">
        <v>397</v>
      </c>
      <c r="I871" t="s">
        <v>397</v>
      </c>
      <c r="J871">
        <v>10248</v>
      </c>
      <c r="K871">
        <v>2.2799999999999998</v>
      </c>
      <c r="L871">
        <v>300</v>
      </c>
      <c r="M871">
        <v>1.28</v>
      </c>
    </row>
    <row r="872" spans="1:13">
      <c r="A872" s="28">
        <v>108230</v>
      </c>
      <c r="B872" t="s">
        <v>1014</v>
      </c>
      <c r="C872">
        <v>7790</v>
      </c>
      <c r="D872">
        <v>-110</v>
      </c>
      <c r="E872">
        <v>-1.39</v>
      </c>
      <c r="F872">
        <v>405</v>
      </c>
      <c r="G872">
        <v>19.23</v>
      </c>
      <c r="H872" t="s">
        <v>397</v>
      </c>
      <c r="I872" t="s">
        <v>397</v>
      </c>
      <c r="J872">
        <v>8696</v>
      </c>
      <c r="K872">
        <v>0.9</v>
      </c>
      <c r="L872">
        <v>100</v>
      </c>
      <c r="M872">
        <v>1.28</v>
      </c>
    </row>
    <row r="873" spans="1:13">
      <c r="A873" s="28">
        <v>48430</v>
      </c>
      <c r="B873" t="s">
        <v>1015</v>
      </c>
      <c r="C873">
        <v>7810</v>
      </c>
      <c r="D873">
        <v>-30</v>
      </c>
      <c r="E873">
        <v>-0.38</v>
      </c>
      <c r="F873">
        <v>76</v>
      </c>
      <c r="G873">
        <v>102.76</v>
      </c>
      <c r="H873" t="s">
        <v>397</v>
      </c>
      <c r="I873" t="s">
        <v>397</v>
      </c>
      <c r="J873">
        <v>10336</v>
      </c>
      <c r="K873">
        <v>0.76</v>
      </c>
      <c r="L873">
        <v>100</v>
      </c>
      <c r="M873">
        <v>1.28</v>
      </c>
    </row>
    <row r="874" spans="1:13">
      <c r="A874" s="28">
        <v>6840</v>
      </c>
      <c r="B874" t="s">
        <v>1016</v>
      </c>
      <c r="C874">
        <v>15600</v>
      </c>
      <c r="D874">
        <v>-160</v>
      </c>
      <c r="E874">
        <v>-1.02</v>
      </c>
      <c r="F874" t="s">
        <v>397</v>
      </c>
      <c r="G874" t="s">
        <v>397</v>
      </c>
      <c r="H874" t="s">
        <v>397</v>
      </c>
      <c r="I874" t="s">
        <v>397</v>
      </c>
      <c r="J874">
        <v>41948</v>
      </c>
      <c r="K874">
        <v>0.37</v>
      </c>
      <c r="L874">
        <v>200</v>
      </c>
      <c r="M874">
        <v>1.28</v>
      </c>
    </row>
    <row r="875" spans="1:13">
      <c r="A875" s="28">
        <v>226320</v>
      </c>
      <c r="B875" t="s">
        <v>1017</v>
      </c>
      <c r="C875">
        <v>11720</v>
      </c>
      <c r="D875">
        <v>40</v>
      </c>
      <c r="E875">
        <v>0.34</v>
      </c>
      <c r="F875" t="s">
        <v>397</v>
      </c>
      <c r="G875" t="s">
        <v>397</v>
      </c>
      <c r="H875" t="s">
        <v>397</v>
      </c>
      <c r="I875" t="s">
        <v>397</v>
      </c>
      <c r="J875">
        <v>20944</v>
      </c>
      <c r="K875">
        <v>0.56000000000000005</v>
      </c>
      <c r="L875">
        <v>150</v>
      </c>
      <c r="M875">
        <v>1.28</v>
      </c>
    </row>
    <row r="876" spans="1:13">
      <c r="A876" s="28">
        <v>45660</v>
      </c>
      <c r="B876" t="s">
        <v>1018</v>
      </c>
      <c r="C876">
        <v>15700</v>
      </c>
      <c r="D876">
        <v>150</v>
      </c>
      <c r="E876">
        <v>0.96</v>
      </c>
      <c r="F876">
        <v>673</v>
      </c>
      <c r="G876">
        <v>23.33</v>
      </c>
      <c r="H876" t="s">
        <v>397</v>
      </c>
      <c r="I876" t="s">
        <v>397</v>
      </c>
      <c r="J876">
        <v>11410</v>
      </c>
      <c r="K876">
        <v>1.38</v>
      </c>
      <c r="L876">
        <v>200</v>
      </c>
      <c r="M876">
        <v>1.27</v>
      </c>
    </row>
    <row r="877" spans="1:13">
      <c r="A877" s="28">
        <v>10120</v>
      </c>
      <c r="B877" t="s">
        <v>1019</v>
      </c>
      <c r="C877">
        <v>86500</v>
      </c>
      <c r="D877">
        <v>-300</v>
      </c>
      <c r="E877">
        <v>-0.35</v>
      </c>
      <c r="F877">
        <v>3077</v>
      </c>
      <c r="G877">
        <v>28.11</v>
      </c>
      <c r="H877">
        <v>7575</v>
      </c>
      <c r="I877">
        <v>11.42</v>
      </c>
      <c r="J877">
        <v>52919</v>
      </c>
      <c r="K877">
        <v>1.63</v>
      </c>
      <c r="L877">
        <v>1100</v>
      </c>
      <c r="M877">
        <v>1.27</v>
      </c>
    </row>
    <row r="878" spans="1:13">
      <c r="A878" s="28">
        <v>4270</v>
      </c>
      <c r="B878" t="s">
        <v>1020</v>
      </c>
      <c r="C878">
        <v>1963</v>
      </c>
      <c r="D878">
        <v>-3</v>
      </c>
      <c r="E878">
        <v>-0.15</v>
      </c>
      <c r="F878">
        <v>102</v>
      </c>
      <c r="G878">
        <v>19.25</v>
      </c>
      <c r="H878" t="s">
        <v>397</v>
      </c>
      <c r="I878" t="s">
        <v>397</v>
      </c>
      <c r="J878">
        <v>3821</v>
      </c>
      <c r="K878">
        <v>0.51</v>
      </c>
      <c r="L878">
        <v>25</v>
      </c>
      <c r="M878">
        <v>1.27</v>
      </c>
    </row>
    <row r="879" spans="1:13">
      <c r="A879" s="28">
        <v>54540</v>
      </c>
      <c r="B879" t="s">
        <v>1021</v>
      </c>
      <c r="C879">
        <v>3945</v>
      </c>
      <c r="D879">
        <v>-30</v>
      </c>
      <c r="E879">
        <v>-0.75</v>
      </c>
      <c r="F879" t="s">
        <v>397</v>
      </c>
      <c r="G879" t="s">
        <v>397</v>
      </c>
      <c r="H879" t="s">
        <v>397</v>
      </c>
      <c r="I879" t="s">
        <v>397</v>
      </c>
      <c r="J879">
        <v>5141</v>
      </c>
      <c r="K879">
        <v>0.77</v>
      </c>
      <c r="L879">
        <v>50</v>
      </c>
      <c r="M879">
        <v>1.27</v>
      </c>
    </row>
    <row r="880" spans="1:13">
      <c r="A880" s="28">
        <v>457550</v>
      </c>
      <c r="B880" t="s">
        <v>1022</v>
      </c>
      <c r="C880">
        <v>23900</v>
      </c>
      <c r="D880">
        <v>-1300</v>
      </c>
      <c r="E880">
        <v>-5.16</v>
      </c>
      <c r="F880">
        <v>835</v>
      </c>
      <c r="G880">
        <v>28.62</v>
      </c>
      <c r="H880" t="s">
        <v>397</v>
      </c>
      <c r="I880" t="s">
        <v>397</v>
      </c>
      <c r="J880">
        <v>4198</v>
      </c>
      <c r="K880">
        <v>5.69</v>
      </c>
      <c r="L880">
        <v>304</v>
      </c>
      <c r="M880">
        <v>1.27</v>
      </c>
    </row>
    <row r="881" spans="1:13">
      <c r="A881" s="28">
        <v>13700</v>
      </c>
      <c r="B881" t="s">
        <v>1023</v>
      </c>
      <c r="C881">
        <v>1580</v>
      </c>
      <c r="D881">
        <v>-17</v>
      </c>
      <c r="E881">
        <v>-1.06</v>
      </c>
      <c r="F881" t="s">
        <v>397</v>
      </c>
      <c r="G881" t="s">
        <v>397</v>
      </c>
      <c r="H881" t="s">
        <v>397</v>
      </c>
      <c r="I881" t="s">
        <v>397</v>
      </c>
      <c r="J881">
        <v>1753</v>
      </c>
      <c r="K881">
        <v>0.9</v>
      </c>
      <c r="L881">
        <v>20</v>
      </c>
      <c r="M881">
        <v>1.27</v>
      </c>
    </row>
    <row r="882" spans="1:13">
      <c r="A882" s="28">
        <v>10100</v>
      </c>
      <c r="B882" t="s">
        <v>1024</v>
      </c>
      <c r="C882">
        <v>5520</v>
      </c>
      <c r="D882">
        <v>-100</v>
      </c>
      <c r="E882">
        <v>-1.78</v>
      </c>
      <c r="F882">
        <v>1095</v>
      </c>
      <c r="G882">
        <v>5.04</v>
      </c>
      <c r="H882" t="s">
        <v>397</v>
      </c>
      <c r="I882" t="s">
        <v>397</v>
      </c>
      <c r="J882">
        <v>9592</v>
      </c>
      <c r="K882">
        <v>0.57999999999999996</v>
      </c>
      <c r="L882">
        <v>70</v>
      </c>
      <c r="M882">
        <v>1.27</v>
      </c>
    </row>
    <row r="883" spans="1:13">
      <c r="A883" s="28">
        <v>38070</v>
      </c>
      <c r="B883" t="s">
        <v>1025</v>
      </c>
      <c r="C883">
        <v>10430</v>
      </c>
      <c r="D883">
        <v>330</v>
      </c>
      <c r="E883">
        <v>3.27</v>
      </c>
      <c r="F883">
        <v>1117</v>
      </c>
      <c r="G883">
        <v>9.34</v>
      </c>
      <c r="H883" t="s">
        <v>397</v>
      </c>
      <c r="I883" t="s">
        <v>397</v>
      </c>
      <c r="J883">
        <v>9817</v>
      </c>
      <c r="K883">
        <v>1.06</v>
      </c>
      <c r="L883">
        <v>130</v>
      </c>
      <c r="M883">
        <v>1.25</v>
      </c>
    </row>
    <row r="884" spans="1:13">
      <c r="A884" s="28">
        <v>17800</v>
      </c>
      <c r="B884" t="s">
        <v>1026</v>
      </c>
      <c r="C884">
        <v>40350</v>
      </c>
      <c r="D884">
        <v>-1000</v>
      </c>
      <c r="E884">
        <v>-2.42</v>
      </c>
      <c r="F884">
        <v>1924</v>
      </c>
      <c r="G884">
        <v>20.97</v>
      </c>
      <c r="H884" t="s">
        <v>397</v>
      </c>
      <c r="I884" t="s">
        <v>397</v>
      </c>
      <c r="J884">
        <v>28992</v>
      </c>
      <c r="K884">
        <v>1.39</v>
      </c>
      <c r="L884">
        <v>500</v>
      </c>
      <c r="M884">
        <v>1.24</v>
      </c>
    </row>
    <row r="885" spans="1:13">
      <c r="A885" s="28">
        <v>47400</v>
      </c>
      <c r="B885" t="s">
        <v>1027</v>
      </c>
      <c r="C885">
        <v>2820</v>
      </c>
      <c r="D885">
        <v>-30</v>
      </c>
      <c r="E885">
        <v>-1.05</v>
      </c>
      <c r="F885" t="s">
        <v>397</v>
      </c>
      <c r="G885" t="s">
        <v>397</v>
      </c>
      <c r="H885" t="s">
        <v>397</v>
      </c>
      <c r="I885" t="s">
        <v>397</v>
      </c>
      <c r="J885">
        <v>1996</v>
      </c>
      <c r="K885">
        <v>1.41</v>
      </c>
      <c r="L885">
        <v>35</v>
      </c>
      <c r="M885">
        <v>1.24</v>
      </c>
    </row>
    <row r="886" spans="1:13">
      <c r="A886" s="28">
        <v>51490</v>
      </c>
      <c r="B886" t="s">
        <v>1028</v>
      </c>
      <c r="C886">
        <v>5710</v>
      </c>
      <c r="D886">
        <v>-80</v>
      </c>
      <c r="E886">
        <v>-1.38</v>
      </c>
      <c r="F886">
        <v>704</v>
      </c>
      <c r="G886">
        <v>8.11</v>
      </c>
      <c r="H886" t="s">
        <v>397</v>
      </c>
      <c r="I886" t="s">
        <v>397</v>
      </c>
      <c r="J886">
        <v>6665</v>
      </c>
      <c r="K886">
        <v>0.86</v>
      </c>
      <c r="L886">
        <v>70</v>
      </c>
      <c r="M886">
        <v>1.23</v>
      </c>
    </row>
    <row r="887" spans="1:13">
      <c r="A887" s="28">
        <v>40300</v>
      </c>
      <c r="B887" t="s">
        <v>1029</v>
      </c>
      <c r="C887">
        <v>4880</v>
      </c>
      <c r="D887">
        <v>-65</v>
      </c>
      <c r="E887">
        <v>-1.31</v>
      </c>
      <c r="F887">
        <v>131</v>
      </c>
      <c r="G887">
        <v>37.25</v>
      </c>
      <c r="H887" t="s">
        <v>397</v>
      </c>
      <c r="I887" t="s">
        <v>397</v>
      </c>
      <c r="J887">
        <v>6078</v>
      </c>
      <c r="K887">
        <v>0.8</v>
      </c>
      <c r="L887">
        <v>60</v>
      </c>
      <c r="M887">
        <v>1.23</v>
      </c>
    </row>
    <row r="888" spans="1:13">
      <c r="A888" s="28">
        <v>11210</v>
      </c>
      <c r="B888" t="s">
        <v>1030</v>
      </c>
      <c r="C888">
        <v>57100</v>
      </c>
      <c r="D888">
        <v>-600</v>
      </c>
      <c r="E888">
        <v>-1.04</v>
      </c>
      <c r="F888">
        <v>2463</v>
      </c>
      <c r="G888">
        <v>23.18</v>
      </c>
      <c r="H888">
        <v>7334</v>
      </c>
      <c r="I888">
        <v>7.79</v>
      </c>
      <c r="J888">
        <v>124563</v>
      </c>
      <c r="K888">
        <v>0.46</v>
      </c>
      <c r="L888">
        <v>700</v>
      </c>
      <c r="M888">
        <v>1.23</v>
      </c>
    </row>
    <row r="889" spans="1:13">
      <c r="A889" s="28">
        <v>17960</v>
      </c>
      <c r="B889" t="s">
        <v>1031</v>
      </c>
      <c r="C889">
        <v>10600</v>
      </c>
      <c r="D889">
        <v>-280</v>
      </c>
      <c r="E889">
        <v>-2.57</v>
      </c>
      <c r="F889">
        <v>471</v>
      </c>
      <c r="G889">
        <v>22.51</v>
      </c>
      <c r="H889">
        <v>681</v>
      </c>
      <c r="I889">
        <v>15.55</v>
      </c>
      <c r="J889">
        <v>9394</v>
      </c>
      <c r="K889">
        <v>1.1299999999999999</v>
      </c>
      <c r="L889">
        <v>130</v>
      </c>
      <c r="M889">
        <v>1.23</v>
      </c>
    </row>
    <row r="890" spans="1:13">
      <c r="A890" s="28">
        <v>54670</v>
      </c>
      <c r="B890" t="s">
        <v>1032</v>
      </c>
      <c r="C890">
        <v>8190</v>
      </c>
      <c r="D890">
        <v>-10</v>
      </c>
      <c r="E890">
        <v>-0.12</v>
      </c>
      <c r="F890">
        <v>1733</v>
      </c>
      <c r="G890">
        <v>4.7300000000000004</v>
      </c>
      <c r="H890" t="s">
        <v>397</v>
      </c>
      <c r="I890" t="s">
        <v>397</v>
      </c>
      <c r="J890">
        <v>7336</v>
      </c>
      <c r="K890">
        <v>1.1200000000000001</v>
      </c>
      <c r="L890">
        <v>100</v>
      </c>
      <c r="M890">
        <v>1.22</v>
      </c>
    </row>
    <row r="891" spans="1:13">
      <c r="A891" s="28">
        <v>31980</v>
      </c>
      <c r="B891" t="s">
        <v>1033</v>
      </c>
      <c r="C891">
        <v>41050</v>
      </c>
      <c r="D891">
        <v>1500</v>
      </c>
      <c r="E891">
        <v>3.79</v>
      </c>
      <c r="F891">
        <v>1982</v>
      </c>
      <c r="G891">
        <v>20.71</v>
      </c>
      <c r="H891">
        <v>2318</v>
      </c>
      <c r="I891">
        <v>17.71</v>
      </c>
      <c r="J891">
        <v>13849</v>
      </c>
      <c r="K891">
        <v>2.96</v>
      </c>
      <c r="L891">
        <v>500</v>
      </c>
      <c r="M891">
        <v>1.22</v>
      </c>
    </row>
    <row r="892" spans="1:13">
      <c r="A892" s="28">
        <v>35150</v>
      </c>
      <c r="B892" t="s">
        <v>1034</v>
      </c>
      <c r="C892">
        <v>12290</v>
      </c>
      <c r="D892">
        <v>0</v>
      </c>
      <c r="E892">
        <v>0</v>
      </c>
      <c r="F892">
        <v>1882</v>
      </c>
      <c r="G892">
        <v>6.53</v>
      </c>
      <c r="H892">
        <v>2335</v>
      </c>
      <c r="I892">
        <v>5.26</v>
      </c>
      <c r="J892">
        <v>7626</v>
      </c>
      <c r="K892">
        <v>1.61</v>
      </c>
      <c r="L892">
        <v>150</v>
      </c>
      <c r="M892">
        <v>1.22</v>
      </c>
    </row>
    <row r="893" spans="1:13">
      <c r="A893" s="28">
        <v>2350</v>
      </c>
      <c r="B893" t="s">
        <v>1035</v>
      </c>
      <c r="C893">
        <v>8270</v>
      </c>
      <c r="D893">
        <v>-10</v>
      </c>
      <c r="E893">
        <v>-0.12</v>
      </c>
      <c r="F893" t="s">
        <v>397</v>
      </c>
      <c r="G893" t="s">
        <v>397</v>
      </c>
      <c r="H893">
        <v>1768</v>
      </c>
      <c r="I893">
        <v>4.68</v>
      </c>
      <c r="J893">
        <v>16520</v>
      </c>
      <c r="K893">
        <v>0.5</v>
      </c>
      <c r="L893">
        <v>100</v>
      </c>
      <c r="M893">
        <v>1.21</v>
      </c>
    </row>
    <row r="894" spans="1:13">
      <c r="A894" s="28">
        <v>12320</v>
      </c>
      <c r="B894" t="s">
        <v>1036</v>
      </c>
      <c r="C894">
        <v>61900</v>
      </c>
      <c r="D894">
        <v>-100</v>
      </c>
      <c r="E894">
        <v>-0.16</v>
      </c>
      <c r="F894">
        <v>6519</v>
      </c>
      <c r="G894">
        <v>9.5</v>
      </c>
      <c r="H894" t="s">
        <v>397</v>
      </c>
      <c r="I894" t="s">
        <v>397</v>
      </c>
      <c r="J894">
        <v>205405</v>
      </c>
      <c r="K894">
        <v>0.3</v>
      </c>
      <c r="L894">
        <v>750</v>
      </c>
      <c r="M894">
        <v>1.21</v>
      </c>
    </row>
    <row r="895" spans="1:13">
      <c r="A895" s="28">
        <v>347740</v>
      </c>
      <c r="B895" t="s">
        <v>1037</v>
      </c>
      <c r="C895">
        <v>2885</v>
      </c>
      <c r="D895">
        <v>-50</v>
      </c>
      <c r="E895">
        <v>-1.7</v>
      </c>
      <c r="F895">
        <v>239</v>
      </c>
      <c r="G895">
        <v>12.07</v>
      </c>
      <c r="H895" t="s">
        <v>397</v>
      </c>
      <c r="I895" t="s">
        <v>397</v>
      </c>
      <c r="J895">
        <v>2359</v>
      </c>
      <c r="K895">
        <v>1.22</v>
      </c>
      <c r="L895">
        <v>35</v>
      </c>
      <c r="M895">
        <v>1.21</v>
      </c>
    </row>
    <row r="896" spans="1:13">
      <c r="A896" s="28">
        <v>108675</v>
      </c>
      <c r="B896" t="s">
        <v>1038</v>
      </c>
      <c r="C896">
        <v>20900</v>
      </c>
      <c r="D896">
        <v>-50</v>
      </c>
      <c r="E896">
        <v>-0.24</v>
      </c>
      <c r="F896" t="s">
        <v>397</v>
      </c>
      <c r="G896" t="s">
        <v>397</v>
      </c>
      <c r="H896" t="s">
        <v>397</v>
      </c>
      <c r="I896" t="s">
        <v>397</v>
      </c>
      <c r="J896" t="s">
        <v>397</v>
      </c>
      <c r="K896" t="s">
        <v>397</v>
      </c>
      <c r="L896">
        <v>250</v>
      </c>
      <c r="M896">
        <v>1.2</v>
      </c>
    </row>
    <row r="897" spans="1:13">
      <c r="A897" s="28">
        <v>9780</v>
      </c>
      <c r="B897" t="s">
        <v>1039</v>
      </c>
      <c r="C897">
        <v>5020</v>
      </c>
      <c r="D897">
        <v>-10</v>
      </c>
      <c r="E897">
        <v>-0.2</v>
      </c>
      <c r="F897">
        <v>1030</v>
      </c>
      <c r="G897">
        <v>4.87</v>
      </c>
      <c r="H897" t="s">
        <v>397</v>
      </c>
      <c r="I897" t="s">
        <v>397</v>
      </c>
      <c r="J897">
        <v>7565</v>
      </c>
      <c r="K897">
        <v>0.66</v>
      </c>
      <c r="L897">
        <v>60</v>
      </c>
      <c r="M897">
        <v>1.2</v>
      </c>
    </row>
    <row r="898" spans="1:13">
      <c r="A898" s="28">
        <v>260970</v>
      </c>
      <c r="B898" t="s">
        <v>1040</v>
      </c>
      <c r="C898">
        <v>24900</v>
      </c>
      <c r="D898">
        <v>150</v>
      </c>
      <c r="E898">
        <v>0.61</v>
      </c>
      <c r="F898">
        <v>2425</v>
      </c>
      <c r="G898">
        <v>10.27</v>
      </c>
      <c r="H898" t="s">
        <v>397</v>
      </c>
      <c r="I898" t="s">
        <v>397</v>
      </c>
      <c r="J898">
        <v>19241</v>
      </c>
      <c r="K898">
        <v>1.29</v>
      </c>
      <c r="L898">
        <v>300</v>
      </c>
      <c r="M898">
        <v>1.2</v>
      </c>
    </row>
    <row r="899" spans="1:13">
      <c r="A899" s="28">
        <v>53050</v>
      </c>
      <c r="B899" t="s">
        <v>1041</v>
      </c>
      <c r="C899">
        <v>3370</v>
      </c>
      <c r="D899">
        <v>85</v>
      </c>
      <c r="E899">
        <v>2.59</v>
      </c>
      <c r="F899">
        <v>197</v>
      </c>
      <c r="G899">
        <v>17.11</v>
      </c>
      <c r="H899" t="s">
        <v>397</v>
      </c>
      <c r="I899" t="s">
        <v>397</v>
      </c>
      <c r="J899">
        <v>2955</v>
      </c>
      <c r="K899">
        <v>1.1399999999999999</v>
      </c>
      <c r="L899">
        <v>40</v>
      </c>
      <c r="M899">
        <v>1.19</v>
      </c>
    </row>
    <row r="900" spans="1:13">
      <c r="A900" s="28">
        <v>40910</v>
      </c>
      <c r="B900" t="s">
        <v>1042</v>
      </c>
      <c r="C900">
        <v>8410</v>
      </c>
      <c r="D900">
        <v>0</v>
      </c>
      <c r="E900">
        <v>0</v>
      </c>
      <c r="F900" t="s">
        <v>397</v>
      </c>
      <c r="G900" t="s">
        <v>397</v>
      </c>
      <c r="H900" t="s">
        <v>397</v>
      </c>
      <c r="I900" t="s">
        <v>397</v>
      </c>
      <c r="J900">
        <v>9698</v>
      </c>
      <c r="K900">
        <v>0.87</v>
      </c>
      <c r="L900">
        <v>100</v>
      </c>
      <c r="M900">
        <v>1.19</v>
      </c>
    </row>
    <row r="901" spans="1:13">
      <c r="A901" s="28">
        <v>19680</v>
      </c>
      <c r="B901" t="s">
        <v>1043</v>
      </c>
      <c r="C901">
        <v>2515</v>
      </c>
      <c r="D901">
        <v>0</v>
      </c>
      <c r="E901">
        <v>0</v>
      </c>
      <c r="F901" t="s">
        <v>397</v>
      </c>
      <c r="G901" t="s">
        <v>397</v>
      </c>
      <c r="H901" t="s">
        <v>397</v>
      </c>
      <c r="I901" t="s">
        <v>397</v>
      </c>
      <c r="J901">
        <v>5825</v>
      </c>
      <c r="K901">
        <v>0.43</v>
      </c>
      <c r="L901">
        <v>30</v>
      </c>
      <c r="M901">
        <v>1.19</v>
      </c>
    </row>
    <row r="902" spans="1:13">
      <c r="A902" s="28">
        <v>252500</v>
      </c>
      <c r="B902" t="s">
        <v>1044</v>
      </c>
      <c r="C902">
        <v>846</v>
      </c>
      <c r="D902">
        <v>3</v>
      </c>
      <c r="E902">
        <v>0.36</v>
      </c>
      <c r="F902">
        <v>32</v>
      </c>
      <c r="G902">
        <v>26.44</v>
      </c>
      <c r="H902" t="s">
        <v>397</v>
      </c>
      <c r="I902" t="s">
        <v>397</v>
      </c>
      <c r="J902">
        <v>895</v>
      </c>
      <c r="K902">
        <v>0.95</v>
      </c>
      <c r="L902">
        <v>10</v>
      </c>
      <c r="M902">
        <v>1.18</v>
      </c>
    </row>
    <row r="903" spans="1:13">
      <c r="A903" s="28">
        <v>17650</v>
      </c>
      <c r="B903" t="s">
        <v>1045</v>
      </c>
      <c r="C903">
        <v>8510</v>
      </c>
      <c r="D903">
        <v>-30</v>
      </c>
      <c r="E903">
        <v>-0.35</v>
      </c>
      <c r="F903">
        <v>2741</v>
      </c>
      <c r="G903">
        <v>3.1</v>
      </c>
      <c r="H903" t="s">
        <v>397</v>
      </c>
      <c r="I903" t="s">
        <v>397</v>
      </c>
      <c r="J903">
        <v>28061</v>
      </c>
      <c r="K903">
        <v>0.3</v>
      </c>
      <c r="L903">
        <v>100</v>
      </c>
      <c r="M903">
        <v>1.18</v>
      </c>
    </row>
    <row r="904" spans="1:13">
      <c r="A904" s="28">
        <v>21820</v>
      </c>
      <c r="B904" t="s">
        <v>1046</v>
      </c>
      <c r="C904">
        <v>8500</v>
      </c>
      <c r="D904">
        <v>140</v>
      </c>
      <c r="E904">
        <v>1.67</v>
      </c>
      <c r="F904" t="s">
        <v>397</v>
      </c>
      <c r="G904" t="s">
        <v>397</v>
      </c>
      <c r="H904" t="s">
        <v>397</v>
      </c>
      <c r="I904" t="s">
        <v>397</v>
      </c>
      <c r="J904">
        <v>51131</v>
      </c>
      <c r="K904">
        <v>0.17</v>
      </c>
      <c r="L904">
        <v>100</v>
      </c>
      <c r="M904">
        <v>1.18</v>
      </c>
    </row>
    <row r="905" spans="1:13">
      <c r="A905" s="28">
        <v>1060</v>
      </c>
      <c r="B905" t="s">
        <v>1047</v>
      </c>
      <c r="C905">
        <v>31900</v>
      </c>
      <c r="D905">
        <v>-1100</v>
      </c>
      <c r="E905">
        <v>-3.33</v>
      </c>
      <c r="F905">
        <v>1305</v>
      </c>
      <c r="G905">
        <v>24.44</v>
      </c>
      <c r="H905">
        <v>2910</v>
      </c>
      <c r="I905">
        <v>10.96</v>
      </c>
      <c r="J905">
        <v>10456</v>
      </c>
      <c r="K905">
        <v>3.05</v>
      </c>
      <c r="L905">
        <v>375</v>
      </c>
      <c r="M905">
        <v>1.18</v>
      </c>
    </row>
    <row r="906" spans="1:13">
      <c r="A906" s="28">
        <v>58470</v>
      </c>
      <c r="B906" t="s">
        <v>1048</v>
      </c>
      <c r="C906">
        <v>255000</v>
      </c>
      <c r="D906">
        <v>11000</v>
      </c>
      <c r="E906">
        <v>4.51</v>
      </c>
      <c r="F906">
        <v>7534</v>
      </c>
      <c r="G906">
        <v>33.85</v>
      </c>
      <c r="H906">
        <v>8060</v>
      </c>
      <c r="I906">
        <v>31.64</v>
      </c>
      <c r="J906">
        <v>32491</v>
      </c>
      <c r="K906">
        <v>7.85</v>
      </c>
      <c r="L906">
        <v>3000</v>
      </c>
      <c r="M906">
        <v>1.18</v>
      </c>
    </row>
    <row r="907" spans="1:13">
      <c r="A907" s="28">
        <v>67830</v>
      </c>
      <c r="B907" t="s">
        <v>1049</v>
      </c>
      <c r="C907">
        <v>2565</v>
      </c>
      <c r="D907">
        <v>25</v>
      </c>
      <c r="E907">
        <v>0.98</v>
      </c>
      <c r="F907">
        <v>243</v>
      </c>
      <c r="G907">
        <v>10.56</v>
      </c>
      <c r="H907" t="s">
        <v>397</v>
      </c>
      <c r="I907" t="s">
        <v>397</v>
      </c>
      <c r="J907">
        <v>12290</v>
      </c>
      <c r="K907">
        <v>0.21</v>
      </c>
      <c r="L907">
        <v>30</v>
      </c>
      <c r="M907">
        <v>1.17</v>
      </c>
    </row>
    <row r="908" spans="1:13">
      <c r="A908" s="28">
        <v>420770</v>
      </c>
      <c r="B908" t="s">
        <v>1050</v>
      </c>
      <c r="C908">
        <v>64000</v>
      </c>
      <c r="D908">
        <v>-2700</v>
      </c>
      <c r="E908">
        <v>-4.05</v>
      </c>
      <c r="F908">
        <v>2728</v>
      </c>
      <c r="G908">
        <v>23.46</v>
      </c>
      <c r="H908" t="s">
        <v>397</v>
      </c>
      <c r="I908" t="s">
        <v>397</v>
      </c>
      <c r="J908">
        <v>9464</v>
      </c>
      <c r="K908">
        <v>6.76</v>
      </c>
      <c r="L908">
        <v>750</v>
      </c>
      <c r="M908">
        <v>1.17</v>
      </c>
    </row>
    <row r="909" spans="1:13">
      <c r="A909" s="28">
        <v>378850</v>
      </c>
      <c r="B909" t="s">
        <v>1051</v>
      </c>
      <c r="C909">
        <v>4275</v>
      </c>
      <c r="D909">
        <v>20</v>
      </c>
      <c r="E909">
        <v>0.47</v>
      </c>
      <c r="F909">
        <v>668</v>
      </c>
      <c r="G909">
        <v>6.4</v>
      </c>
      <c r="H909" t="s">
        <v>397</v>
      </c>
      <c r="I909" t="s">
        <v>397</v>
      </c>
      <c r="J909">
        <v>4879</v>
      </c>
      <c r="K909">
        <v>0.88</v>
      </c>
      <c r="L909">
        <v>50</v>
      </c>
      <c r="M909">
        <v>1.17</v>
      </c>
    </row>
    <row r="910" spans="1:13">
      <c r="A910" s="28">
        <v>7575</v>
      </c>
      <c r="B910" t="s">
        <v>1052</v>
      </c>
      <c r="C910">
        <v>14910</v>
      </c>
      <c r="D910">
        <v>110</v>
      </c>
      <c r="E910">
        <v>0.74</v>
      </c>
      <c r="F910" t="s">
        <v>397</v>
      </c>
      <c r="G910" t="s">
        <v>397</v>
      </c>
      <c r="H910" t="s">
        <v>397</v>
      </c>
      <c r="I910" t="s">
        <v>397</v>
      </c>
      <c r="J910" t="s">
        <v>397</v>
      </c>
      <c r="K910" t="s">
        <v>397</v>
      </c>
      <c r="L910">
        <v>175</v>
      </c>
      <c r="M910">
        <v>1.17</v>
      </c>
    </row>
    <row r="911" spans="1:13">
      <c r="A911" s="28">
        <v>7820</v>
      </c>
      <c r="B911" t="s">
        <v>1053</v>
      </c>
      <c r="C911">
        <v>5970</v>
      </c>
      <c r="D911">
        <v>-210</v>
      </c>
      <c r="E911">
        <v>-3.4</v>
      </c>
      <c r="F911">
        <v>123</v>
      </c>
      <c r="G911">
        <v>48.54</v>
      </c>
      <c r="H911" t="s">
        <v>397</v>
      </c>
      <c r="I911" t="s">
        <v>397</v>
      </c>
      <c r="J911">
        <v>3549</v>
      </c>
      <c r="K911">
        <v>1.68</v>
      </c>
      <c r="L911">
        <v>70</v>
      </c>
      <c r="M911">
        <v>1.17</v>
      </c>
    </row>
    <row r="912" spans="1:13">
      <c r="A912" s="28">
        <v>35080</v>
      </c>
      <c r="B912" t="s">
        <v>1054</v>
      </c>
      <c r="C912">
        <v>17260</v>
      </c>
      <c r="D912">
        <v>250</v>
      </c>
      <c r="E912">
        <v>1.47</v>
      </c>
      <c r="F912">
        <v>21470</v>
      </c>
      <c r="G912">
        <v>0.8</v>
      </c>
      <c r="H912" t="s">
        <v>397</v>
      </c>
      <c r="I912" t="s">
        <v>397</v>
      </c>
      <c r="J912">
        <v>40293</v>
      </c>
      <c r="K912">
        <v>0.43</v>
      </c>
      <c r="L912">
        <v>200</v>
      </c>
      <c r="M912">
        <v>1.1599999999999999</v>
      </c>
    </row>
    <row r="913" spans="1:13">
      <c r="A913" s="28">
        <v>72470</v>
      </c>
      <c r="B913" t="s">
        <v>1055</v>
      </c>
      <c r="C913">
        <v>3865</v>
      </c>
      <c r="D913">
        <v>-45</v>
      </c>
      <c r="E913">
        <v>-1.1499999999999999</v>
      </c>
      <c r="F913" t="s">
        <v>397</v>
      </c>
      <c r="G913" t="s">
        <v>397</v>
      </c>
      <c r="H913" t="s">
        <v>397</v>
      </c>
      <c r="I913" t="s">
        <v>397</v>
      </c>
      <c r="J913">
        <v>6615</v>
      </c>
      <c r="K913">
        <v>0.57999999999999996</v>
      </c>
      <c r="L913">
        <v>45</v>
      </c>
      <c r="M913">
        <v>1.1599999999999999</v>
      </c>
    </row>
    <row r="914" spans="1:13">
      <c r="A914" s="28">
        <v>51900</v>
      </c>
      <c r="B914" t="s">
        <v>1056</v>
      </c>
      <c r="C914">
        <v>345500</v>
      </c>
      <c r="D914">
        <v>-1500</v>
      </c>
      <c r="E914">
        <v>-0.43</v>
      </c>
      <c r="F914">
        <v>14112</v>
      </c>
      <c r="G914">
        <v>24.48</v>
      </c>
      <c r="H914">
        <v>16660</v>
      </c>
      <c r="I914">
        <v>20.74</v>
      </c>
      <c r="J914">
        <v>364213</v>
      </c>
      <c r="K914">
        <v>0.95</v>
      </c>
      <c r="L914">
        <v>4000</v>
      </c>
      <c r="M914">
        <v>1.1599999999999999</v>
      </c>
    </row>
    <row r="915" spans="1:13">
      <c r="A915" s="28">
        <v>31510</v>
      </c>
      <c r="B915" t="s">
        <v>1057</v>
      </c>
      <c r="C915">
        <v>1728</v>
      </c>
      <c r="D915">
        <v>16</v>
      </c>
      <c r="E915">
        <v>0.93</v>
      </c>
      <c r="F915" t="s">
        <v>397</v>
      </c>
      <c r="G915" t="s">
        <v>397</v>
      </c>
      <c r="H915" t="s">
        <v>397</v>
      </c>
      <c r="I915" t="s">
        <v>397</v>
      </c>
      <c r="J915">
        <v>3556</v>
      </c>
      <c r="K915">
        <v>0.49</v>
      </c>
      <c r="L915">
        <v>20</v>
      </c>
      <c r="M915">
        <v>1.1599999999999999</v>
      </c>
    </row>
    <row r="916" spans="1:13">
      <c r="A916" s="28">
        <v>14680</v>
      </c>
      <c r="B916" t="s">
        <v>1058</v>
      </c>
      <c r="C916">
        <v>183700</v>
      </c>
      <c r="D916">
        <v>-5000</v>
      </c>
      <c r="E916">
        <v>-2.65</v>
      </c>
      <c r="F916">
        <v>14099</v>
      </c>
      <c r="G916">
        <v>13.03</v>
      </c>
      <c r="H916">
        <v>12012</v>
      </c>
      <c r="I916">
        <v>15.29</v>
      </c>
      <c r="J916">
        <v>70184</v>
      </c>
      <c r="K916">
        <v>2.62</v>
      </c>
      <c r="L916">
        <v>2100</v>
      </c>
      <c r="M916">
        <v>1.1399999999999999</v>
      </c>
    </row>
    <row r="917" spans="1:13">
      <c r="A917" s="28">
        <v>53290</v>
      </c>
      <c r="B917" t="s">
        <v>1059</v>
      </c>
      <c r="C917">
        <v>5260</v>
      </c>
      <c r="D917">
        <v>-70</v>
      </c>
      <c r="E917">
        <v>-1.31</v>
      </c>
      <c r="F917">
        <v>275</v>
      </c>
      <c r="G917">
        <v>19.13</v>
      </c>
      <c r="H917" t="s">
        <v>397</v>
      </c>
      <c r="I917" t="s">
        <v>397</v>
      </c>
      <c r="J917">
        <v>5170</v>
      </c>
      <c r="K917">
        <v>1.02</v>
      </c>
      <c r="L917">
        <v>60</v>
      </c>
      <c r="M917">
        <v>1.1399999999999999</v>
      </c>
    </row>
    <row r="918" spans="1:13">
      <c r="A918" s="28">
        <v>215360</v>
      </c>
      <c r="B918" t="s">
        <v>1060</v>
      </c>
      <c r="C918">
        <v>13180</v>
      </c>
      <c r="D918">
        <v>-180</v>
      </c>
      <c r="E918">
        <v>-1.35</v>
      </c>
      <c r="F918" t="s">
        <v>397</v>
      </c>
      <c r="G918" t="s">
        <v>397</v>
      </c>
      <c r="H918" t="s">
        <v>397</v>
      </c>
      <c r="I918" t="s">
        <v>397</v>
      </c>
      <c r="J918">
        <v>9123</v>
      </c>
      <c r="K918">
        <v>1.44</v>
      </c>
      <c r="L918">
        <v>150</v>
      </c>
      <c r="M918">
        <v>1.1399999999999999</v>
      </c>
    </row>
    <row r="919" spans="1:13">
      <c r="A919" s="28">
        <v>1420</v>
      </c>
      <c r="B919" t="s">
        <v>1061</v>
      </c>
      <c r="C919">
        <v>4375</v>
      </c>
      <c r="D919">
        <v>145</v>
      </c>
      <c r="E919">
        <v>3.43</v>
      </c>
      <c r="F919" t="s">
        <v>397</v>
      </c>
      <c r="G919" t="s">
        <v>397</v>
      </c>
      <c r="H919" t="s">
        <v>397</v>
      </c>
      <c r="I919" t="s">
        <v>397</v>
      </c>
      <c r="J919">
        <v>4033</v>
      </c>
      <c r="K919">
        <v>1.08</v>
      </c>
      <c r="L919">
        <v>50</v>
      </c>
      <c r="M919">
        <v>1.1399999999999999</v>
      </c>
    </row>
    <row r="920" spans="1:13">
      <c r="A920" s="28">
        <v>8470</v>
      </c>
      <c r="B920" t="s">
        <v>1062</v>
      </c>
      <c r="C920">
        <v>4405</v>
      </c>
      <c r="D920">
        <v>-15</v>
      </c>
      <c r="E920">
        <v>-0.34</v>
      </c>
      <c r="F920" t="s">
        <v>397</v>
      </c>
      <c r="G920" t="s">
        <v>397</v>
      </c>
      <c r="H920" t="s">
        <v>397</v>
      </c>
      <c r="I920" t="s">
        <v>397</v>
      </c>
      <c r="J920">
        <v>9740</v>
      </c>
      <c r="K920">
        <v>0.45</v>
      </c>
      <c r="L920">
        <v>50</v>
      </c>
      <c r="M920">
        <v>1.1399999999999999</v>
      </c>
    </row>
    <row r="921" spans="1:13">
      <c r="A921" s="28">
        <v>161890</v>
      </c>
      <c r="B921" t="s">
        <v>1063</v>
      </c>
      <c r="C921">
        <v>43750</v>
      </c>
      <c r="D921">
        <v>-100</v>
      </c>
      <c r="E921">
        <v>-0.23</v>
      </c>
      <c r="F921" t="s">
        <v>397</v>
      </c>
      <c r="G921" t="s">
        <v>397</v>
      </c>
      <c r="H921">
        <v>3973</v>
      </c>
      <c r="I921">
        <v>11.01</v>
      </c>
      <c r="J921">
        <v>29024</v>
      </c>
      <c r="K921">
        <v>1.51</v>
      </c>
      <c r="L921">
        <v>500</v>
      </c>
      <c r="M921">
        <v>1.1399999999999999</v>
      </c>
    </row>
    <row r="922" spans="1:13">
      <c r="A922" s="28">
        <v>14710</v>
      </c>
      <c r="B922" t="s">
        <v>1064</v>
      </c>
      <c r="C922">
        <v>3545</v>
      </c>
      <c r="D922">
        <v>50</v>
      </c>
      <c r="E922">
        <v>1.43</v>
      </c>
      <c r="F922">
        <v>482</v>
      </c>
      <c r="G922">
        <v>7.35</v>
      </c>
      <c r="H922" t="s">
        <v>397</v>
      </c>
      <c r="I922" t="s">
        <v>397</v>
      </c>
      <c r="J922">
        <v>13889</v>
      </c>
      <c r="K922">
        <v>0.26</v>
      </c>
      <c r="L922">
        <v>40</v>
      </c>
      <c r="M922">
        <v>1.1299999999999999</v>
      </c>
    </row>
    <row r="923" spans="1:13">
      <c r="A923" s="28">
        <v>54950</v>
      </c>
      <c r="B923" t="s">
        <v>1065</v>
      </c>
      <c r="C923">
        <v>26500</v>
      </c>
      <c r="D923">
        <v>-600</v>
      </c>
      <c r="E923">
        <v>-2.21</v>
      </c>
      <c r="F923">
        <v>1368</v>
      </c>
      <c r="G923">
        <v>19.37</v>
      </c>
      <c r="H923">
        <v>2554</v>
      </c>
      <c r="I923">
        <v>10.37</v>
      </c>
      <c r="J923">
        <v>13728</v>
      </c>
      <c r="K923">
        <v>1.93</v>
      </c>
      <c r="L923">
        <v>300</v>
      </c>
      <c r="M923">
        <v>1.1299999999999999</v>
      </c>
    </row>
    <row r="924" spans="1:13">
      <c r="A924" s="28">
        <v>2220</v>
      </c>
      <c r="B924" t="s">
        <v>1066</v>
      </c>
      <c r="C924">
        <v>2650</v>
      </c>
      <c r="D924">
        <v>-50</v>
      </c>
      <c r="E924">
        <v>-1.85</v>
      </c>
      <c r="F924" t="s">
        <v>397</v>
      </c>
      <c r="G924" t="s">
        <v>397</v>
      </c>
      <c r="H924" t="s">
        <v>397</v>
      </c>
      <c r="I924" t="s">
        <v>397</v>
      </c>
      <c r="J924">
        <v>7065</v>
      </c>
      <c r="K924">
        <v>0.38</v>
      </c>
      <c r="L924">
        <v>30</v>
      </c>
      <c r="M924">
        <v>1.1299999999999999</v>
      </c>
    </row>
    <row r="925" spans="1:13">
      <c r="A925" s="28">
        <v>86450</v>
      </c>
      <c r="B925" t="s">
        <v>1067</v>
      </c>
      <c r="C925">
        <v>15870</v>
      </c>
      <c r="D925">
        <v>-130</v>
      </c>
      <c r="E925">
        <v>-0.81</v>
      </c>
      <c r="F925">
        <v>1203</v>
      </c>
      <c r="G925">
        <v>13.19</v>
      </c>
      <c r="H925">
        <v>1496</v>
      </c>
      <c r="I925">
        <v>10.61</v>
      </c>
      <c r="J925">
        <v>11419</v>
      </c>
      <c r="K925">
        <v>1.39</v>
      </c>
      <c r="L925">
        <v>180</v>
      </c>
      <c r="M925">
        <v>1.1299999999999999</v>
      </c>
    </row>
    <row r="926" spans="1:13">
      <c r="A926" s="28">
        <v>36200</v>
      </c>
      <c r="B926" t="s">
        <v>1068</v>
      </c>
      <c r="C926">
        <v>8820</v>
      </c>
      <c r="D926">
        <v>-460</v>
      </c>
      <c r="E926">
        <v>-4.96</v>
      </c>
      <c r="F926">
        <v>666</v>
      </c>
      <c r="G926">
        <v>13.24</v>
      </c>
      <c r="H926" t="s">
        <v>397</v>
      </c>
      <c r="I926" t="s">
        <v>397</v>
      </c>
      <c r="J926">
        <v>6780</v>
      </c>
      <c r="K926">
        <v>1.3</v>
      </c>
      <c r="L926">
        <v>100</v>
      </c>
      <c r="M926">
        <v>1.1299999999999999</v>
      </c>
    </row>
    <row r="927" spans="1:13">
      <c r="A927" s="28">
        <v>83550</v>
      </c>
      <c r="B927" t="s">
        <v>1069</v>
      </c>
      <c r="C927">
        <v>4465</v>
      </c>
      <c r="D927">
        <v>-25</v>
      </c>
      <c r="E927">
        <v>-0.56000000000000005</v>
      </c>
      <c r="F927">
        <v>667</v>
      </c>
      <c r="G927">
        <v>6.69</v>
      </c>
      <c r="H927" t="s">
        <v>397</v>
      </c>
      <c r="I927" t="s">
        <v>397</v>
      </c>
      <c r="J927">
        <v>11611</v>
      </c>
      <c r="K927">
        <v>0.38</v>
      </c>
      <c r="L927">
        <v>50</v>
      </c>
      <c r="M927">
        <v>1.1200000000000001</v>
      </c>
    </row>
    <row r="928" spans="1:13">
      <c r="A928" s="28">
        <v>23460</v>
      </c>
      <c r="B928" t="s">
        <v>1070</v>
      </c>
      <c r="C928">
        <v>1787</v>
      </c>
      <c r="D928">
        <v>-3</v>
      </c>
      <c r="E928">
        <v>-0.17</v>
      </c>
      <c r="F928" t="s">
        <v>397</v>
      </c>
      <c r="G928" t="s">
        <v>397</v>
      </c>
      <c r="H928" t="s">
        <v>397</v>
      </c>
      <c r="I928" t="s">
        <v>397</v>
      </c>
      <c r="J928">
        <v>3404</v>
      </c>
      <c r="K928">
        <v>0.52</v>
      </c>
      <c r="L928">
        <v>20</v>
      </c>
      <c r="M928">
        <v>1.1200000000000001</v>
      </c>
    </row>
    <row r="929" spans="1:13">
      <c r="A929" s="28">
        <v>18500</v>
      </c>
      <c r="B929" t="s">
        <v>1071</v>
      </c>
      <c r="C929">
        <v>1789</v>
      </c>
      <c r="D929">
        <v>-10</v>
      </c>
      <c r="E929">
        <v>-0.56000000000000005</v>
      </c>
      <c r="F929">
        <v>389</v>
      </c>
      <c r="G929">
        <v>4.5999999999999996</v>
      </c>
      <c r="H929" t="s">
        <v>397</v>
      </c>
      <c r="I929" t="s">
        <v>397</v>
      </c>
      <c r="J929">
        <v>1919</v>
      </c>
      <c r="K929">
        <v>0.93</v>
      </c>
      <c r="L929">
        <v>20</v>
      </c>
      <c r="M929">
        <v>1.1200000000000001</v>
      </c>
    </row>
    <row r="930" spans="1:13">
      <c r="A930" s="28">
        <v>356860</v>
      </c>
      <c r="B930" t="s">
        <v>1072</v>
      </c>
      <c r="C930">
        <v>26800</v>
      </c>
      <c r="D930">
        <v>500</v>
      </c>
      <c r="E930">
        <v>1.9</v>
      </c>
      <c r="F930">
        <v>3108</v>
      </c>
      <c r="G930">
        <v>8.6199999999999992</v>
      </c>
      <c r="H930">
        <v>1111</v>
      </c>
      <c r="I930">
        <v>24.12</v>
      </c>
      <c r="J930">
        <v>11424</v>
      </c>
      <c r="K930">
        <v>2.35</v>
      </c>
      <c r="L930">
        <v>300</v>
      </c>
      <c r="M930">
        <v>1.1200000000000001</v>
      </c>
    </row>
    <row r="931" spans="1:13">
      <c r="A931" s="28">
        <v>263860</v>
      </c>
      <c r="B931" t="s">
        <v>1073</v>
      </c>
      <c r="C931">
        <v>13470</v>
      </c>
      <c r="D931">
        <v>170</v>
      </c>
      <c r="E931">
        <v>1.28</v>
      </c>
      <c r="F931">
        <v>810</v>
      </c>
      <c r="G931">
        <v>16.63</v>
      </c>
      <c r="H931">
        <v>1057</v>
      </c>
      <c r="I931">
        <v>12.74</v>
      </c>
      <c r="J931">
        <v>5428</v>
      </c>
      <c r="K931">
        <v>2.48</v>
      </c>
      <c r="L931">
        <v>150</v>
      </c>
      <c r="M931">
        <v>1.1100000000000001</v>
      </c>
    </row>
    <row r="932" spans="1:13">
      <c r="A932" s="28">
        <v>50960</v>
      </c>
      <c r="B932" t="s">
        <v>1074</v>
      </c>
      <c r="C932">
        <v>11290</v>
      </c>
      <c r="D932">
        <v>0</v>
      </c>
      <c r="E932">
        <v>0</v>
      </c>
      <c r="F932">
        <v>369</v>
      </c>
      <c r="G932">
        <v>30.6</v>
      </c>
      <c r="H932" t="s">
        <v>397</v>
      </c>
      <c r="I932" t="s">
        <v>397</v>
      </c>
      <c r="J932">
        <v>11972</v>
      </c>
      <c r="K932">
        <v>0.94</v>
      </c>
      <c r="L932">
        <v>125</v>
      </c>
      <c r="M932">
        <v>1.1100000000000001</v>
      </c>
    </row>
    <row r="933" spans="1:13">
      <c r="A933" s="28">
        <v>25820</v>
      </c>
      <c r="B933" t="s">
        <v>1075</v>
      </c>
      <c r="C933">
        <v>4545</v>
      </c>
      <c r="D933">
        <v>325</v>
      </c>
      <c r="E933">
        <v>7.7</v>
      </c>
      <c r="F933">
        <v>171</v>
      </c>
      <c r="G933">
        <v>26.58</v>
      </c>
      <c r="H933" t="s">
        <v>397</v>
      </c>
      <c r="I933" t="s">
        <v>397</v>
      </c>
      <c r="J933">
        <v>3804</v>
      </c>
      <c r="K933">
        <v>1.19</v>
      </c>
      <c r="L933">
        <v>50</v>
      </c>
      <c r="M933">
        <v>1.1000000000000001</v>
      </c>
    </row>
    <row r="934" spans="1:13">
      <c r="A934" s="28">
        <v>333050</v>
      </c>
      <c r="B934" t="s">
        <v>1076</v>
      </c>
      <c r="C934">
        <v>1270</v>
      </c>
      <c r="D934">
        <v>3</v>
      </c>
      <c r="E934">
        <v>0.24</v>
      </c>
      <c r="F934" t="s">
        <v>397</v>
      </c>
      <c r="G934" t="s">
        <v>397</v>
      </c>
      <c r="H934" t="s">
        <v>397</v>
      </c>
      <c r="I934" t="s">
        <v>397</v>
      </c>
      <c r="J934">
        <v>837</v>
      </c>
      <c r="K934">
        <v>1.52</v>
      </c>
      <c r="L934">
        <v>14</v>
      </c>
      <c r="M934">
        <v>1.1000000000000001</v>
      </c>
    </row>
    <row r="935" spans="1:13">
      <c r="A935" s="28">
        <v>3030</v>
      </c>
      <c r="B935" t="s">
        <v>1077</v>
      </c>
      <c r="C935">
        <v>205000</v>
      </c>
      <c r="D935">
        <v>0</v>
      </c>
      <c r="E935">
        <v>0</v>
      </c>
      <c r="F935">
        <v>68897</v>
      </c>
      <c r="G935">
        <v>2.98</v>
      </c>
      <c r="H935" t="s">
        <v>397</v>
      </c>
      <c r="I935" t="s">
        <v>397</v>
      </c>
      <c r="J935">
        <v>372105</v>
      </c>
      <c r="K935">
        <v>0.55000000000000004</v>
      </c>
      <c r="L935">
        <v>2250</v>
      </c>
      <c r="M935">
        <v>1.1000000000000001</v>
      </c>
    </row>
    <row r="936" spans="1:13">
      <c r="A936" s="28">
        <v>327260</v>
      </c>
      <c r="B936" t="s">
        <v>1078</v>
      </c>
      <c r="C936">
        <v>9100</v>
      </c>
      <c r="D936">
        <v>-40</v>
      </c>
      <c r="E936">
        <v>-0.44</v>
      </c>
      <c r="F936">
        <v>411</v>
      </c>
      <c r="G936">
        <v>22.14</v>
      </c>
      <c r="H936" t="s">
        <v>397</v>
      </c>
      <c r="I936" t="s">
        <v>397</v>
      </c>
      <c r="J936">
        <v>5233</v>
      </c>
      <c r="K936">
        <v>1.74</v>
      </c>
      <c r="L936">
        <v>100</v>
      </c>
      <c r="M936">
        <v>1.1000000000000001</v>
      </c>
    </row>
    <row r="937" spans="1:13">
      <c r="A937" s="28">
        <v>251630</v>
      </c>
      <c r="B937" t="s">
        <v>1079</v>
      </c>
      <c r="C937">
        <v>9160</v>
      </c>
      <c r="D937">
        <v>-80</v>
      </c>
      <c r="E937">
        <v>-0.87</v>
      </c>
      <c r="F937" t="s">
        <v>397</v>
      </c>
      <c r="G937" t="s">
        <v>397</v>
      </c>
      <c r="H937" t="s">
        <v>397</v>
      </c>
      <c r="I937" t="s">
        <v>397</v>
      </c>
      <c r="J937">
        <v>6661</v>
      </c>
      <c r="K937">
        <v>1.38</v>
      </c>
      <c r="L937">
        <v>100</v>
      </c>
      <c r="M937">
        <v>1.0900000000000001</v>
      </c>
    </row>
    <row r="938" spans="1:13">
      <c r="A938" s="28">
        <v>230</v>
      </c>
      <c r="B938" t="s">
        <v>1080</v>
      </c>
      <c r="C938">
        <v>9160</v>
      </c>
      <c r="D938">
        <v>-20</v>
      </c>
      <c r="E938">
        <v>-0.22</v>
      </c>
      <c r="F938" t="s">
        <v>397</v>
      </c>
      <c r="G938" t="s">
        <v>397</v>
      </c>
      <c r="H938" t="s">
        <v>397</v>
      </c>
      <c r="I938" t="s">
        <v>397</v>
      </c>
      <c r="J938">
        <v>1046</v>
      </c>
      <c r="K938">
        <v>8.76</v>
      </c>
      <c r="L938">
        <v>100</v>
      </c>
      <c r="M938">
        <v>1.0900000000000001</v>
      </c>
    </row>
    <row r="939" spans="1:13">
      <c r="A939" s="28">
        <v>348350</v>
      </c>
      <c r="B939" t="s">
        <v>1081</v>
      </c>
      <c r="C939">
        <v>9190</v>
      </c>
      <c r="D939">
        <v>-50</v>
      </c>
      <c r="E939">
        <v>-0.54</v>
      </c>
      <c r="F939">
        <v>1210</v>
      </c>
      <c r="G939">
        <v>7.6</v>
      </c>
      <c r="H939" t="s">
        <v>397</v>
      </c>
      <c r="I939" t="s">
        <v>397</v>
      </c>
      <c r="J939">
        <v>10908</v>
      </c>
      <c r="K939">
        <v>0.84</v>
      </c>
      <c r="L939">
        <v>100</v>
      </c>
      <c r="M939">
        <v>1.0900000000000001</v>
      </c>
    </row>
    <row r="940" spans="1:13">
      <c r="A940" s="28">
        <v>82920</v>
      </c>
      <c r="B940" t="s">
        <v>1082</v>
      </c>
      <c r="C940">
        <v>18320</v>
      </c>
      <c r="D940">
        <v>-810</v>
      </c>
      <c r="E940">
        <v>-4.2300000000000004</v>
      </c>
      <c r="F940">
        <v>1089</v>
      </c>
      <c r="G940">
        <v>16.82</v>
      </c>
      <c r="H940" t="s">
        <v>397</v>
      </c>
      <c r="I940" t="s">
        <v>397</v>
      </c>
      <c r="J940">
        <v>8768</v>
      </c>
      <c r="K940">
        <v>2.09</v>
      </c>
      <c r="L940">
        <v>200</v>
      </c>
      <c r="M940">
        <v>1.0900000000000001</v>
      </c>
    </row>
    <row r="941" spans="1:13">
      <c r="A941" s="28">
        <v>7570</v>
      </c>
      <c r="B941" t="s">
        <v>1083</v>
      </c>
      <c r="C941">
        <v>13910</v>
      </c>
      <c r="D941">
        <v>-340</v>
      </c>
      <c r="E941">
        <v>-2.39</v>
      </c>
      <c r="F941">
        <v>1036</v>
      </c>
      <c r="G941">
        <v>13.43</v>
      </c>
      <c r="H941" t="s">
        <v>397</v>
      </c>
      <c r="I941" t="s">
        <v>397</v>
      </c>
      <c r="J941">
        <v>12974</v>
      </c>
      <c r="K941">
        <v>1.07</v>
      </c>
      <c r="L941">
        <v>150</v>
      </c>
      <c r="M941">
        <v>1.08</v>
      </c>
    </row>
    <row r="942" spans="1:13">
      <c r="A942" s="28">
        <v>41830</v>
      </c>
      <c r="B942" t="s">
        <v>1084</v>
      </c>
      <c r="C942">
        <v>27850</v>
      </c>
      <c r="D942">
        <v>-650</v>
      </c>
      <c r="E942">
        <v>-2.2799999999999998</v>
      </c>
      <c r="F942">
        <v>2596</v>
      </c>
      <c r="G942">
        <v>10.73</v>
      </c>
      <c r="H942">
        <v>3124</v>
      </c>
      <c r="I942">
        <v>8.91</v>
      </c>
      <c r="J942">
        <v>16524</v>
      </c>
      <c r="K942">
        <v>1.69</v>
      </c>
      <c r="L942">
        <v>300</v>
      </c>
      <c r="M942">
        <v>1.08</v>
      </c>
    </row>
    <row r="943" spans="1:13">
      <c r="A943" s="28">
        <v>38950</v>
      </c>
      <c r="B943" t="s">
        <v>1085</v>
      </c>
      <c r="C943">
        <v>4670</v>
      </c>
      <c r="D943">
        <v>-25</v>
      </c>
      <c r="E943">
        <v>-0.53</v>
      </c>
      <c r="F943" t="s">
        <v>397</v>
      </c>
      <c r="G943" t="s">
        <v>397</v>
      </c>
      <c r="H943" t="s">
        <v>397</v>
      </c>
      <c r="I943" t="s">
        <v>397</v>
      </c>
      <c r="J943">
        <v>10896</v>
      </c>
      <c r="K943">
        <v>0.43</v>
      </c>
      <c r="L943">
        <v>50</v>
      </c>
      <c r="M943">
        <v>1.07</v>
      </c>
    </row>
    <row r="944" spans="1:13">
      <c r="A944" s="28">
        <v>5257</v>
      </c>
      <c r="B944" t="s">
        <v>1086</v>
      </c>
      <c r="C944">
        <v>28100</v>
      </c>
      <c r="D944">
        <v>-400</v>
      </c>
      <c r="E944">
        <v>-1.4</v>
      </c>
      <c r="F944" t="s">
        <v>397</v>
      </c>
      <c r="G944" t="s">
        <v>397</v>
      </c>
      <c r="H944" t="s">
        <v>397</v>
      </c>
      <c r="I944" t="s">
        <v>397</v>
      </c>
      <c r="J944" t="s">
        <v>397</v>
      </c>
      <c r="K944" t="s">
        <v>397</v>
      </c>
      <c r="L944">
        <v>300</v>
      </c>
      <c r="M944">
        <v>1.07</v>
      </c>
    </row>
    <row r="945" spans="1:13">
      <c r="A945" s="28">
        <v>206640</v>
      </c>
      <c r="B945" t="s">
        <v>1087</v>
      </c>
      <c r="C945">
        <v>14130</v>
      </c>
      <c r="D945">
        <v>-460</v>
      </c>
      <c r="E945">
        <v>-3.15</v>
      </c>
      <c r="F945">
        <v>1080</v>
      </c>
      <c r="G945">
        <v>13.08</v>
      </c>
      <c r="H945">
        <v>1416</v>
      </c>
      <c r="I945">
        <v>9.98</v>
      </c>
      <c r="J945">
        <v>7445</v>
      </c>
      <c r="K945">
        <v>1.9</v>
      </c>
      <c r="L945">
        <v>150</v>
      </c>
      <c r="M945">
        <v>1.06</v>
      </c>
    </row>
    <row r="946" spans="1:13">
      <c r="A946" s="28">
        <v>25540</v>
      </c>
      <c r="B946" t="s">
        <v>1088</v>
      </c>
      <c r="C946">
        <v>65800</v>
      </c>
      <c r="D946">
        <v>100</v>
      </c>
      <c r="E946">
        <v>0.15</v>
      </c>
      <c r="F946">
        <v>4723</v>
      </c>
      <c r="G946">
        <v>13.93</v>
      </c>
      <c r="H946">
        <v>9474</v>
      </c>
      <c r="I946">
        <v>6.95</v>
      </c>
      <c r="J946">
        <v>84382</v>
      </c>
      <c r="K946">
        <v>0.78</v>
      </c>
      <c r="L946">
        <v>700</v>
      </c>
      <c r="M946">
        <v>1.06</v>
      </c>
    </row>
    <row r="947" spans="1:13">
      <c r="A947" s="28">
        <v>163730</v>
      </c>
      <c r="B947" t="s">
        <v>1089</v>
      </c>
      <c r="C947">
        <v>9390</v>
      </c>
      <c r="D947">
        <v>-60</v>
      </c>
      <c r="E947">
        <v>-0.63</v>
      </c>
      <c r="F947">
        <v>189</v>
      </c>
      <c r="G947">
        <v>49.68</v>
      </c>
      <c r="H947" t="s">
        <v>397</v>
      </c>
      <c r="I947" t="s">
        <v>397</v>
      </c>
      <c r="J947">
        <v>4881</v>
      </c>
      <c r="K947">
        <v>1.92</v>
      </c>
      <c r="L947">
        <v>100</v>
      </c>
      <c r="M947">
        <v>1.06</v>
      </c>
    </row>
    <row r="948" spans="1:13">
      <c r="A948" s="28">
        <v>382480</v>
      </c>
      <c r="B948" t="s">
        <v>1090</v>
      </c>
      <c r="C948">
        <v>3195</v>
      </c>
      <c r="D948">
        <v>-145</v>
      </c>
      <c r="E948">
        <v>-4.34</v>
      </c>
      <c r="F948">
        <v>166</v>
      </c>
      <c r="G948">
        <v>19.25</v>
      </c>
      <c r="H948" t="s">
        <v>397</v>
      </c>
      <c r="I948" t="s">
        <v>397</v>
      </c>
      <c r="J948">
        <v>1427</v>
      </c>
      <c r="K948">
        <v>2.2400000000000002</v>
      </c>
      <c r="L948">
        <v>34</v>
      </c>
      <c r="M948">
        <v>1.06</v>
      </c>
    </row>
    <row r="949" spans="1:13">
      <c r="A949" s="28">
        <v>7210</v>
      </c>
      <c r="B949" t="s">
        <v>1091</v>
      </c>
      <c r="C949">
        <v>2385</v>
      </c>
      <c r="D949">
        <v>-45</v>
      </c>
      <c r="E949">
        <v>-1.85</v>
      </c>
      <c r="F949">
        <v>175</v>
      </c>
      <c r="G949">
        <v>13.63</v>
      </c>
      <c r="H949" t="s">
        <v>397</v>
      </c>
      <c r="I949" t="s">
        <v>397</v>
      </c>
      <c r="J949">
        <v>4254</v>
      </c>
      <c r="K949">
        <v>0.56000000000000005</v>
      </c>
      <c r="L949">
        <v>25</v>
      </c>
      <c r="M949">
        <v>1.05</v>
      </c>
    </row>
    <row r="950" spans="1:13">
      <c r="A950" s="28">
        <v>53270</v>
      </c>
      <c r="B950" t="s">
        <v>1092</v>
      </c>
      <c r="C950">
        <v>2845</v>
      </c>
      <c r="D950">
        <v>0</v>
      </c>
      <c r="E950">
        <v>0</v>
      </c>
      <c r="F950">
        <v>159</v>
      </c>
      <c r="G950">
        <v>17.89</v>
      </c>
      <c r="H950" t="s">
        <v>397</v>
      </c>
      <c r="I950" t="s">
        <v>397</v>
      </c>
      <c r="J950">
        <v>3328</v>
      </c>
      <c r="K950">
        <v>0.85</v>
      </c>
      <c r="L950">
        <v>30</v>
      </c>
      <c r="M950">
        <v>1.05</v>
      </c>
    </row>
    <row r="951" spans="1:13">
      <c r="A951" s="28">
        <v>119850</v>
      </c>
      <c r="B951" t="s">
        <v>1093</v>
      </c>
      <c r="C951">
        <v>4750</v>
      </c>
      <c r="D951">
        <v>15</v>
      </c>
      <c r="E951">
        <v>0.32</v>
      </c>
      <c r="F951">
        <v>1727</v>
      </c>
      <c r="G951">
        <v>2.75</v>
      </c>
      <c r="H951" t="s">
        <v>397</v>
      </c>
      <c r="I951" t="s">
        <v>397</v>
      </c>
      <c r="J951">
        <v>7201</v>
      </c>
      <c r="K951">
        <v>0.66</v>
      </c>
      <c r="L951">
        <v>50</v>
      </c>
      <c r="M951">
        <v>1.05</v>
      </c>
    </row>
    <row r="952" spans="1:13">
      <c r="A952" s="28">
        <v>89980</v>
      </c>
      <c r="B952" t="s">
        <v>1094</v>
      </c>
      <c r="C952">
        <v>19130</v>
      </c>
      <c r="D952">
        <v>-200</v>
      </c>
      <c r="E952">
        <v>-1.03</v>
      </c>
      <c r="F952">
        <v>476</v>
      </c>
      <c r="G952">
        <v>40.19</v>
      </c>
      <c r="H952" t="s">
        <v>397</v>
      </c>
      <c r="I952" t="s">
        <v>397</v>
      </c>
      <c r="J952">
        <v>11865</v>
      </c>
      <c r="K952">
        <v>1.61</v>
      </c>
      <c r="L952">
        <v>200</v>
      </c>
      <c r="M952">
        <v>1.05</v>
      </c>
    </row>
    <row r="953" spans="1:13">
      <c r="A953" s="28">
        <v>382840</v>
      </c>
      <c r="B953" t="s">
        <v>1095</v>
      </c>
      <c r="C953">
        <v>19110</v>
      </c>
      <c r="D953">
        <v>-60</v>
      </c>
      <c r="E953">
        <v>-0.31</v>
      </c>
      <c r="F953">
        <v>1008</v>
      </c>
      <c r="G953">
        <v>18.96</v>
      </c>
      <c r="H953" t="s">
        <v>397</v>
      </c>
      <c r="I953" t="s">
        <v>397</v>
      </c>
      <c r="J953">
        <v>7400</v>
      </c>
      <c r="K953">
        <v>2.58</v>
      </c>
      <c r="L953">
        <v>200</v>
      </c>
      <c r="M953">
        <v>1.05</v>
      </c>
    </row>
    <row r="954" spans="1:13">
      <c r="A954" s="28">
        <v>45300</v>
      </c>
      <c r="B954" t="s">
        <v>1096</v>
      </c>
      <c r="C954">
        <v>3830</v>
      </c>
      <c r="D954">
        <v>-35</v>
      </c>
      <c r="E954">
        <v>-0.91</v>
      </c>
      <c r="F954">
        <v>489</v>
      </c>
      <c r="G954">
        <v>7.83</v>
      </c>
      <c r="H954" t="s">
        <v>397</v>
      </c>
      <c r="I954" t="s">
        <v>397</v>
      </c>
      <c r="J954">
        <v>7055</v>
      </c>
      <c r="K954">
        <v>0.54</v>
      </c>
      <c r="L954">
        <v>40</v>
      </c>
      <c r="M954">
        <v>1.04</v>
      </c>
    </row>
    <row r="955" spans="1:13">
      <c r="A955" s="28">
        <v>84695</v>
      </c>
      <c r="B955" t="s">
        <v>1097</v>
      </c>
      <c r="C955">
        <v>27000</v>
      </c>
      <c r="D955">
        <v>2600</v>
      </c>
      <c r="E955">
        <v>10.66</v>
      </c>
      <c r="F955" t="s">
        <v>397</v>
      </c>
      <c r="G955" t="s">
        <v>397</v>
      </c>
      <c r="H955" t="s">
        <v>397</v>
      </c>
      <c r="I955" t="s">
        <v>397</v>
      </c>
      <c r="J955" t="s">
        <v>397</v>
      </c>
      <c r="K955" t="s">
        <v>397</v>
      </c>
      <c r="L955">
        <v>280</v>
      </c>
      <c r="M955">
        <v>1.04</v>
      </c>
    </row>
    <row r="956" spans="1:13">
      <c r="A956" s="28">
        <v>3010</v>
      </c>
      <c r="B956" t="s">
        <v>1098</v>
      </c>
      <c r="C956">
        <v>5760</v>
      </c>
      <c r="D956">
        <v>40</v>
      </c>
      <c r="E956">
        <v>0.7</v>
      </c>
      <c r="F956" t="s">
        <v>397</v>
      </c>
      <c r="G956" t="s">
        <v>397</v>
      </c>
      <c r="H956" t="s">
        <v>397</v>
      </c>
      <c r="I956" t="s">
        <v>397</v>
      </c>
      <c r="J956">
        <v>10052</v>
      </c>
      <c r="K956">
        <v>0.56999999999999995</v>
      </c>
      <c r="L956">
        <v>60</v>
      </c>
      <c r="M956">
        <v>1.04</v>
      </c>
    </row>
    <row r="957" spans="1:13">
      <c r="A957" s="28">
        <v>144960</v>
      </c>
      <c r="B957" t="s">
        <v>1099</v>
      </c>
      <c r="C957">
        <v>4810</v>
      </c>
      <c r="D957">
        <v>-50</v>
      </c>
      <c r="E957">
        <v>-1.03</v>
      </c>
      <c r="F957">
        <v>619</v>
      </c>
      <c r="G957">
        <v>7.77</v>
      </c>
      <c r="H957" t="s">
        <v>397</v>
      </c>
      <c r="I957" t="s">
        <v>397</v>
      </c>
      <c r="J957">
        <v>5561</v>
      </c>
      <c r="K957">
        <v>0.86</v>
      </c>
      <c r="L957">
        <v>50</v>
      </c>
      <c r="M957">
        <v>1.04</v>
      </c>
    </row>
    <row r="958" spans="1:13">
      <c r="A958" s="28">
        <v>5745</v>
      </c>
      <c r="B958" t="s">
        <v>1100</v>
      </c>
      <c r="C958">
        <v>10100</v>
      </c>
      <c r="D958">
        <v>-70</v>
      </c>
      <c r="E958">
        <v>-0.69</v>
      </c>
      <c r="F958" t="s">
        <v>397</v>
      </c>
      <c r="G958" t="s">
        <v>397</v>
      </c>
      <c r="H958" t="s">
        <v>397</v>
      </c>
      <c r="I958" t="s">
        <v>397</v>
      </c>
      <c r="J958" t="s">
        <v>397</v>
      </c>
      <c r="K958" t="s">
        <v>397</v>
      </c>
      <c r="L958">
        <v>105</v>
      </c>
      <c r="M958">
        <v>1.04</v>
      </c>
    </row>
    <row r="959" spans="1:13">
      <c r="A959" s="28">
        <v>66310</v>
      </c>
      <c r="B959" t="s">
        <v>1101</v>
      </c>
      <c r="C959">
        <v>9750</v>
      </c>
      <c r="D959">
        <v>-30</v>
      </c>
      <c r="E959">
        <v>-0.31</v>
      </c>
      <c r="F959">
        <v>757</v>
      </c>
      <c r="G959">
        <v>12.88</v>
      </c>
      <c r="H959" t="s">
        <v>397</v>
      </c>
      <c r="I959" t="s">
        <v>397</v>
      </c>
      <c r="J959">
        <v>8776</v>
      </c>
      <c r="K959">
        <v>1.1100000000000001</v>
      </c>
      <c r="L959">
        <v>100</v>
      </c>
      <c r="M959">
        <v>1.03</v>
      </c>
    </row>
    <row r="960" spans="1:13">
      <c r="A960" s="28">
        <v>90410</v>
      </c>
      <c r="B960" t="s">
        <v>1102</v>
      </c>
      <c r="C960">
        <v>1940</v>
      </c>
      <c r="D960">
        <v>14</v>
      </c>
      <c r="E960">
        <v>0.73</v>
      </c>
      <c r="F960">
        <v>220</v>
      </c>
      <c r="G960">
        <v>8.82</v>
      </c>
      <c r="H960" t="s">
        <v>397</v>
      </c>
      <c r="I960" t="s">
        <v>397</v>
      </c>
      <c r="J960">
        <v>1972</v>
      </c>
      <c r="K960">
        <v>0.98</v>
      </c>
      <c r="L960">
        <v>20</v>
      </c>
      <c r="M960">
        <v>1.03</v>
      </c>
    </row>
    <row r="961" spans="1:13">
      <c r="A961" s="28">
        <v>41440</v>
      </c>
      <c r="B961" t="s">
        <v>1103</v>
      </c>
      <c r="C961">
        <v>6780</v>
      </c>
      <c r="D961">
        <v>120</v>
      </c>
      <c r="E961">
        <v>1.8</v>
      </c>
      <c r="F961">
        <v>600</v>
      </c>
      <c r="G961">
        <v>11.3</v>
      </c>
      <c r="H961" t="s">
        <v>397</v>
      </c>
      <c r="I961" t="s">
        <v>397</v>
      </c>
      <c r="J961">
        <v>10029</v>
      </c>
      <c r="K961">
        <v>0.68</v>
      </c>
      <c r="L961">
        <v>70</v>
      </c>
      <c r="M961">
        <v>1.03</v>
      </c>
    </row>
    <row r="962" spans="1:13">
      <c r="A962" s="28">
        <v>32620</v>
      </c>
      <c r="B962" t="s">
        <v>1104</v>
      </c>
      <c r="C962">
        <v>5800</v>
      </c>
      <c r="D962">
        <v>0</v>
      </c>
      <c r="E962">
        <v>0</v>
      </c>
      <c r="F962">
        <v>71</v>
      </c>
      <c r="G962">
        <v>81.69</v>
      </c>
      <c r="H962" t="s">
        <v>397</v>
      </c>
      <c r="I962" t="s">
        <v>397</v>
      </c>
      <c r="J962">
        <v>2300</v>
      </c>
      <c r="K962">
        <v>2.52</v>
      </c>
      <c r="L962">
        <v>60</v>
      </c>
      <c r="M962">
        <v>1.03</v>
      </c>
    </row>
    <row r="963" spans="1:13">
      <c r="A963" s="28">
        <v>15750</v>
      </c>
      <c r="B963" t="s">
        <v>1105</v>
      </c>
      <c r="C963">
        <v>9690</v>
      </c>
      <c r="D963">
        <v>-10</v>
      </c>
      <c r="E963">
        <v>-0.1</v>
      </c>
      <c r="F963">
        <v>487</v>
      </c>
      <c r="G963">
        <v>19.899999999999999</v>
      </c>
      <c r="H963" t="s">
        <v>397</v>
      </c>
      <c r="I963" t="s">
        <v>397</v>
      </c>
      <c r="J963">
        <v>14578</v>
      </c>
      <c r="K963">
        <v>0.66</v>
      </c>
      <c r="L963">
        <v>100</v>
      </c>
      <c r="M963">
        <v>1.03</v>
      </c>
    </row>
    <row r="964" spans="1:13">
      <c r="A964" s="28">
        <v>99430</v>
      </c>
      <c r="B964" t="s">
        <v>1106</v>
      </c>
      <c r="C964">
        <v>6810</v>
      </c>
      <c r="D964">
        <v>40</v>
      </c>
      <c r="E964">
        <v>0.59</v>
      </c>
      <c r="F964">
        <v>364</v>
      </c>
      <c r="G964">
        <v>18.71</v>
      </c>
      <c r="H964" t="s">
        <v>397</v>
      </c>
      <c r="I964" t="s">
        <v>397</v>
      </c>
      <c r="J964">
        <v>1955</v>
      </c>
      <c r="K964">
        <v>3.48</v>
      </c>
      <c r="L964">
        <v>70</v>
      </c>
      <c r="M964">
        <v>1.03</v>
      </c>
    </row>
    <row r="965" spans="1:13">
      <c r="A965" s="28">
        <v>38110</v>
      </c>
      <c r="B965" t="s">
        <v>1107</v>
      </c>
      <c r="C965">
        <v>4890</v>
      </c>
      <c r="D965">
        <v>-85</v>
      </c>
      <c r="E965">
        <v>-1.71</v>
      </c>
      <c r="F965">
        <v>686</v>
      </c>
      <c r="G965">
        <v>7.13</v>
      </c>
      <c r="H965" t="s">
        <v>397</v>
      </c>
      <c r="I965" t="s">
        <v>397</v>
      </c>
      <c r="J965">
        <v>4512</v>
      </c>
      <c r="K965">
        <v>1.08</v>
      </c>
      <c r="L965">
        <v>50</v>
      </c>
      <c r="M965">
        <v>1.02</v>
      </c>
    </row>
    <row r="966" spans="1:13">
      <c r="A966" s="28">
        <v>6570</v>
      </c>
      <c r="B966" t="s">
        <v>1108</v>
      </c>
      <c r="C966">
        <v>2940</v>
      </c>
      <c r="D966">
        <v>55</v>
      </c>
      <c r="E966">
        <v>1.91</v>
      </c>
      <c r="F966">
        <v>252</v>
      </c>
      <c r="G966">
        <v>11.67</v>
      </c>
      <c r="H966" t="s">
        <v>397</v>
      </c>
      <c r="I966" t="s">
        <v>397</v>
      </c>
      <c r="J966">
        <v>5308</v>
      </c>
      <c r="K966">
        <v>0.55000000000000004</v>
      </c>
      <c r="L966">
        <v>30</v>
      </c>
      <c r="M966">
        <v>1.02</v>
      </c>
    </row>
    <row r="967" spans="1:13">
      <c r="A967" s="28">
        <v>204020</v>
      </c>
      <c r="B967" t="s">
        <v>1109</v>
      </c>
      <c r="C967">
        <v>2940</v>
      </c>
      <c r="D967">
        <v>0</v>
      </c>
      <c r="E967">
        <v>0</v>
      </c>
      <c r="F967">
        <v>101</v>
      </c>
      <c r="G967">
        <v>29.11</v>
      </c>
      <c r="H967" t="s">
        <v>397</v>
      </c>
      <c r="I967" t="s">
        <v>397</v>
      </c>
      <c r="J967">
        <v>3430</v>
      </c>
      <c r="K967">
        <v>0.86</v>
      </c>
      <c r="L967">
        <v>30</v>
      </c>
      <c r="M967">
        <v>1.02</v>
      </c>
    </row>
    <row r="968" spans="1:13">
      <c r="A968" s="28">
        <v>81150</v>
      </c>
      <c r="B968" t="s">
        <v>1110</v>
      </c>
      <c r="C968">
        <v>2985</v>
      </c>
      <c r="D968">
        <v>-30</v>
      </c>
      <c r="E968">
        <v>-1</v>
      </c>
      <c r="F968">
        <v>645</v>
      </c>
      <c r="G968">
        <v>4.63</v>
      </c>
      <c r="H968" t="s">
        <v>397</v>
      </c>
      <c r="I968" t="s">
        <v>397</v>
      </c>
      <c r="J968">
        <v>6547</v>
      </c>
      <c r="K968">
        <v>0.46</v>
      </c>
      <c r="L968">
        <v>30</v>
      </c>
      <c r="M968">
        <v>1.01</v>
      </c>
    </row>
    <row r="969" spans="1:13">
      <c r="A969" s="28">
        <v>271560</v>
      </c>
      <c r="B969" t="s">
        <v>1111</v>
      </c>
      <c r="C969">
        <v>94300</v>
      </c>
      <c r="D969">
        <v>1800</v>
      </c>
      <c r="E969">
        <v>1.95</v>
      </c>
      <c r="F969">
        <v>9926</v>
      </c>
      <c r="G969">
        <v>9.5</v>
      </c>
      <c r="H969">
        <v>10680</v>
      </c>
      <c r="I969">
        <v>8.83</v>
      </c>
      <c r="J969">
        <v>64606</v>
      </c>
      <c r="K969">
        <v>1.46</v>
      </c>
      <c r="L969">
        <v>950</v>
      </c>
      <c r="M969">
        <v>1.01</v>
      </c>
    </row>
    <row r="970" spans="1:13">
      <c r="A970" s="28">
        <v>41910</v>
      </c>
      <c r="B970" t="s">
        <v>1112</v>
      </c>
      <c r="C970">
        <v>9890</v>
      </c>
      <c r="D970">
        <v>0</v>
      </c>
      <c r="E970">
        <v>0</v>
      </c>
      <c r="F970" t="s">
        <v>397</v>
      </c>
      <c r="G970" t="s">
        <v>397</v>
      </c>
      <c r="H970" t="s">
        <v>397</v>
      </c>
      <c r="I970" t="s">
        <v>397</v>
      </c>
      <c r="J970">
        <v>9939</v>
      </c>
      <c r="K970">
        <v>1</v>
      </c>
      <c r="L970">
        <v>100</v>
      </c>
      <c r="M970">
        <v>1.01</v>
      </c>
    </row>
    <row r="971" spans="1:13">
      <c r="A971" s="28">
        <v>58110</v>
      </c>
      <c r="B971" t="s">
        <v>1113</v>
      </c>
      <c r="C971">
        <v>2960</v>
      </c>
      <c r="D971">
        <v>-40</v>
      </c>
      <c r="E971">
        <v>-1.33</v>
      </c>
      <c r="F971" t="s">
        <v>397</v>
      </c>
      <c r="G971" t="s">
        <v>397</v>
      </c>
      <c r="H971" t="s">
        <v>397</v>
      </c>
      <c r="I971" t="s">
        <v>397</v>
      </c>
      <c r="J971">
        <v>4312</v>
      </c>
      <c r="K971">
        <v>0.69</v>
      </c>
      <c r="L971">
        <v>30</v>
      </c>
      <c r="M971">
        <v>1.01</v>
      </c>
    </row>
    <row r="972" spans="1:13">
      <c r="A972" s="28">
        <v>19770</v>
      </c>
      <c r="B972" t="s">
        <v>1114</v>
      </c>
      <c r="C972">
        <v>4475</v>
      </c>
      <c r="D972">
        <v>50</v>
      </c>
      <c r="E972">
        <v>1.1299999999999999</v>
      </c>
      <c r="F972">
        <v>240</v>
      </c>
      <c r="G972">
        <v>18.649999999999999</v>
      </c>
      <c r="H972" t="s">
        <v>397</v>
      </c>
      <c r="I972" t="s">
        <v>397</v>
      </c>
      <c r="J972">
        <v>6522</v>
      </c>
      <c r="K972">
        <v>0.69</v>
      </c>
      <c r="L972">
        <v>45</v>
      </c>
      <c r="M972">
        <v>1.01</v>
      </c>
    </row>
    <row r="973" spans="1:13">
      <c r="A973" s="28">
        <v>112610</v>
      </c>
      <c r="B973" t="s">
        <v>1115</v>
      </c>
      <c r="C973">
        <v>49700</v>
      </c>
      <c r="D973">
        <v>-100</v>
      </c>
      <c r="E973">
        <v>-0.2</v>
      </c>
      <c r="F973" t="s">
        <v>397</v>
      </c>
      <c r="G973" t="s">
        <v>397</v>
      </c>
      <c r="H973">
        <v>3503</v>
      </c>
      <c r="I973">
        <v>14.19</v>
      </c>
      <c r="J973">
        <v>21158</v>
      </c>
      <c r="K973">
        <v>2.35</v>
      </c>
      <c r="L973">
        <v>500</v>
      </c>
      <c r="M973">
        <v>1.01</v>
      </c>
    </row>
    <row r="974" spans="1:13">
      <c r="A974" s="28">
        <v>217500</v>
      </c>
      <c r="B974" t="s">
        <v>1116</v>
      </c>
      <c r="C974">
        <v>3000</v>
      </c>
      <c r="D974">
        <v>-10</v>
      </c>
      <c r="E974">
        <v>-0.33</v>
      </c>
      <c r="F974">
        <v>113</v>
      </c>
      <c r="G974">
        <v>26.55</v>
      </c>
      <c r="H974" t="s">
        <v>397</v>
      </c>
      <c r="I974" t="s">
        <v>397</v>
      </c>
      <c r="J974">
        <v>1830</v>
      </c>
      <c r="K974">
        <v>1.64</v>
      </c>
      <c r="L974">
        <v>30</v>
      </c>
      <c r="M974">
        <v>1</v>
      </c>
    </row>
    <row r="975" spans="1:13">
      <c r="A975" s="28">
        <v>53610</v>
      </c>
      <c r="B975" t="s">
        <v>1117</v>
      </c>
      <c r="C975">
        <v>50000</v>
      </c>
      <c r="D975">
        <v>-1200</v>
      </c>
      <c r="E975">
        <v>-2.34</v>
      </c>
      <c r="F975">
        <v>4626</v>
      </c>
      <c r="G975">
        <v>10.81</v>
      </c>
      <c r="H975">
        <v>3708</v>
      </c>
      <c r="I975">
        <v>13.48</v>
      </c>
      <c r="J975">
        <v>30100</v>
      </c>
      <c r="K975">
        <v>1.66</v>
      </c>
      <c r="L975">
        <v>500</v>
      </c>
      <c r="M975">
        <v>1</v>
      </c>
    </row>
    <row r="976" spans="1:13">
      <c r="A976" s="28">
        <v>131220</v>
      </c>
      <c r="B976" t="s">
        <v>1118</v>
      </c>
      <c r="C976">
        <v>5990</v>
      </c>
      <c r="D976">
        <v>-70</v>
      </c>
      <c r="E976">
        <v>-1.1599999999999999</v>
      </c>
      <c r="F976">
        <v>657</v>
      </c>
      <c r="G976">
        <v>9.1199999999999992</v>
      </c>
      <c r="H976" t="s">
        <v>397</v>
      </c>
      <c r="I976" t="s">
        <v>397</v>
      </c>
      <c r="J976">
        <v>4889</v>
      </c>
      <c r="K976">
        <v>1.23</v>
      </c>
      <c r="L976">
        <v>60</v>
      </c>
      <c r="M976">
        <v>1</v>
      </c>
    </row>
    <row r="977" spans="1:13">
      <c r="A977" s="28">
        <v>33130</v>
      </c>
      <c r="B977" t="s">
        <v>1119</v>
      </c>
      <c r="C977">
        <v>2010</v>
      </c>
      <c r="D977">
        <v>-20</v>
      </c>
      <c r="E977">
        <v>-0.99</v>
      </c>
      <c r="F977">
        <v>75</v>
      </c>
      <c r="G977">
        <v>26.8</v>
      </c>
      <c r="H977" t="s">
        <v>397</v>
      </c>
      <c r="I977" t="s">
        <v>397</v>
      </c>
      <c r="J977">
        <v>2204</v>
      </c>
      <c r="K977">
        <v>0.91</v>
      </c>
      <c r="L977">
        <v>20</v>
      </c>
      <c r="M977">
        <v>1</v>
      </c>
    </row>
    <row r="978" spans="1:13">
      <c r="A978" s="28">
        <v>17810</v>
      </c>
      <c r="B978" t="s">
        <v>1120</v>
      </c>
      <c r="C978">
        <v>10180</v>
      </c>
      <c r="D978">
        <v>-60</v>
      </c>
      <c r="E978">
        <v>-0.59</v>
      </c>
      <c r="F978" t="s">
        <v>397</v>
      </c>
      <c r="G978" t="s">
        <v>397</v>
      </c>
      <c r="H978">
        <v>1234</v>
      </c>
      <c r="I978">
        <v>8.25</v>
      </c>
      <c r="J978">
        <v>11212</v>
      </c>
      <c r="K978">
        <v>0.91</v>
      </c>
      <c r="L978">
        <v>102</v>
      </c>
      <c r="M978">
        <v>1</v>
      </c>
    </row>
    <row r="979" spans="1:13">
      <c r="A979" s="28">
        <v>260930</v>
      </c>
      <c r="B979" t="s">
        <v>1121</v>
      </c>
      <c r="C979">
        <v>4985</v>
      </c>
      <c r="D979">
        <v>-15</v>
      </c>
      <c r="E979">
        <v>-0.3</v>
      </c>
      <c r="F979" t="s">
        <v>397</v>
      </c>
      <c r="G979" t="s">
        <v>397</v>
      </c>
      <c r="H979">
        <v>595</v>
      </c>
      <c r="I979">
        <v>8.3800000000000008</v>
      </c>
      <c r="J979">
        <v>8171</v>
      </c>
      <c r="K979">
        <v>0.61</v>
      </c>
      <c r="L979">
        <v>50</v>
      </c>
      <c r="M979">
        <v>1</v>
      </c>
    </row>
    <row r="980" spans="1:13">
      <c r="A980" s="28">
        <v>123040</v>
      </c>
      <c r="B980" t="s">
        <v>1122</v>
      </c>
      <c r="C980">
        <v>5040</v>
      </c>
      <c r="D980">
        <v>-30</v>
      </c>
      <c r="E980">
        <v>-0.59</v>
      </c>
      <c r="F980">
        <v>997</v>
      </c>
      <c r="G980">
        <v>5.0599999999999996</v>
      </c>
      <c r="H980" t="s">
        <v>397</v>
      </c>
      <c r="I980" t="s">
        <v>397</v>
      </c>
      <c r="J980">
        <v>4223</v>
      </c>
      <c r="K980">
        <v>1.19</v>
      </c>
      <c r="L980">
        <v>50</v>
      </c>
      <c r="M980">
        <v>0.99</v>
      </c>
    </row>
    <row r="981" spans="1:13">
      <c r="A981" s="28">
        <v>9450</v>
      </c>
      <c r="B981" t="s">
        <v>1123</v>
      </c>
      <c r="C981">
        <v>50300</v>
      </c>
      <c r="D981">
        <v>100</v>
      </c>
      <c r="E981">
        <v>0.2</v>
      </c>
      <c r="F981">
        <v>3707</v>
      </c>
      <c r="G981">
        <v>13.57</v>
      </c>
      <c r="H981" t="s">
        <v>397</v>
      </c>
      <c r="I981" t="s">
        <v>397</v>
      </c>
      <c r="J981">
        <v>35820</v>
      </c>
      <c r="K981">
        <v>1.4</v>
      </c>
      <c r="L981">
        <v>500</v>
      </c>
      <c r="M981">
        <v>0.99</v>
      </c>
    </row>
    <row r="982" spans="1:13">
      <c r="A982" s="28">
        <v>3960</v>
      </c>
      <c r="B982" t="s">
        <v>1124</v>
      </c>
      <c r="C982">
        <v>35350</v>
      </c>
      <c r="D982">
        <v>-850</v>
      </c>
      <c r="E982">
        <v>-2.35</v>
      </c>
      <c r="F982">
        <v>9689</v>
      </c>
      <c r="G982">
        <v>3.65</v>
      </c>
      <c r="H982" t="s">
        <v>397</v>
      </c>
      <c r="I982" t="s">
        <v>397</v>
      </c>
      <c r="J982">
        <v>67677</v>
      </c>
      <c r="K982">
        <v>0.52</v>
      </c>
      <c r="L982">
        <v>350</v>
      </c>
      <c r="M982">
        <v>0.99</v>
      </c>
    </row>
    <row r="983" spans="1:13">
      <c r="A983" s="28">
        <v>63170</v>
      </c>
      <c r="B983" t="s">
        <v>1125</v>
      </c>
      <c r="C983">
        <v>10220</v>
      </c>
      <c r="D983">
        <v>-430</v>
      </c>
      <c r="E983">
        <v>-4.04</v>
      </c>
      <c r="F983">
        <v>270</v>
      </c>
      <c r="G983">
        <v>37.85</v>
      </c>
      <c r="H983" t="s">
        <v>397</v>
      </c>
      <c r="I983" t="s">
        <v>397</v>
      </c>
      <c r="J983">
        <v>7375</v>
      </c>
      <c r="K983">
        <v>1.39</v>
      </c>
      <c r="L983">
        <v>100</v>
      </c>
      <c r="M983">
        <v>0.98</v>
      </c>
    </row>
    <row r="984" spans="1:13">
      <c r="A984" s="28">
        <v>11330</v>
      </c>
      <c r="B984" t="s">
        <v>1126</v>
      </c>
      <c r="C984">
        <v>2035</v>
      </c>
      <c r="D984">
        <v>-5</v>
      </c>
      <c r="E984">
        <v>-0.25</v>
      </c>
      <c r="F984">
        <v>33</v>
      </c>
      <c r="G984">
        <v>61.67</v>
      </c>
      <c r="H984" t="s">
        <v>397</v>
      </c>
      <c r="I984" t="s">
        <v>397</v>
      </c>
      <c r="J984">
        <v>1678</v>
      </c>
      <c r="K984">
        <v>1.21</v>
      </c>
      <c r="L984">
        <v>20</v>
      </c>
      <c r="M984">
        <v>0.98</v>
      </c>
    </row>
    <row r="985" spans="1:13">
      <c r="A985" s="28">
        <v>285490</v>
      </c>
      <c r="B985" t="s">
        <v>1127</v>
      </c>
      <c r="C985">
        <v>20500</v>
      </c>
      <c r="D985">
        <v>0</v>
      </c>
      <c r="E985">
        <v>0</v>
      </c>
      <c r="F985">
        <v>1639</v>
      </c>
      <c r="G985">
        <v>12.51</v>
      </c>
      <c r="H985" t="s">
        <v>397</v>
      </c>
      <c r="I985" t="s">
        <v>397</v>
      </c>
      <c r="J985">
        <v>12583</v>
      </c>
      <c r="K985">
        <v>1.63</v>
      </c>
      <c r="L985">
        <v>200</v>
      </c>
      <c r="M985">
        <v>0.98</v>
      </c>
    </row>
    <row r="986" spans="1:13">
      <c r="A986" s="28">
        <v>49950</v>
      </c>
      <c r="B986" t="s">
        <v>1128</v>
      </c>
      <c r="C986">
        <v>30500</v>
      </c>
      <c r="D986">
        <v>-700</v>
      </c>
      <c r="E986">
        <v>-2.2400000000000002</v>
      </c>
      <c r="F986">
        <v>3737</v>
      </c>
      <c r="G986">
        <v>8.16</v>
      </c>
      <c r="H986" t="s">
        <v>397</v>
      </c>
      <c r="I986" t="s">
        <v>397</v>
      </c>
      <c r="J986">
        <v>16837</v>
      </c>
      <c r="K986">
        <v>1.81</v>
      </c>
      <c r="L986">
        <v>300</v>
      </c>
      <c r="M986">
        <v>0.98</v>
      </c>
    </row>
    <row r="987" spans="1:13">
      <c r="A987" s="28">
        <v>102460</v>
      </c>
      <c r="B987" t="s">
        <v>1129</v>
      </c>
      <c r="C987">
        <v>15460</v>
      </c>
      <c r="D987">
        <v>-170</v>
      </c>
      <c r="E987">
        <v>-1.0900000000000001</v>
      </c>
      <c r="F987">
        <v>415</v>
      </c>
      <c r="G987">
        <v>37.25</v>
      </c>
      <c r="H987" t="s">
        <v>397</v>
      </c>
      <c r="I987" t="s">
        <v>397</v>
      </c>
      <c r="J987">
        <v>13956</v>
      </c>
      <c r="K987">
        <v>1.1100000000000001</v>
      </c>
      <c r="L987">
        <v>150</v>
      </c>
      <c r="M987">
        <v>0.97</v>
      </c>
    </row>
    <row r="988" spans="1:13">
      <c r="A988" s="28">
        <v>11790</v>
      </c>
      <c r="B988" t="s">
        <v>1130</v>
      </c>
      <c r="C988">
        <v>114700</v>
      </c>
      <c r="D988">
        <v>0</v>
      </c>
      <c r="E988">
        <v>0</v>
      </c>
      <c r="F988" t="s">
        <v>397</v>
      </c>
      <c r="G988" t="s">
        <v>397</v>
      </c>
      <c r="H988" t="s">
        <v>397</v>
      </c>
      <c r="I988" t="s">
        <v>397</v>
      </c>
      <c r="J988">
        <v>50774</v>
      </c>
      <c r="K988">
        <v>2.2599999999999998</v>
      </c>
      <c r="L988">
        <v>1100</v>
      </c>
      <c r="M988">
        <v>0.96</v>
      </c>
    </row>
    <row r="989" spans="1:13">
      <c r="A989" s="28">
        <v>3160</v>
      </c>
      <c r="B989" t="s">
        <v>1131</v>
      </c>
      <c r="C989">
        <v>10380</v>
      </c>
      <c r="D989">
        <v>-90</v>
      </c>
      <c r="E989">
        <v>-0.86</v>
      </c>
      <c r="F989">
        <v>564</v>
      </c>
      <c r="G989">
        <v>18.399999999999999</v>
      </c>
      <c r="H989" t="s">
        <v>397</v>
      </c>
      <c r="I989" t="s">
        <v>397</v>
      </c>
      <c r="J989">
        <v>5841</v>
      </c>
      <c r="K989">
        <v>1.78</v>
      </c>
      <c r="L989">
        <v>100</v>
      </c>
      <c r="M989">
        <v>0.96</v>
      </c>
    </row>
    <row r="990" spans="1:13">
      <c r="A990" s="28">
        <v>340570</v>
      </c>
      <c r="B990" t="s">
        <v>1132</v>
      </c>
      <c r="C990">
        <v>46750</v>
      </c>
      <c r="D990">
        <v>-500</v>
      </c>
      <c r="E990">
        <v>-1.06</v>
      </c>
      <c r="F990">
        <v>2602</v>
      </c>
      <c r="G990">
        <v>17.97</v>
      </c>
      <c r="H990">
        <v>4716</v>
      </c>
      <c r="I990">
        <v>9.91</v>
      </c>
      <c r="J990">
        <v>13141</v>
      </c>
      <c r="K990">
        <v>3.56</v>
      </c>
      <c r="L990">
        <v>450</v>
      </c>
      <c r="M990">
        <v>0.96</v>
      </c>
    </row>
    <row r="991" spans="1:13">
      <c r="A991" s="28">
        <v>6660</v>
      </c>
      <c r="B991" t="s">
        <v>1133</v>
      </c>
      <c r="C991">
        <v>8390</v>
      </c>
      <c r="D991">
        <v>-70</v>
      </c>
      <c r="E991">
        <v>-0.83</v>
      </c>
      <c r="F991">
        <v>5102</v>
      </c>
      <c r="G991">
        <v>1.64</v>
      </c>
      <c r="H991" t="s">
        <v>397</v>
      </c>
      <c r="I991" t="s">
        <v>397</v>
      </c>
      <c r="J991">
        <v>32070</v>
      </c>
      <c r="K991">
        <v>0.26</v>
      </c>
      <c r="L991">
        <v>80</v>
      </c>
      <c r="M991">
        <v>0.95</v>
      </c>
    </row>
    <row r="992" spans="1:13">
      <c r="A992" s="28">
        <v>53700</v>
      </c>
      <c r="B992" t="s">
        <v>1134</v>
      </c>
      <c r="C992">
        <v>5290</v>
      </c>
      <c r="D992">
        <v>-90</v>
      </c>
      <c r="E992">
        <v>-1.67</v>
      </c>
      <c r="F992">
        <v>1169</v>
      </c>
      <c r="G992">
        <v>4.53</v>
      </c>
      <c r="H992" t="s">
        <v>397</v>
      </c>
      <c r="I992" t="s">
        <v>397</v>
      </c>
      <c r="J992">
        <v>14119</v>
      </c>
      <c r="K992">
        <v>0.37</v>
      </c>
      <c r="L992">
        <v>50</v>
      </c>
      <c r="M992">
        <v>0.95</v>
      </c>
    </row>
    <row r="993" spans="1:13">
      <c r="A993" s="28">
        <v>72020</v>
      </c>
      <c r="B993" t="s">
        <v>1135</v>
      </c>
      <c r="C993">
        <v>10530</v>
      </c>
      <c r="D993">
        <v>30</v>
      </c>
      <c r="E993">
        <v>0.28999999999999998</v>
      </c>
      <c r="F993">
        <v>415</v>
      </c>
      <c r="G993">
        <v>25.37</v>
      </c>
      <c r="H993" t="s">
        <v>397</v>
      </c>
      <c r="I993" t="s">
        <v>397</v>
      </c>
      <c r="J993">
        <v>9859</v>
      </c>
      <c r="K993">
        <v>1.07</v>
      </c>
      <c r="L993">
        <v>100</v>
      </c>
      <c r="M993">
        <v>0.95</v>
      </c>
    </row>
    <row r="994" spans="1:13">
      <c r="A994" s="28">
        <v>185750</v>
      </c>
      <c r="B994" t="s">
        <v>1136</v>
      </c>
      <c r="C994">
        <v>105600</v>
      </c>
      <c r="D994">
        <v>-3400</v>
      </c>
      <c r="E994">
        <v>-3.12</v>
      </c>
      <c r="F994">
        <v>6323</v>
      </c>
      <c r="G994">
        <v>16.7</v>
      </c>
      <c r="H994">
        <v>6686</v>
      </c>
      <c r="I994">
        <v>15.79</v>
      </c>
      <c r="J994">
        <v>48854</v>
      </c>
      <c r="K994">
        <v>2.16</v>
      </c>
      <c r="L994">
        <v>1000</v>
      </c>
      <c r="M994">
        <v>0.95</v>
      </c>
    </row>
    <row r="995" spans="1:13">
      <c r="A995" s="28">
        <v>319400</v>
      </c>
      <c r="B995" t="s">
        <v>1137</v>
      </c>
      <c r="C995">
        <v>3180</v>
      </c>
      <c r="D995">
        <v>0</v>
      </c>
      <c r="E995">
        <v>0</v>
      </c>
      <c r="F995">
        <v>83</v>
      </c>
      <c r="G995">
        <v>38.31</v>
      </c>
      <c r="H995" t="s">
        <v>397</v>
      </c>
      <c r="I995" t="s">
        <v>397</v>
      </c>
      <c r="J995">
        <v>1344</v>
      </c>
      <c r="K995">
        <v>2.37</v>
      </c>
      <c r="L995">
        <v>30</v>
      </c>
      <c r="M995">
        <v>0.94</v>
      </c>
    </row>
    <row r="996" spans="1:13">
      <c r="A996" s="28">
        <v>49830</v>
      </c>
      <c r="B996" t="s">
        <v>1138</v>
      </c>
      <c r="C996">
        <v>9090</v>
      </c>
      <c r="D996">
        <v>-30</v>
      </c>
      <c r="E996">
        <v>-0.33</v>
      </c>
      <c r="F996">
        <v>222</v>
      </c>
      <c r="G996">
        <v>40.950000000000003</v>
      </c>
      <c r="H996" t="s">
        <v>397</v>
      </c>
      <c r="I996" t="s">
        <v>397</v>
      </c>
      <c r="J996">
        <v>24634</v>
      </c>
      <c r="K996">
        <v>0.37</v>
      </c>
      <c r="L996">
        <v>85</v>
      </c>
      <c r="M996">
        <v>0.94</v>
      </c>
    </row>
    <row r="997" spans="1:13">
      <c r="A997" s="28">
        <v>170900</v>
      </c>
      <c r="B997" t="s">
        <v>1139</v>
      </c>
      <c r="C997">
        <v>74400</v>
      </c>
      <c r="D997">
        <v>-3100</v>
      </c>
      <c r="E997">
        <v>-4</v>
      </c>
      <c r="F997">
        <v>1546</v>
      </c>
      <c r="G997">
        <v>48.12</v>
      </c>
      <c r="H997">
        <v>2762</v>
      </c>
      <c r="I997">
        <v>26.93</v>
      </c>
      <c r="J997">
        <v>76890</v>
      </c>
      <c r="K997">
        <v>0.97</v>
      </c>
      <c r="L997">
        <v>700</v>
      </c>
      <c r="M997">
        <v>0.94</v>
      </c>
    </row>
    <row r="998" spans="1:13">
      <c r="A998" s="28">
        <v>317850</v>
      </c>
      <c r="B998" t="s">
        <v>1140</v>
      </c>
      <c r="C998">
        <v>9660</v>
      </c>
      <c r="D998">
        <v>270</v>
      </c>
      <c r="E998">
        <v>2.88</v>
      </c>
      <c r="F998">
        <v>155</v>
      </c>
      <c r="G998">
        <v>62.32</v>
      </c>
      <c r="H998" t="s">
        <v>397</v>
      </c>
      <c r="I998" t="s">
        <v>397</v>
      </c>
      <c r="J998">
        <v>5713</v>
      </c>
      <c r="K998">
        <v>1.69</v>
      </c>
      <c r="L998">
        <v>90</v>
      </c>
      <c r="M998">
        <v>0.93</v>
      </c>
    </row>
    <row r="999" spans="1:13">
      <c r="A999" s="28">
        <v>290270</v>
      </c>
      <c r="B999" t="s">
        <v>1141</v>
      </c>
      <c r="C999">
        <v>4280</v>
      </c>
      <c r="D999">
        <v>-15</v>
      </c>
      <c r="E999">
        <v>-0.35</v>
      </c>
      <c r="F999" t="s">
        <v>397</v>
      </c>
      <c r="G999" t="s">
        <v>397</v>
      </c>
      <c r="H999">
        <v>526</v>
      </c>
      <c r="I999">
        <v>8.14</v>
      </c>
      <c r="J999">
        <v>3782</v>
      </c>
      <c r="K999">
        <v>1.1299999999999999</v>
      </c>
      <c r="L999">
        <v>40</v>
      </c>
      <c r="M999">
        <v>0.93</v>
      </c>
    </row>
    <row r="1000" spans="1:13">
      <c r="A1000" s="28">
        <v>92070</v>
      </c>
      <c r="B1000" t="s">
        <v>1142</v>
      </c>
      <c r="C1000">
        <v>21600</v>
      </c>
      <c r="D1000">
        <v>50</v>
      </c>
      <c r="E1000">
        <v>0.23</v>
      </c>
      <c r="F1000">
        <v>499</v>
      </c>
      <c r="G1000">
        <v>43.29</v>
      </c>
      <c r="H1000" t="s">
        <v>397</v>
      </c>
      <c r="I1000" t="s">
        <v>397</v>
      </c>
      <c r="J1000">
        <v>13033</v>
      </c>
      <c r="K1000">
        <v>1.66</v>
      </c>
      <c r="L1000">
        <v>200</v>
      </c>
      <c r="M1000">
        <v>0.93</v>
      </c>
    </row>
    <row r="1001" spans="1:13">
      <c r="A1001" s="28">
        <v>289080</v>
      </c>
      <c r="B1001" t="s">
        <v>1143</v>
      </c>
      <c r="C1001">
        <v>2155</v>
      </c>
      <c r="D1001">
        <v>-55</v>
      </c>
      <c r="E1001">
        <v>-2.4900000000000002</v>
      </c>
      <c r="F1001">
        <v>65</v>
      </c>
      <c r="G1001">
        <v>33.15</v>
      </c>
      <c r="H1001" t="s">
        <v>397</v>
      </c>
      <c r="I1001" t="s">
        <v>397</v>
      </c>
      <c r="J1001">
        <v>1322</v>
      </c>
      <c r="K1001">
        <v>1.63</v>
      </c>
      <c r="L1001">
        <v>20</v>
      </c>
      <c r="M1001">
        <v>0.93</v>
      </c>
    </row>
    <row r="1002" spans="1:13">
      <c r="A1002" s="28">
        <v>79550</v>
      </c>
      <c r="B1002" t="s">
        <v>1144</v>
      </c>
      <c r="C1002">
        <v>162000</v>
      </c>
      <c r="D1002">
        <v>-3400</v>
      </c>
      <c r="E1002">
        <v>-2.06</v>
      </c>
      <c r="F1002">
        <v>5641</v>
      </c>
      <c r="G1002">
        <v>28.72</v>
      </c>
      <c r="H1002">
        <v>9620</v>
      </c>
      <c r="I1002">
        <v>16.84</v>
      </c>
      <c r="J1002">
        <v>42909</v>
      </c>
      <c r="K1002">
        <v>3.78</v>
      </c>
      <c r="L1002">
        <v>1500</v>
      </c>
      <c r="M1002">
        <v>0.93</v>
      </c>
    </row>
    <row r="1003" spans="1:13">
      <c r="A1003" s="28">
        <v>20120</v>
      </c>
      <c r="B1003" t="s">
        <v>1145</v>
      </c>
      <c r="C1003">
        <v>5390</v>
      </c>
      <c r="D1003">
        <v>10</v>
      </c>
      <c r="E1003">
        <v>0.19</v>
      </c>
      <c r="F1003" t="s">
        <v>397</v>
      </c>
      <c r="G1003" t="s">
        <v>397</v>
      </c>
      <c r="H1003" t="s">
        <v>397</v>
      </c>
      <c r="I1003" t="s">
        <v>397</v>
      </c>
      <c r="J1003">
        <v>7338</v>
      </c>
      <c r="K1003">
        <v>0.73</v>
      </c>
      <c r="L1003">
        <v>50</v>
      </c>
      <c r="M1003">
        <v>0.93</v>
      </c>
    </row>
    <row r="1004" spans="1:13">
      <c r="A1004" s="28">
        <v>1530</v>
      </c>
      <c r="B1004" t="s">
        <v>1146</v>
      </c>
      <c r="C1004">
        <v>27300</v>
      </c>
      <c r="D1004">
        <v>1000</v>
      </c>
      <c r="E1004">
        <v>3.8</v>
      </c>
      <c r="F1004">
        <v>2750</v>
      </c>
      <c r="G1004">
        <v>9.93</v>
      </c>
      <c r="H1004" t="s">
        <v>397</v>
      </c>
      <c r="I1004" t="s">
        <v>397</v>
      </c>
      <c r="J1004">
        <v>30595</v>
      </c>
      <c r="K1004">
        <v>0.89</v>
      </c>
      <c r="L1004">
        <v>250</v>
      </c>
      <c r="M1004">
        <v>0.92</v>
      </c>
    </row>
    <row r="1005" spans="1:13">
      <c r="A1005" s="28">
        <v>14620</v>
      </c>
      <c r="B1005" t="s">
        <v>1147</v>
      </c>
      <c r="C1005">
        <v>10930</v>
      </c>
      <c r="D1005">
        <v>-530</v>
      </c>
      <c r="E1005">
        <v>-4.62</v>
      </c>
      <c r="F1005">
        <v>1405</v>
      </c>
      <c r="G1005">
        <v>7.78</v>
      </c>
      <c r="H1005">
        <v>1271</v>
      </c>
      <c r="I1005">
        <v>8.6</v>
      </c>
      <c r="J1005">
        <v>16891</v>
      </c>
      <c r="K1005">
        <v>0.65</v>
      </c>
      <c r="L1005">
        <v>100</v>
      </c>
      <c r="M1005">
        <v>0.91</v>
      </c>
    </row>
    <row r="1006" spans="1:13">
      <c r="A1006" s="28">
        <v>227</v>
      </c>
      <c r="B1006" t="s">
        <v>1148</v>
      </c>
      <c r="C1006">
        <v>12110</v>
      </c>
      <c r="D1006">
        <v>-240</v>
      </c>
      <c r="E1006">
        <v>-1.94</v>
      </c>
      <c r="F1006" t="s">
        <v>397</v>
      </c>
      <c r="G1006" t="s">
        <v>397</v>
      </c>
      <c r="H1006" t="s">
        <v>397</v>
      </c>
      <c r="I1006" t="s">
        <v>397</v>
      </c>
      <c r="J1006" t="s">
        <v>397</v>
      </c>
      <c r="K1006" t="s">
        <v>397</v>
      </c>
      <c r="L1006">
        <v>110</v>
      </c>
      <c r="M1006">
        <v>0.91</v>
      </c>
    </row>
    <row r="1007" spans="1:13">
      <c r="A1007" s="28">
        <v>263600</v>
      </c>
      <c r="B1007" t="s">
        <v>1149</v>
      </c>
      <c r="C1007">
        <v>7670</v>
      </c>
      <c r="D1007">
        <v>-90</v>
      </c>
      <c r="E1007">
        <v>-1.1599999999999999</v>
      </c>
      <c r="F1007">
        <v>840</v>
      </c>
      <c r="G1007">
        <v>9.1300000000000008</v>
      </c>
      <c r="H1007">
        <v>753</v>
      </c>
      <c r="I1007">
        <v>10.18</v>
      </c>
      <c r="J1007">
        <v>6918</v>
      </c>
      <c r="K1007">
        <v>1.1100000000000001</v>
      </c>
      <c r="L1007">
        <v>70</v>
      </c>
      <c r="M1007">
        <v>0.91</v>
      </c>
    </row>
    <row r="1008" spans="1:13">
      <c r="A1008" s="28">
        <v>7160</v>
      </c>
      <c r="B1008" t="s">
        <v>1150</v>
      </c>
      <c r="C1008">
        <v>39050</v>
      </c>
      <c r="D1008">
        <v>-50</v>
      </c>
      <c r="E1008">
        <v>-0.13</v>
      </c>
      <c r="F1008">
        <v>13998</v>
      </c>
      <c r="G1008">
        <v>2.79</v>
      </c>
      <c r="H1008" t="s">
        <v>397</v>
      </c>
      <c r="I1008" t="s">
        <v>397</v>
      </c>
      <c r="J1008">
        <v>102866</v>
      </c>
      <c r="K1008">
        <v>0.38</v>
      </c>
      <c r="L1008">
        <v>350</v>
      </c>
      <c r="M1008">
        <v>0.9</v>
      </c>
    </row>
    <row r="1009" spans="1:13">
      <c r="A1009" s="28">
        <v>107590</v>
      </c>
      <c r="B1009" t="s">
        <v>1151</v>
      </c>
      <c r="C1009">
        <v>77500</v>
      </c>
      <c r="D1009">
        <v>0</v>
      </c>
      <c r="E1009">
        <v>0</v>
      </c>
      <c r="F1009">
        <v>8717</v>
      </c>
      <c r="G1009">
        <v>8.89</v>
      </c>
      <c r="H1009" t="s">
        <v>397</v>
      </c>
      <c r="I1009" t="s">
        <v>397</v>
      </c>
      <c r="J1009">
        <v>95466</v>
      </c>
      <c r="K1009">
        <v>0.81</v>
      </c>
      <c r="L1009">
        <v>700</v>
      </c>
      <c r="M1009">
        <v>0.9</v>
      </c>
    </row>
    <row r="1010" spans="1:13">
      <c r="A1010" s="28">
        <v>68290</v>
      </c>
      <c r="B1010" t="s">
        <v>1152</v>
      </c>
      <c r="C1010">
        <v>22200</v>
      </c>
      <c r="D1010">
        <v>-850</v>
      </c>
      <c r="E1010">
        <v>-3.69</v>
      </c>
      <c r="F1010">
        <v>1179</v>
      </c>
      <c r="G1010">
        <v>18.829999999999998</v>
      </c>
      <c r="H1010" t="s">
        <v>397</v>
      </c>
      <c r="I1010" t="s">
        <v>397</v>
      </c>
      <c r="J1010">
        <v>17559</v>
      </c>
      <c r="K1010">
        <v>1.26</v>
      </c>
      <c r="L1010">
        <v>200</v>
      </c>
      <c r="M1010">
        <v>0.9</v>
      </c>
    </row>
    <row r="1011" spans="1:13">
      <c r="A1011" s="28">
        <v>66670</v>
      </c>
      <c r="B1011" t="s">
        <v>1153</v>
      </c>
      <c r="C1011">
        <v>5540</v>
      </c>
      <c r="D1011">
        <v>-40</v>
      </c>
      <c r="E1011">
        <v>-0.72</v>
      </c>
      <c r="F1011">
        <v>435</v>
      </c>
      <c r="G1011">
        <v>12.74</v>
      </c>
      <c r="H1011" t="s">
        <v>397</v>
      </c>
      <c r="I1011" t="s">
        <v>397</v>
      </c>
      <c r="J1011">
        <v>10086</v>
      </c>
      <c r="K1011">
        <v>0.55000000000000004</v>
      </c>
      <c r="L1011">
        <v>50</v>
      </c>
      <c r="M1011">
        <v>0.9</v>
      </c>
    </row>
    <row r="1012" spans="1:13">
      <c r="A1012" s="28">
        <v>48910</v>
      </c>
      <c r="B1012" t="s">
        <v>1154</v>
      </c>
      <c r="C1012">
        <v>11100</v>
      </c>
      <c r="D1012">
        <v>-50</v>
      </c>
      <c r="E1012">
        <v>-0.45</v>
      </c>
      <c r="F1012">
        <v>464</v>
      </c>
      <c r="G1012">
        <v>23.92</v>
      </c>
      <c r="H1012" t="s">
        <v>397</v>
      </c>
      <c r="I1012" t="s">
        <v>397</v>
      </c>
      <c r="J1012">
        <v>7889</v>
      </c>
      <c r="K1012">
        <v>1.41</v>
      </c>
      <c r="L1012">
        <v>100</v>
      </c>
      <c r="M1012">
        <v>0.9</v>
      </c>
    </row>
    <row r="1013" spans="1:13">
      <c r="A1013" s="28">
        <v>103590</v>
      </c>
      <c r="B1013" t="s">
        <v>1155</v>
      </c>
      <c r="C1013">
        <v>14680</v>
      </c>
      <c r="D1013">
        <v>820</v>
      </c>
      <c r="E1013">
        <v>5.92</v>
      </c>
      <c r="F1013">
        <v>617</v>
      </c>
      <c r="G1013">
        <v>23.79</v>
      </c>
      <c r="H1013" t="s">
        <v>397</v>
      </c>
      <c r="I1013" t="s">
        <v>397</v>
      </c>
      <c r="J1013">
        <v>8796</v>
      </c>
      <c r="K1013">
        <v>1.67</v>
      </c>
      <c r="L1013">
        <v>130</v>
      </c>
      <c r="M1013">
        <v>0.89</v>
      </c>
    </row>
    <row r="1014" spans="1:13">
      <c r="A1014" s="28">
        <v>195940</v>
      </c>
      <c r="B1014" t="s">
        <v>1156</v>
      </c>
      <c r="C1014">
        <v>36150</v>
      </c>
      <c r="D1014">
        <v>-300</v>
      </c>
      <c r="E1014">
        <v>-0.82</v>
      </c>
      <c r="F1014">
        <v>1342</v>
      </c>
      <c r="G1014">
        <v>26.94</v>
      </c>
      <c r="H1014">
        <v>2804</v>
      </c>
      <c r="I1014">
        <v>12.89</v>
      </c>
      <c r="J1014">
        <v>41095</v>
      </c>
      <c r="K1014">
        <v>0.88</v>
      </c>
      <c r="L1014">
        <v>320</v>
      </c>
      <c r="M1014">
        <v>0.89</v>
      </c>
    </row>
    <row r="1015" spans="1:13">
      <c r="A1015" s="28">
        <v>4090</v>
      </c>
      <c r="B1015" t="s">
        <v>1157</v>
      </c>
      <c r="C1015">
        <v>12500</v>
      </c>
      <c r="D1015">
        <v>90</v>
      </c>
      <c r="E1015">
        <v>0.73</v>
      </c>
      <c r="F1015">
        <v>906</v>
      </c>
      <c r="G1015">
        <v>13.8</v>
      </c>
      <c r="H1015" t="s">
        <v>397</v>
      </c>
      <c r="I1015" t="s">
        <v>397</v>
      </c>
      <c r="J1015">
        <v>13490</v>
      </c>
      <c r="K1015">
        <v>0.93</v>
      </c>
      <c r="L1015">
        <v>110</v>
      </c>
      <c r="M1015">
        <v>0.88</v>
      </c>
    </row>
    <row r="1016" spans="1:13">
      <c r="A1016" s="28">
        <v>32850</v>
      </c>
      <c r="B1016" t="s">
        <v>1158</v>
      </c>
      <c r="C1016">
        <v>6900</v>
      </c>
      <c r="D1016">
        <v>0</v>
      </c>
      <c r="E1016">
        <v>0</v>
      </c>
      <c r="F1016">
        <v>296</v>
      </c>
      <c r="G1016">
        <v>23.31</v>
      </c>
      <c r="H1016" t="s">
        <v>397</v>
      </c>
      <c r="I1016" t="s">
        <v>397</v>
      </c>
      <c r="J1016">
        <v>3816</v>
      </c>
      <c r="K1016">
        <v>1.81</v>
      </c>
      <c r="L1016">
        <v>61</v>
      </c>
      <c r="M1016">
        <v>0.88</v>
      </c>
    </row>
    <row r="1017" spans="1:13">
      <c r="A1017" s="28">
        <v>89010</v>
      </c>
      <c r="B1017" t="s">
        <v>1159</v>
      </c>
      <c r="C1017">
        <v>22650</v>
      </c>
      <c r="D1017">
        <v>0</v>
      </c>
      <c r="E1017">
        <v>0</v>
      </c>
      <c r="F1017">
        <v>416</v>
      </c>
      <c r="G1017">
        <v>54.45</v>
      </c>
      <c r="H1017" t="s">
        <v>397</v>
      </c>
      <c r="I1017" t="s">
        <v>397</v>
      </c>
      <c r="J1017">
        <v>9953</v>
      </c>
      <c r="K1017">
        <v>2.2799999999999998</v>
      </c>
      <c r="L1017">
        <v>200</v>
      </c>
      <c r="M1017">
        <v>0.88</v>
      </c>
    </row>
    <row r="1018" spans="1:13">
      <c r="A1018" s="28">
        <v>50890</v>
      </c>
      <c r="B1018" t="s">
        <v>1160</v>
      </c>
      <c r="C1018">
        <v>5750</v>
      </c>
      <c r="D1018">
        <v>-90</v>
      </c>
      <c r="E1018">
        <v>-1.54</v>
      </c>
      <c r="F1018">
        <v>490</v>
      </c>
      <c r="G1018">
        <v>11.73</v>
      </c>
      <c r="H1018" t="s">
        <v>397</v>
      </c>
      <c r="I1018" t="s">
        <v>397</v>
      </c>
      <c r="J1018">
        <v>3761</v>
      </c>
      <c r="K1018">
        <v>1.53</v>
      </c>
      <c r="L1018">
        <v>50</v>
      </c>
      <c r="M1018">
        <v>0.87</v>
      </c>
    </row>
    <row r="1019" spans="1:13">
      <c r="A1019" s="28">
        <v>99390</v>
      </c>
      <c r="B1019" t="s">
        <v>1161</v>
      </c>
      <c r="C1019">
        <v>6980</v>
      </c>
      <c r="D1019">
        <v>-340</v>
      </c>
      <c r="E1019">
        <v>-4.6399999999999997</v>
      </c>
      <c r="F1019">
        <v>621</v>
      </c>
      <c r="G1019">
        <v>11.24</v>
      </c>
      <c r="H1019" t="s">
        <v>397</v>
      </c>
      <c r="I1019" t="s">
        <v>397</v>
      </c>
      <c r="J1019">
        <v>5354</v>
      </c>
      <c r="K1019">
        <v>1.3</v>
      </c>
      <c r="L1019">
        <v>60</v>
      </c>
      <c r="M1019">
        <v>0.86</v>
      </c>
    </row>
    <row r="1020" spans="1:13">
      <c r="A1020" s="28">
        <v>234690</v>
      </c>
      <c r="B1020" t="s">
        <v>1162</v>
      </c>
      <c r="C1020">
        <v>11630</v>
      </c>
      <c r="D1020">
        <v>640</v>
      </c>
      <c r="E1020">
        <v>5.82</v>
      </c>
      <c r="F1020">
        <v>451</v>
      </c>
      <c r="G1020">
        <v>25.79</v>
      </c>
      <c r="H1020">
        <v>873</v>
      </c>
      <c r="I1020">
        <v>13.32</v>
      </c>
      <c r="J1020">
        <v>5417</v>
      </c>
      <c r="K1020">
        <v>2.15</v>
      </c>
      <c r="L1020">
        <v>100</v>
      </c>
      <c r="M1020">
        <v>0.86</v>
      </c>
    </row>
    <row r="1021" spans="1:13">
      <c r="A1021" s="28">
        <v>131290</v>
      </c>
      <c r="B1021" t="s">
        <v>1163</v>
      </c>
      <c r="C1021">
        <v>58700</v>
      </c>
      <c r="D1021">
        <v>500</v>
      </c>
      <c r="E1021">
        <v>0.86</v>
      </c>
      <c r="F1021">
        <v>4614</v>
      </c>
      <c r="G1021">
        <v>12.72</v>
      </c>
      <c r="H1021">
        <v>2757</v>
      </c>
      <c r="I1021">
        <v>21.29</v>
      </c>
      <c r="J1021">
        <v>26649</v>
      </c>
      <c r="K1021">
        <v>2.2000000000000002</v>
      </c>
      <c r="L1021">
        <v>500</v>
      </c>
      <c r="M1021">
        <v>0.85</v>
      </c>
    </row>
    <row r="1022" spans="1:13">
      <c r="A1022" s="28">
        <v>60560</v>
      </c>
      <c r="B1022" t="s">
        <v>1164</v>
      </c>
      <c r="C1022">
        <v>1174</v>
      </c>
      <c r="D1022">
        <v>-13</v>
      </c>
      <c r="E1022">
        <v>-1.1000000000000001</v>
      </c>
      <c r="F1022">
        <v>106</v>
      </c>
      <c r="G1022">
        <v>11.08</v>
      </c>
      <c r="H1022" t="s">
        <v>397</v>
      </c>
      <c r="I1022" t="s">
        <v>397</v>
      </c>
      <c r="J1022">
        <v>1092</v>
      </c>
      <c r="K1022">
        <v>1.08</v>
      </c>
      <c r="L1022">
        <v>10</v>
      </c>
      <c r="M1022">
        <v>0.85</v>
      </c>
    </row>
    <row r="1023" spans="1:13">
      <c r="A1023" s="28">
        <v>2840</v>
      </c>
      <c r="B1023" t="s">
        <v>1165</v>
      </c>
      <c r="C1023">
        <v>178800</v>
      </c>
      <c r="D1023">
        <v>4100</v>
      </c>
      <c r="E1023">
        <v>2.35</v>
      </c>
      <c r="F1023">
        <v>14752</v>
      </c>
      <c r="G1023">
        <v>12.12</v>
      </c>
      <c r="H1023" t="s">
        <v>397</v>
      </c>
      <c r="I1023" t="s">
        <v>397</v>
      </c>
      <c r="J1023">
        <v>70659</v>
      </c>
      <c r="K1023">
        <v>2.5299999999999998</v>
      </c>
      <c r="L1023">
        <v>1500</v>
      </c>
      <c r="M1023">
        <v>0.84</v>
      </c>
    </row>
    <row r="1024" spans="1:13">
      <c r="A1024" s="28">
        <v>383310</v>
      </c>
      <c r="B1024" t="s">
        <v>1166</v>
      </c>
      <c r="C1024">
        <v>71700</v>
      </c>
      <c r="D1024">
        <v>-3200</v>
      </c>
      <c r="E1024">
        <v>-4.2699999999999996</v>
      </c>
      <c r="F1024">
        <v>2116</v>
      </c>
      <c r="G1024">
        <v>33.880000000000003</v>
      </c>
      <c r="H1024" t="s">
        <v>397</v>
      </c>
      <c r="I1024" t="s">
        <v>397</v>
      </c>
      <c r="J1024">
        <v>5677</v>
      </c>
      <c r="K1024">
        <v>12.63</v>
      </c>
      <c r="L1024">
        <v>600</v>
      </c>
      <c r="M1024">
        <v>0.84</v>
      </c>
    </row>
    <row r="1025" spans="1:13">
      <c r="A1025" s="28">
        <v>56360</v>
      </c>
      <c r="B1025" t="s">
        <v>1167</v>
      </c>
      <c r="C1025">
        <v>5980</v>
      </c>
      <c r="D1025">
        <v>20</v>
      </c>
      <c r="E1025">
        <v>0.34</v>
      </c>
      <c r="F1025">
        <v>480</v>
      </c>
      <c r="G1025">
        <v>12.46</v>
      </c>
      <c r="H1025" t="s">
        <v>397</v>
      </c>
      <c r="I1025" t="s">
        <v>397</v>
      </c>
      <c r="J1025">
        <v>14091</v>
      </c>
      <c r="K1025">
        <v>0.42</v>
      </c>
      <c r="L1025">
        <v>50</v>
      </c>
      <c r="M1025">
        <v>0.84</v>
      </c>
    </row>
    <row r="1026" spans="1:13">
      <c r="A1026" s="28">
        <v>10690</v>
      </c>
      <c r="B1026" t="s">
        <v>1168</v>
      </c>
      <c r="C1026">
        <v>11890</v>
      </c>
      <c r="D1026">
        <v>-210</v>
      </c>
      <c r="E1026">
        <v>-1.74</v>
      </c>
      <c r="F1026">
        <v>2254</v>
      </c>
      <c r="G1026">
        <v>5.28</v>
      </c>
      <c r="H1026">
        <v>2664</v>
      </c>
      <c r="I1026">
        <v>4.46</v>
      </c>
      <c r="J1026">
        <v>10839</v>
      </c>
      <c r="K1026">
        <v>1.1000000000000001</v>
      </c>
      <c r="L1026">
        <v>100</v>
      </c>
      <c r="M1026">
        <v>0.84</v>
      </c>
    </row>
    <row r="1027" spans="1:13">
      <c r="A1027" s="28">
        <v>7860</v>
      </c>
      <c r="B1027" t="s">
        <v>1169</v>
      </c>
      <c r="C1027">
        <v>11870</v>
      </c>
      <c r="D1027">
        <v>-380</v>
      </c>
      <c r="E1027">
        <v>-3.1</v>
      </c>
      <c r="F1027">
        <v>3034</v>
      </c>
      <c r="G1027">
        <v>3.91</v>
      </c>
      <c r="H1027" t="s">
        <v>397</v>
      </c>
      <c r="I1027" t="s">
        <v>397</v>
      </c>
      <c r="J1027">
        <v>24599</v>
      </c>
      <c r="K1027">
        <v>0.48</v>
      </c>
      <c r="L1027">
        <v>100</v>
      </c>
      <c r="M1027">
        <v>0.84</v>
      </c>
    </row>
    <row r="1028" spans="1:13">
      <c r="A1028" s="28">
        <v>356890</v>
      </c>
      <c r="B1028" t="s">
        <v>1170</v>
      </c>
      <c r="C1028">
        <v>9530</v>
      </c>
      <c r="D1028">
        <v>160</v>
      </c>
      <c r="E1028">
        <v>1.71</v>
      </c>
      <c r="F1028">
        <v>440</v>
      </c>
      <c r="G1028">
        <v>21.66</v>
      </c>
      <c r="H1028" t="s">
        <v>397</v>
      </c>
      <c r="I1028" t="s">
        <v>397</v>
      </c>
      <c r="J1028">
        <v>6049</v>
      </c>
      <c r="K1028">
        <v>1.58</v>
      </c>
      <c r="L1028">
        <v>80</v>
      </c>
      <c r="M1028">
        <v>0.84</v>
      </c>
    </row>
    <row r="1029" spans="1:13">
      <c r="A1029" s="28">
        <v>212560</v>
      </c>
      <c r="B1029" t="s">
        <v>1171</v>
      </c>
      <c r="C1029">
        <v>11940</v>
      </c>
      <c r="D1029">
        <v>940</v>
      </c>
      <c r="E1029">
        <v>8.5500000000000007</v>
      </c>
      <c r="F1029">
        <v>997</v>
      </c>
      <c r="G1029">
        <v>11.98</v>
      </c>
      <c r="H1029" t="s">
        <v>397</v>
      </c>
      <c r="I1029" t="s">
        <v>397</v>
      </c>
      <c r="J1029">
        <v>12301</v>
      </c>
      <c r="K1029">
        <v>0.97</v>
      </c>
      <c r="L1029">
        <v>100</v>
      </c>
      <c r="M1029">
        <v>0.84</v>
      </c>
    </row>
    <row r="1030" spans="1:13">
      <c r="A1030" s="28">
        <v>78150</v>
      </c>
      <c r="B1030" t="s">
        <v>1172</v>
      </c>
      <c r="C1030">
        <v>2390</v>
      </c>
      <c r="D1030">
        <v>-40</v>
      </c>
      <c r="E1030">
        <v>-1.65</v>
      </c>
      <c r="F1030">
        <v>358</v>
      </c>
      <c r="G1030">
        <v>6.68</v>
      </c>
      <c r="H1030" t="s">
        <v>397</v>
      </c>
      <c r="I1030" t="s">
        <v>397</v>
      </c>
      <c r="J1030">
        <v>2744</v>
      </c>
      <c r="K1030">
        <v>0.87</v>
      </c>
      <c r="L1030">
        <v>20</v>
      </c>
      <c r="M1030">
        <v>0.84</v>
      </c>
    </row>
    <row r="1031" spans="1:13">
      <c r="A1031" s="28">
        <v>1810</v>
      </c>
      <c r="B1031" t="s">
        <v>353</v>
      </c>
      <c r="C1031">
        <v>1809</v>
      </c>
      <c r="D1031">
        <v>-1</v>
      </c>
      <c r="E1031">
        <v>-0.06</v>
      </c>
      <c r="F1031" t="s">
        <v>397</v>
      </c>
      <c r="G1031" t="s">
        <v>397</v>
      </c>
      <c r="H1031" t="s">
        <v>397</v>
      </c>
      <c r="I1031" t="s">
        <v>397</v>
      </c>
      <c r="J1031">
        <v>9321</v>
      </c>
      <c r="K1031">
        <v>0.19</v>
      </c>
      <c r="L1031">
        <v>15</v>
      </c>
      <c r="M1031">
        <v>0.83</v>
      </c>
    </row>
    <row r="1032" spans="1:13">
      <c r="A1032" s="28">
        <v>256630</v>
      </c>
      <c r="B1032" t="s">
        <v>1173</v>
      </c>
      <c r="C1032">
        <v>1217</v>
      </c>
      <c r="D1032">
        <v>-43</v>
      </c>
      <c r="E1032">
        <v>-3.41</v>
      </c>
      <c r="F1032">
        <v>14</v>
      </c>
      <c r="G1032">
        <v>86.93</v>
      </c>
      <c r="H1032" t="s">
        <v>397</v>
      </c>
      <c r="I1032" t="s">
        <v>397</v>
      </c>
      <c r="J1032">
        <v>1367</v>
      </c>
      <c r="K1032">
        <v>0.89</v>
      </c>
      <c r="L1032">
        <v>10</v>
      </c>
      <c r="M1032">
        <v>0.82</v>
      </c>
    </row>
    <row r="1033" spans="1:13">
      <c r="A1033" s="28">
        <v>83500</v>
      </c>
      <c r="B1033" t="s">
        <v>1174</v>
      </c>
      <c r="C1033">
        <v>12240</v>
      </c>
      <c r="D1033">
        <v>-430</v>
      </c>
      <c r="E1033">
        <v>-3.39</v>
      </c>
      <c r="F1033">
        <v>603</v>
      </c>
      <c r="G1033">
        <v>20.3</v>
      </c>
      <c r="H1033" t="s">
        <v>397</v>
      </c>
      <c r="I1033" t="s">
        <v>397</v>
      </c>
      <c r="J1033">
        <v>7825</v>
      </c>
      <c r="K1033">
        <v>1.56</v>
      </c>
      <c r="L1033">
        <v>100</v>
      </c>
      <c r="M1033">
        <v>0.82</v>
      </c>
    </row>
    <row r="1034" spans="1:13">
      <c r="A1034" s="28">
        <v>144510</v>
      </c>
      <c r="B1034" t="s">
        <v>1175</v>
      </c>
      <c r="C1034">
        <v>42750</v>
      </c>
      <c r="D1034">
        <v>-1200</v>
      </c>
      <c r="E1034">
        <v>-2.73</v>
      </c>
      <c r="F1034">
        <v>1664</v>
      </c>
      <c r="G1034">
        <v>25.69</v>
      </c>
      <c r="H1034" t="s">
        <v>397</v>
      </c>
      <c r="I1034" t="s">
        <v>397</v>
      </c>
      <c r="J1034">
        <v>35857</v>
      </c>
      <c r="K1034">
        <v>1.19</v>
      </c>
      <c r="L1034">
        <v>350</v>
      </c>
      <c r="M1034">
        <v>0.82</v>
      </c>
    </row>
    <row r="1035" spans="1:13">
      <c r="A1035" s="28">
        <v>2140</v>
      </c>
      <c r="B1035" t="s">
        <v>1176</v>
      </c>
      <c r="C1035">
        <v>3090</v>
      </c>
      <c r="D1035">
        <v>10</v>
      </c>
      <c r="E1035">
        <v>0.32</v>
      </c>
      <c r="F1035">
        <v>28</v>
      </c>
      <c r="G1035">
        <v>110.36</v>
      </c>
      <c r="H1035" t="s">
        <v>397</v>
      </c>
      <c r="I1035" t="s">
        <v>397</v>
      </c>
      <c r="J1035">
        <v>4286</v>
      </c>
      <c r="K1035">
        <v>0.72</v>
      </c>
      <c r="L1035">
        <v>25</v>
      </c>
      <c r="M1035">
        <v>0.81</v>
      </c>
    </row>
    <row r="1036" spans="1:13">
      <c r="A1036" s="28">
        <v>98120</v>
      </c>
      <c r="B1036" t="s">
        <v>1177</v>
      </c>
      <c r="C1036">
        <v>9850</v>
      </c>
      <c r="D1036">
        <v>30</v>
      </c>
      <c r="E1036">
        <v>0.31</v>
      </c>
      <c r="F1036">
        <v>848</v>
      </c>
      <c r="G1036">
        <v>11.62</v>
      </c>
      <c r="H1036" t="s">
        <v>397</v>
      </c>
      <c r="I1036" t="s">
        <v>397</v>
      </c>
      <c r="J1036">
        <v>5894</v>
      </c>
      <c r="K1036">
        <v>1.67</v>
      </c>
      <c r="L1036">
        <v>80</v>
      </c>
      <c r="M1036">
        <v>0.81</v>
      </c>
    </row>
    <row r="1037" spans="1:13">
      <c r="A1037" s="28">
        <v>1510</v>
      </c>
      <c r="B1037" t="s">
        <v>1178</v>
      </c>
      <c r="C1037">
        <v>620</v>
      </c>
      <c r="D1037">
        <v>-12</v>
      </c>
      <c r="E1037">
        <v>-1.9</v>
      </c>
      <c r="F1037">
        <v>23</v>
      </c>
      <c r="G1037">
        <v>26.96</v>
      </c>
      <c r="H1037" t="s">
        <v>397</v>
      </c>
      <c r="I1037" t="s">
        <v>397</v>
      </c>
      <c r="J1037">
        <v>1525</v>
      </c>
      <c r="K1037">
        <v>0.41</v>
      </c>
      <c r="L1037">
        <v>5</v>
      </c>
      <c r="M1037">
        <v>0.81</v>
      </c>
    </row>
    <row r="1038" spans="1:13">
      <c r="A1038" s="28">
        <v>6220</v>
      </c>
      <c r="B1038" t="s">
        <v>1179</v>
      </c>
      <c r="C1038">
        <v>12400</v>
      </c>
      <c r="D1038">
        <v>-1400</v>
      </c>
      <c r="E1038">
        <v>-10.14</v>
      </c>
      <c r="F1038">
        <v>636</v>
      </c>
      <c r="G1038">
        <v>19.5</v>
      </c>
      <c r="H1038" t="s">
        <v>397</v>
      </c>
      <c r="I1038" t="s">
        <v>397</v>
      </c>
      <c r="J1038">
        <v>16243</v>
      </c>
      <c r="K1038">
        <v>0.76</v>
      </c>
      <c r="L1038">
        <v>100</v>
      </c>
      <c r="M1038">
        <v>0.81</v>
      </c>
    </row>
    <row r="1039" spans="1:13">
      <c r="A1039" s="28">
        <v>48470</v>
      </c>
      <c r="B1039" t="s">
        <v>1180</v>
      </c>
      <c r="C1039">
        <v>3740</v>
      </c>
      <c r="D1039">
        <v>45</v>
      </c>
      <c r="E1039">
        <v>1.22</v>
      </c>
      <c r="F1039" t="s">
        <v>397</v>
      </c>
      <c r="G1039" t="s">
        <v>397</v>
      </c>
      <c r="H1039" t="s">
        <v>397</v>
      </c>
      <c r="I1039" t="s">
        <v>397</v>
      </c>
      <c r="J1039">
        <v>7207</v>
      </c>
      <c r="K1039">
        <v>0.52</v>
      </c>
      <c r="L1039">
        <v>30</v>
      </c>
      <c r="M1039">
        <v>0.8</v>
      </c>
    </row>
    <row r="1040" spans="1:13">
      <c r="A1040" s="28">
        <v>2790</v>
      </c>
      <c r="B1040" t="s">
        <v>1181</v>
      </c>
      <c r="C1040">
        <v>25950</v>
      </c>
      <c r="D1040">
        <v>-300</v>
      </c>
      <c r="E1040">
        <v>-1.1399999999999999</v>
      </c>
      <c r="F1040">
        <v>657</v>
      </c>
      <c r="G1040">
        <v>39.5</v>
      </c>
      <c r="H1040">
        <v>1791</v>
      </c>
      <c r="I1040">
        <v>14.49</v>
      </c>
      <c r="J1040">
        <v>44015</v>
      </c>
      <c r="K1040">
        <v>0.59</v>
      </c>
      <c r="L1040">
        <v>205</v>
      </c>
      <c r="M1040">
        <v>0.79</v>
      </c>
    </row>
    <row r="1041" spans="1:13">
      <c r="A1041" s="28">
        <v>52260</v>
      </c>
      <c r="B1041" t="s">
        <v>1182</v>
      </c>
      <c r="C1041">
        <v>8910</v>
      </c>
      <c r="D1041">
        <v>-110</v>
      </c>
      <c r="E1041">
        <v>-1.22</v>
      </c>
      <c r="F1041">
        <v>318</v>
      </c>
      <c r="G1041">
        <v>28.02</v>
      </c>
      <c r="H1041" t="s">
        <v>397</v>
      </c>
      <c r="I1041" t="s">
        <v>397</v>
      </c>
      <c r="J1041">
        <v>8619</v>
      </c>
      <c r="K1041">
        <v>1.03</v>
      </c>
      <c r="L1041">
        <v>70</v>
      </c>
      <c r="M1041">
        <v>0.79</v>
      </c>
    </row>
    <row r="1042" spans="1:13">
      <c r="A1042" s="28">
        <v>307950</v>
      </c>
      <c r="B1042" t="s">
        <v>1183</v>
      </c>
      <c r="C1042">
        <v>144500</v>
      </c>
      <c r="D1042">
        <v>-5400</v>
      </c>
      <c r="E1042">
        <v>-3.6</v>
      </c>
      <c r="F1042">
        <v>4154</v>
      </c>
      <c r="G1042">
        <v>34.79</v>
      </c>
      <c r="H1042">
        <v>6333</v>
      </c>
      <c r="I1042">
        <v>22.82</v>
      </c>
      <c r="J1042">
        <v>53924</v>
      </c>
      <c r="K1042">
        <v>2.68</v>
      </c>
      <c r="L1042">
        <v>1140</v>
      </c>
      <c r="M1042">
        <v>0.79</v>
      </c>
    </row>
    <row r="1043" spans="1:13">
      <c r="A1043" s="28">
        <v>2800</v>
      </c>
      <c r="B1043" t="s">
        <v>1184</v>
      </c>
      <c r="C1043">
        <v>6360</v>
      </c>
      <c r="D1043">
        <v>-120</v>
      </c>
      <c r="E1043">
        <v>-1.85</v>
      </c>
      <c r="F1043">
        <v>291</v>
      </c>
      <c r="G1043">
        <v>21.86</v>
      </c>
      <c r="H1043" t="s">
        <v>397</v>
      </c>
      <c r="I1043" t="s">
        <v>397</v>
      </c>
      <c r="J1043">
        <v>3935</v>
      </c>
      <c r="K1043">
        <v>1.62</v>
      </c>
      <c r="L1043">
        <v>50</v>
      </c>
      <c r="M1043">
        <v>0.79</v>
      </c>
    </row>
    <row r="1044" spans="1:13">
      <c r="A1044" s="28">
        <v>44960</v>
      </c>
      <c r="B1044" t="s">
        <v>1185</v>
      </c>
      <c r="C1044">
        <v>5120</v>
      </c>
      <c r="D1044">
        <v>-50</v>
      </c>
      <c r="E1044">
        <v>-0.97</v>
      </c>
      <c r="F1044">
        <v>215</v>
      </c>
      <c r="G1044">
        <v>23.81</v>
      </c>
      <c r="H1044" t="s">
        <v>397</v>
      </c>
      <c r="I1044" t="s">
        <v>397</v>
      </c>
      <c r="J1044">
        <v>3499</v>
      </c>
      <c r="K1044">
        <v>1.46</v>
      </c>
      <c r="L1044">
        <v>40</v>
      </c>
      <c r="M1044">
        <v>0.78</v>
      </c>
    </row>
    <row r="1045" spans="1:13">
      <c r="A1045" s="28">
        <v>4310</v>
      </c>
      <c r="B1045" t="s">
        <v>1186</v>
      </c>
      <c r="C1045">
        <v>3860</v>
      </c>
      <c r="D1045">
        <v>-5</v>
      </c>
      <c r="E1045">
        <v>-0.13</v>
      </c>
      <c r="F1045" t="s">
        <v>397</v>
      </c>
      <c r="G1045" t="s">
        <v>397</v>
      </c>
      <c r="H1045" t="s">
        <v>397</v>
      </c>
      <c r="I1045" t="s">
        <v>397</v>
      </c>
      <c r="J1045">
        <v>3144</v>
      </c>
      <c r="K1045">
        <v>1.23</v>
      </c>
      <c r="L1045">
        <v>30</v>
      </c>
      <c r="M1045">
        <v>0.78</v>
      </c>
    </row>
    <row r="1046" spans="1:13">
      <c r="A1046" s="28">
        <v>3850</v>
      </c>
      <c r="B1046" t="s">
        <v>1187</v>
      </c>
      <c r="C1046">
        <v>12890</v>
      </c>
      <c r="D1046">
        <v>-180</v>
      </c>
      <c r="E1046">
        <v>-1.38</v>
      </c>
      <c r="F1046">
        <v>636</v>
      </c>
      <c r="G1046">
        <v>20.27</v>
      </c>
      <c r="H1046">
        <v>985</v>
      </c>
      <c r="I1046">
        <v>13.08</v>
      </c>
      <c r="J1046">
        <v>7833</v>
      </c>
      <c r="K1046">
        <v>1.65</v>
      </c>
      <c r="L1046">
        <v>100</v>
      </c>
      <c r="M1046">
        <v>0.78</v>
      </c>
    </row>
    <row r="1047" spans="1:13">
      <c r="A1047" s="28">
        <v>12205</v>
      </c>
      <c r="B1047" t="s">
        <v>1188</v>
      </c>
      <c r="C1047">
        <v>3850</v>
      </c>
      <c r="D1047">
        <v>60</v>
      </c>
      <c r="E1047">
        <v>1.58</v>
      </c>
      <c r="F1047" t="s">
        <v>397</v>
      </c>
      <c r="G1047" t="s">
        <v>397</v>
      </c>
      <c r="H1047" t="s">
        <v>397</v>
      </c>
      <c r="I1047" t="s">
        <v>397</v>
      </c>
      <c r="J1047" t="s">
        <v>397</v>
      </c>
      <c r="K1047" t="s">
        <v>397</v>
      </c>
      <c r="L1047">
        <v>30</v>
      </c>
      <c r="M1047">
        <v>0.78</v>
      </c>
    </row>
    <row r="1048" spans="1:13">
      <c r="A1048" s="28">
        <v>1340</v>
      </c>
      <c r="B1048" t="s">
        <v>1189</v>
      </c>
      <c r="C1048">
        <v>7790</v>
      </c>
      <c r="D1048">
        <v>0</v>
      </c>
      <c r="E1048">
        <v>0</v>
      </c>
      <c r="F1048">
        <v>491</v>
      </c>
      <c r="G1048">
        <v>15.87</v>
      </c>
      <c r="H1048" t="s">
        <v>397</v>
      </c>
      <c r="I1048" t="s">
        <v>397</v>
      </c>
      <c r="J1048">
        <v>4741</v>
      </c>
      <c r="K1048">
        <v>1.64</v>
      </c>
      <c r="L1048">
        <v>60</v>
      </c>
      <c r="M1048">
        <v>0.77</v>
      </c>
    </row>
    <row r="1049" spans="1:13">
      <c r="A1049" s="28">
        <v>84370</v>
      </c>
      <c r="B1049" t="s">
        <v>1190</v>
      </c>
      <c r="C1049">
        <v>34900</v>
      </c>
      <c r="D1049">
        <v>-600</v>
      </c>
      <c r="E1049">
        <v>-1.69</v>
      </c>
      <c r="F1049">
        <v>1697</v>
      </c>
      <c r="G1049">
        <v>20.57</v>
      </c>
      <c r="H1049">
        <v>1999</v>
      </c>
      <c r="I1049">
        <v>17.46</v>
      </c>
      <c r="J1049">
        <v>14595</v>
      </c>
      <c r="K1049">
        <v>2.39</v>
      </c>
      <c r="L1049">
        <v>270</v>
      </c>
      <c r="M1049">
        <v>0.77</v>
      </c>
    </row>
    <row r="1050" spans="1:13">
      <c r="A1050" s="28">
        <v>27360</v>
      </c>
      <c r="B1050" t="s">
        <v>1191</v>
      </c>
      <c r="C1050">
        <v>2610</v>
      </c>
      <c r="D1050">
        <v>-10</v>
      </c>
      <c r="E1050">
        <v>-0.38</v>
      </c>
      <c r="F1050">
        <v>17</v>
      </c>
      <c r="G1050">
        <v>153.53</v>
      </c>
      <c r="H1050" t="s">
        <v>397</v>
      </c>
      <c r="I1050" t="s">
        <v>397</v>
      </c>
      <c r="J1050">
        <v>2064</v>
      </c>
      <c r="K1050">
        <v>1.26</v>
      </c>
      <c r="L1050">
        <v>20</v>
      </c>
      <c r="M1050">
        <v>0.77</v>
      </c>
    </row>
    <row r="1051" spans="1:13">
      <c r="A1051" s="28">
        <v>311320</v>
      </c>
      <c r="B1051" t="s">
        <v>1192</v>
      </c>
      <c r="C1051">
        <v>12910</v>
      </c>
      <c r="D1051">
        <v>410</v>
      </c>
      <c r="E1051">
        <v>3.28</v>
      </c>
      <c r="F1051">
        <v>535</v>
      </c>
      <c r="G1051">
        <v>24.13</v>
      </c>
      <c r="H1051">
        <v>616</v>
      </c>
      <c r="I1051">
        <v>20.95</v>
      </c>
      <c r="J1051">
        <v>3883</v>
      </c>
      <c r="K1051">
        <v>3.32</v>
      </c>
      <c r="L1051">
        <v>100</v>
      </c>
      <c r="M1051">
        <v>0.77</v>
      </c>
    </row>
    <row r="1052" spans="1:13">
      <c r="A1052" s="28">
        <v>20150</v>
      </c>
      <c r="B1052" t="s">
        <v>1193</v>
      </c>
      <c r="C1052">
        <v>39300</v>
      </c>
      <c r="D1052">
        <v>-1100</v>
      </c>
      <c r="E1052">
        <v>-2.72</v>
      </c>
      <c r="F1052">
        <v>950</v>
      </c>
      <c r="G1052">
        <v>41.37</v>
      </c>
      <c r="H1052">
        <v>873</v>
      </c>
      <c r="I1052">
        <v>45.01</v>
      </c>
      <c r="J1052">
        <v>31661</v>
      </c>
      <c r="K1052">
        <v>1.24</v>
      </c>
      <c r="L1052">
        <v>300</v>
      </c>
      <c r="M1052">
        <v>0.76</v>
      </c>
    </row>
    <row r="1053" spans="1:13">
      <c r="A1053" s="28">
        <v>93520</v>
      </c>
      <c r="B1053" t="s">
        <v>1194</v>
      </c>
      <c r="C1053">
        <v>15750</v>
      </c>
      <c r="D1053">
        <v>530</v>
      </c>
      <c r="E1053">
        <v>3.48</v>
      </c>
      <c r="F1053">
        <v>1854</v>
      </c>
      <c r="G1053">
        <v>8.5</v>
      </c>
      <c r="H1053" t="s">
        <v>397</v>
      </c>
      <c r="I1053" t="s">
        <v>397</v>
      </c>
      <c r="J1053">
        <v>8312</v>
      </c>
      <c r="K1053">
        <v>1.89</v>
      </c>
      <c r="L1053">
        <v>120</v>
      </c>
      <c r="M1053">
        <v>0.76</v>
      </c>
    </row>
    <row r="1054" spans="1:13">
      <c r="A1054" s="28">
        <v>6650</v>
      </c>
      <c r="B1054" t="s">
        <v>1195</v>
      </c>
      <c r="C1054">
        <v>131800</v>
      </c>
      <c r="D1054">
        <v>400</v>
      </c>
      <c r="E1054">
        <v>0.3</v>
      </c>
      <c r="F1054" t="s">
        <v>397</v>
      </c>
      <c r="G1054" t="s">
        <v>397</v>
      </c>
      <c r="H1054">
        <v>11626</v>
      </c>
      <c r="I1054">
        <v>11.34</v>
      </c>
      <c r="J1054">
        <v>301477</v>
      </c>
      <c r="K1054">
        <v>0.44</v>
      </c>
      <c r="L1054">
        <v>1000</v>
      </c>
      <c r="M1054">
        <v>0.76</v>
      </c>
    </row>
    <row r="1055" spans="1:13">
      <c r="A1055" s="28">
        <v>590</v>
      </c>
      <c r="B1055" t="s">
        <v>1196</v>
      </c>
      <c r="C1055">
        <v>65800</v>
      </c>
      <c r="D1055">
        <v>300</v>
      </c>
      <c r="E1055">
        <v>0.46</v>
      </c>
      <c r="F1055">
        <v>12700</v>
      </c>
      <c r="G1055">
        <v>5.18</v>
      </c>
      <c r="H1055" t="s">
        <v>397</v>
      </c>
      <c r="I1055" t="s">
        <v>397</v>
      </c>
      <c r="J1055">
        <v>242997</v>
      </c>
      <c r="K1055">
        <v>0.27</v>
      </c>
      <c r="L1055">
        <v>500</v>
      </c>
      <c r="M1055">
        <v>0.76</v>
      </c>
    </row>
    <row r="1056" spans="1:13">
      <c r="A1056" s="28" t="s">
        <v>1197</v>
      </c>
      <c r="B1056" t="s">
        <v>1198</v>
      </c>
      <c r="C1056">
        <v>25650</v>
      </c>
      <c r="D1056">
        <v>-650</v>
      </c>
      <c r="E1056">
        <v>-2.4700000000000002</v>
      </c>
      <c r="F1056" t="s">
        <v>397</v>
      </c>
      <c r="G1056" t="s">
        <v>397</v>
      </c>
      <c r="H1056" t="s">
        <v>397</v>
      </c>
      <c r="I1056" t="s">
        <v>397</v>
      </c>
      <c r="J1056" t="s">
        <v>397</v>
      </c>
      <c r="K1056" t="s">
        <v>397</v>
      </c>
      <c r="L1056">
        <v>195</v>
      </c>
      <c r="M1056">
        <v>0.76</v>
      </c>
    </row>
    <row r="1057" spans="1:13">
      <c r="A1057" s="28">
        <v>4490</v>
      </c>
      <c r="B1057" t="s">
        <v>1199</v>
      </c>
      <c r="C1057">
        <v>79500</v>
      </c>
      <c r="D1057">
        <v>-200</v>
      </c>
      <c r="E1057">
        <v>-0.25</v>
      </c>
      <c r="F1057">
        <v>3222</v>
      </c>
      <c r="G1057">
        <v>24.67</v>
      </c>
      <c r="H1057">
        <v>9938</v>
      </c>
      <c r="I1057">
        <v>8</v>
      </c>
      <c r="J1057">
        <v>91306</v>
      </c>
      <c r="K1057">
        <v>0.87</v>
      </c>
      <c r="L1057">
        <v>600</v>
      </c>
      <c r="M1057">
        <v>0.75</v>
      </c>
    </row>
    <row r="1058" spans="1:13">
      <c r="A1058" s="28">
        <v>200880</v>
      </c>
      <c r="B1058" t="s">
        <v>1200</v>
      </c>
      <c r="C1058">
        <v>20100</v>
      </c>
      <c r="D1058">
        <v>210</v>
      </c>
      <c r="E1058">
        <v>1.06</v>
      </c>
      <c r="F1058">
        <v>2060</v>
      </c>
      <c r="G1058">
        <v>9.76</v>
      </c>
      <c r="H1058" t="s">
        <v>397</v>
      </c>
      <c r="I1058" t="s">
        <v>397</v>
      </c>
      <c r="J1058">
        <v>26709</v>
      </c>
      <c r="K1058">
        <v>0.75</v>
      </c>
      <c r="L1058">
        <v>150</v>
      </c>
      <c r="M1058">
        <v>0.75</v>
      </c>
    </row>
    <row r="1059" spans="1:13">
      <c r="A1059" s="28">
        <v>19990</v>
      </c>
      <c r="B1059" t="s">
        <v>1201</v>
      </c>
      <c r="C1059">
        <v>6680</v>
      </c>
      <c r="D1059">
        <v>-70</v>
      </c>
      <c r="E1059">
        <v>-1.04</v>
      </c>
      <c r="F1059">
        <v>80</v>
      </c>
      <c r="G1059">
        <v>83.5</v>
      </c>
      <c r="H1059" t="s">
        <v>397</v>
      </c>
      <c r="I1059" t="s">
        <v>397</v>
      </c>
      <c r="J1059">
        <v>4654</v>
      </c>
      <c r="K1059">
        <v>1.44</v>
      </c>
      <c r="L1059">
        <v>50</v>
      </c>
      <c r="M1059">
        <v>0.75</v>
      </c>
    </row>
    <row r="1060" spans="1:13">
      <c r="A1060" s="28">
        <v>490</v>
      </c>
      <c r="B1060" t="s">
        <v>1202</v>
      </c>
      <c r="C1060">
        <v>13420</v>
      </c>
      <c r="D1060">
        <v>-370</v>
      </c>
      <c r="E1060">
        <v>-2.68</v>
      </c>
      <c r="F1060">
        <v>1812</v>
      </c>
      <c r="G1060">
        <v>7.41</v>
      </c>
      <c r="H1060" t="s">
        <v>397</v>
      </c>
      <c r="I1060" t="s">
        <v>397</v>
      </c>
      <c r="J1060">
        <v>15973</v>
      </c>
      <c r="K1060">
        <v>0.84</v>
      </c>
      <c r="L1060">
        <v>100</v>
      </c>
      <c r="M1060">
        <v>0.75</v>
      </c>
    </row>
    <row r="1061" spans="1:13">
      <c r="A1061" s="28">
        <v>214390</v>
      </c>
      <c r="B1061" t="s">
        <v>1203</v>
      </c>
      <c r="C1061">
        <v>6670</v>
      </c>
      <c r="D1061">
        <v>-590</v>
      </c>
      <c r="E1061">
        <v>-8.1300000000000008</v>
      </c>
      <c r="F1061">
        <v>26</v>
      </c>
      <c r="G1061">
        <v>256.54000000000002</v>
      </c>
      <c r="H1061" t="s">
        <v>397</v>
      </c>
      <c r="I1061" t="s">
        <v>397</v>
      </c>
      <c r="J1061">
        <v>6011</v>
      </c>
      <c r="K1061">
        <v>1.1100000000000001</v>
      </c>
      <c r="L1061">
        <v>50</v>
      </c>
      <c r="M1061">
        <v>0.75</v>
      </c>
    </row>
    <row r="1062" spans="1:13">
      <c r="A1062" s="28">
        <v>336370</v>
      </c>
      <c r="B1062" t="s">
        <v>1204</v>
      </c>
      <c r="C1062">
        <v>13400</v>
      </c>
      <c r="D1062">
        <v>180</v>
      </c>
      <c r="E1062">
        <v>1.36</v>
      </c>
      <c r="F1062" t="s">
        <v>397</v>
      </c>
      <c r="G1062" t="s">
        <v>397</v>
      </c>
      <c r="H1062" t="s">
        <v>397</v>
      </c>
      <c r="I1062" t="s">
        <v>397</v>
      </c>
      <c r="J1062">
        <v>7768</v>
      </c>
      <c r="K1062">
        <v>1.73</v>
      </c>
      <c r="L1062">
        <v>100</v>
      </c>
      <c r="M1062">
        <v>0.75</v>
      </c>
    </row>
    <row r="1063" spans="1:13">
      <c r="A1063" s="28">
        <v>246690</v>
      </c>
      <c r="B1063" t="s">
        <v>1205</v>
      </c>
      <c r="C1063">
        <v>1336</v>
      </c>
      <c r="D1063">
        <v>-4</v>
      </c>
      <c r="E1063">
        <v>-0.3</v>
      </c>
      <c r="F1063">
        <v>207</v>
      </c>
      <c r="G1063">
        <v>6.45</v>
      </c>
      <c r="H1063" t="s">
        <v>397</v>
      </c>
      <c r="I1063" t="s">
        <v>397</v>
      </c>
      <c r="J1063">
        <v>1787</v>
      </c>
      <c r="K1063">
        <v>0.75</v>
      </c>
      <c r="L1063">
        <v>10</v>
      </c>
      <c r="M1063">
        <v>0.75</v>
      </c>
    </row>
    <row r="1064" spans="1:13">
      <c r="A1064" s="28">
        <v>41920</v>
      </c>
      <c r="B1064" t="s">
        <v>1206</v>
      </c>
      <c r="C1064">
        <v>6720</v>
      </c>
      <c r="D1064">
        <v>100</v>
      </c>
      <c r="E1064">
        <v>1.51</v>
      </c>
      <c r="F1064">
        <v>664</v>
      </c>
      <c r="G1064">
        <v>10.119999999999999</v>
      </c>
      <c r="H1064" t="s">
        <v>397</v>
      </c>
      <c r="I1064" t="s">
        <v>397</v>
      </c>
      <c r="J1064">
        <v>5644</v>
      </c>
      <c r="K1064">
        <v>1.19</v>
      </c>
      <c r="L1064">
        <v>50</v>
      </c>
      <c r="M1064">
        <v>0.74</v>
      </c>
    </row>
    <row r="1065" spans="1:13">
      <c r="A1065" s="28">
        <v>106190</v>
      </c>
      <c r="B1065" t="s">
        <v>1207</v>
      </c>
      <c r="C1065">
        <v>9430</v>
      </c>
      <c r="D1065">
        <v>-10</v>
      </c>
      <c r="E1065">
        <v>-0.11</v>
      </c>
      <c r="F1065">
        <v>552</v>
      </c>
      <c r="G1065">
        <v>17.079999999999998</v>
      </c>
      <c r="H1065" t="s">
        <v>397</v>
      </c>
      <c r="I1065" t="s">
        <v>397</v>
      </c>
      <c r="J1065">
        <v>9405</v>
      </c>
      <c r="K1065">
        <v>1</v>
      </c>
      <c r="L1065">
        <v>70</v>
      </c>
      <c r="M1065">
        <v>0.74</v>
      </c>
    </row>
    <row r="1066" spans="1:13">
      <c r="A1066" s="28">
        <v>660</v>
      </c>
      <c r="B1066" t="s">
        <v>1208</v>
      </c>
      <c r="C1066">
        <v>161200</v>
      </c>
      <c r="D1066">
        <v>-700</v>
      </c>
      <c r="E1066">
        <v>-0.43</v>
      </c>
      <c r="F1066">
        <v>3242</v>
      </c>
      <c r="G1066">
        <v>49.72</v>
      </c>
      <c r="H1066">
        <v>12050</v>
      </c>
      <c r="I1066">
        <v>13.38</v>
      </c>
      <c r="J1066">
        <v>92004</v>
      </c>
      <c r="K1066">
        <v>1.75</v>
      </c>
      <c r="L1066">
        <v>1200</v>
      </c>
      <c r="M1066">
        <v>0.74</v>
      </c>
    </row>
    <row r="1067" spans="1:13">
      <c r="A1067" s="28">
        <v>33160</v>
      </c>
      <c r="B1067" t="s">
        <v>1209</v>
      </c>
      <c r="C1067">
        <v>13570</v>
      </c>
      <c r="D1067">
        <v>110</v>
      </c>
      <c r="E1067">
        <v>0.82</v>
      </c>
      <c r="F1067" t="s">
        <v>397</v>
      </c>
      <c r="G1067" t="s">
        <v>397</v>
      </c>
      <c r="H1067" t="s">
        <v>397</v>
      </c>
      <c r="I1067" t="s">
        <v>397</v>
      </c>
      <c r="J1067">
        <v>18711</v>
      </c>
      <c r="K1067">
        <v>0.73</v>
      </c>
      <c r="L1067">
        <v>100</v>
      </c>
      <c r="M1067">
        <v>0.74</v>
      </c>
    </row>
    <row r="1068" spans="1:13">
      <c r="A1068" s="28">
        <v>237880</v>
      </c>
      <c r="B1068" t="s">
        <v>1210</v>
      </c>
      <c r="C1068">
        <v>27500</v>
      </c>
      <c r="D1068">
        <v>-650</v>
      </c>
      <c r="E1068">
        <v>-2.31</v>
      </c>
      <c r="F1068">
        <v>584</v>
      </c>
      <c r="G1068">
        <v>47.09</v>
      </c>
      <c r="H1068">
        <v>2095</v>
      </c>
      <c r="I1068">
        <v>13.13</v>
      </c>
      <c r="J1068">
        <v>10872</v>
      </c>
      <c r="K1068">
        <v>2.5299999999999998</v>
      </c>
      <c r="L1068">
        <v>200</v>
      </c>
      <c r="M1068">
        <v>0.73</v>
      </c>
    </row>
    <row r="1069" spans="1:13">
      <c r="A1069" s="28">
        <v>36480</v>
      </c>
      <c r="B1069" t="s">
        <v>1211</v>
      </c>
      <c r="C1069">
        <v>10300</v>
      </c>
      <c r="D1069">
        <v>10</v>
      </c>
      <c r="E1069">
        <v>0.1</v>
      </c>
      <c r="F1069">
        <v>448</v>
      </c>
      <c r="G1069">
        <v>22.99</v>
      </c>
      <c r="H1069" t="s">
        <v>397</v>
      </c>
      <c r="I1069" t="s">
        <v>397</v>
      </c>
      <c r="J1069">
        <v>10220</v>
      </c>
      <c r="K1069">
        <v>1.01</v>
      </c>
      <c r="L1069">
        <v>75</v>
      </c>
      <c r="M1069">
        <v>0.73</v>
      </c>
    </row>
    <row r="1070" spans="1:13">
      <c r="A1070" s="28">
        <v>98460</v>
      </c>
      <c r="B1070" t="s">
        <v>1212</v>
      </c>
      <c r="C1070">
        <v>19300</v>
      </c>
      <c r="D1070">
        <v>330</v>
      </c>
      <c r="E1070">
        <v>1.74</v>
      </c>
      <c r="F1070">
        <v>584</v>
      </c>
      <c r="G1070">
        <v>33.049999999999997</v>
      </c>
      <c r="H1070">
        <v>653</v>
      </c>
      <c r="I1070">
        <v>29.55</v>
      </c>
      <c r="J1070">
        <v>4553</v>
      </c>
      <c r="K1070">
        <v>4.24</v>
      </c>
      <c r="L1070">
        <v>140</v>
      </c>
      <c r="M1070">
        <v>0.73</v>
      </c>
    </row>
    <row r="1071" spans="1:13">
      <c r="A1071" s="28">
        <v>248170</v>
      </c>
      <c r="B1071" t="s">
        <v>1213</v>
      </c>
      <c r="C1071">
        <v>27300</v>
      </c>
      <c r="D1071">
        <v>-300</v>
      </c>
      <c r="E1071">
        <v>-1.0900000000000001</v>
      </c>
      <c r="F1071">
        <v>2869</v>
      </c>
      <c r="G1071">
        <v>9.52</v>
      </c>
      <c r="H1071" t="s">
        <v>397</v>
      </c>
      <c r="I1071" t="s">
        <v>397</v>
      </c>
      <c r="J1071">
        <v>49786</v>
      </c>
      <c r="K1071">
        <v>0.55000000000000004</v>
      </c>
      <c r="L1071">
        <v>200</v>
      </c>
      <c r="M1071">
        <v>0.73</v>
      </c>
    </row>
    <row r="1072" spans="1:13">
      <c r="A1072" s="28">
        <v>94360</v>
      </c>
      <c r="B1072" t="s">
        <v>1214</v>
      </c>
      <c r="C1072">
        <v>27400</v>
      </c>
      <c r="D1072">
        <v>50</v>
      </c>
      <c r="E1072">
        <v>0.18</v>
      </c>
      <c r="F1072">
        <v>521</v>
      </c>
      <c r="G1072">
        <v>52.59</v>
      </c>
      <c r="H1072">
        <v>627</v>
      </c>
      <c r="I1072">
        <v>43.72</v>
      </c>
      <c r="J1072">
        <v>2236</v>
      </c>
      <c r="K1072">
        <v>12.25</v>
      </c>
      <c r="L1072">
        <v>196</v>
      </c>
      <c r="M1072">
        <v>0.72</v>
      </c>
    </row>
    <row r="1073" spans="1:13">
      <c r="A1073" s="28">
        <v>3230</v>
      </c>
      <c r="B1073" t="s">
        <v>1215</v>
      </c>
      <c r="C1073">
        <v>195300</v>
      </c>
      <c r="D1073">
        <v>10400</v>
      </c>
      <c r="E1073">
        <v>5.62</v>
      </c>
      <c r="F1073">
        <v>10665</v>
      </c>
      <c r="G1073">
        <v>18.309999999999999</v>
      </c>
      <c r="H1073">
        <v>18949</v>
      </c>
      <c r="I1073">
        <v>10.31</v>
      </c>
      <c r="J1073">
        <v>60733</v>
      </c>
      <c r="K1073">
        <v>3.22</v>
      </c>
      <c r="L1073">
        <v>1400</v>
      </c>
      <c r="M1073">
        <v>0.72</v>
      </c>
    </row>
    <row r="1074" spans="1:13">
      <c r="A1074" s="28">
        <v>214450</v>
      </c>
      <c r="B1074" t="s">
        <v>1216</v>
      </c>
      <c r="C1074">
        <v>91300</v>
      </c>
      <c r="D1074">
        <v>-2100</v>
      </c>
      <c r="E1074">
        <v>-2.25</v>
      </c>
      <c r="F1074">
        <v>4067</v>
      </c>
      <c r="G1074">
        <v>22.45</v>
      </c>
      <c r="H1074">
        <v>10005</v>
      </c>
      <c r="I1074">
        <v>9.1300000000000008</v>
      </c>
      <c r="J1074">
        <v>34433</v>
      </c>
      <c r="K1074">
        <v>2.65</v>
      </c>
      <c r="L1074">
        <v>660</v>
      </c>
      <c r="M1074">
        <v>0.72</v>
      </c>
    </row>
    <row r="1075" spans="1:13">
      <c r="A1075" s="28">
        <v>66570</v>
      </c>
      <c r="B1075" t="s">
        <v>1217</v>
      </c>
      <c r="C1075">
        <v>98900</v>
      </c>
      <c r="D1075">
        <v>-400</v>
      </c>
      <c r="E1075">
        <v>-0.4</v>
      </c>
      <c r="F1075">
        <v>6640</v>
      </c>
      <c r="G1075">
        <v>14.89</v>
      </c>
      <c r="H1075">
        <v>11422</v>
      </c>
      <c r="I1075">
        <v>8.66</v>
      </c>
      <c r="J1075">
        <v>116599</v>
      </c>
      <c r="K1075">
        <v>0.85</v>
      </c>
      <c r="L1075">
        <v>700</v>
      </c>
      <c r="M1075">
        <v>0.71</v>
      </c>
    </row>
    <row r="1076" spans="1:13">
      <c r="A1076" s="28">
        <v>6580</v>
      </c>
      <c r="B1076" t="s">
        <v>1218</v>
      </c>
      <c r="C1076">
        <v>5630</v>
      </c>
      <c r="D1076">
        <v>160</v>
      </c>
      <c r="E1076">
        <v>2.93</v>
      </c>
      <c r="F1076" t="s">
        <v>397</v>
      </c>
      <c r="G1076" t="s">
        <v>397</v>
      </c>
      <c r="H1076" t="s">
        <v>397</v>
      </c>
      <c r="I1076" t="s">
        <v>397</v>
      </c>
      <c r="J1076">
        <v>6960</v>
      </c>
      <c r="K1076">
        <v>0.81</v>
      </c>
      <c r="L1076">
        <v>40</v>
      </c>
      <c r="M1076">
        <v>0.71</v>
      </c>
    </row>
    <row r="1077" spans="1:13">
      <c r="A1077" s="28">
        <v>348210</v>
      </c>
      <c r="B1077" t="s">
        <v>1219</v>
      </c>
      <c r="C1077">
        <v>70800</v>
      </c>
      <c r="D1077">
        <v>100</v>
      </c>
      <c r="E1077">
        <v>0.14000000000000001</v>
      </c>
      <c r="F1077">
        <v>4433</v>
      </c>
      <c r="G1077">
        <v>15.97</v>
      </c>
      <c r="H1077">
        <v>4621</v>
      </c>
      <c r="I1077">
        <v>15.32</v>
      </c>
      <c r="J1077">
        <v>10101</v>
      </c>
      <c r="K1077">
        <v>7.01</v>
      </c>
      <c r="L1077">
        <v>500</v>
      </c>
      <c r="M1077">
        <v>0.71</v>
      </c>
    </row>
    <row r="1078" spans="1:13">
      <c r="A1078" s="28">
        <v>67900</v>
      </c>
      <c r="B1078" t="s">
        <v>1220</v>
      </c>
      <c r="C1078">
        <v>7100</v>
      </c>
      <c r="D1078">
        <v>-40</v>
      </c>
      <c r="E1078">
        <v>-0.56000000000000005</v>
      </c>
      <c r="F1078">
        <v>1361</v>
      </c>
      <c r="G1078">
        <v>5.22</v>
      </c>
      <c r="H1078" t="s">
        <v>397</v>
      </c>
      <c r="I1078" t="s">
        <v>397</v>
      </c>
      <c r="J1078">
        <v>11038</v>
      </c>
      <c r="K1078">
        <v>0.64</v>
      </c>
      <c r="L1078">
        <v>50</v>
      </c>
      <c r="M1078">
        <v>0.7</v>
      </c>
    </row>
    <row r="1079" spans="1:13">
      <c r="A1079" s="28">
        <v>20400</v>
      </c>
      <c r="B1079" t="s">
        <v>1221</v>
      </c>
      <c r="C1079">
        <v>8580</v>
      </c>
      <c r="D1079">
        <v>-90</v>
      </c>
      <c r="E1079">
        <v>-1.04</v>
      </c>
      <c r="F1079">
        <v>684</v>
      </c>
      <c r="G1079">
        <v>12.54</v>
      </c>
      <c r="H1079" t="s">
        <v>397</v>
      </c>
      <c r="I1079" t="s">
        <v>397</v>
      </c>
      <c r="J1079">
        <v>14688</v>
      </c>
      <c r="K1079">
        <v>0.57999999999999996</v>
      </c>
      <c r="L1079">
        <v>60</v>
      </c>
      <c r="M1079">
        <v>0.7</v>
      </c>
    </row>
    <row r="1080" spans="1:13">
      <c r="A1080" s="28">
        <v>100660</v>
      </c>
      <c r="B1080" t="s">
        <v>1222</v>
      </c>
      <c r="C1080">
        <v>4970</v>
      </c>
      <c r="D1080">
        <v>110</v>
      </c>
      <c r="E1080">
        <v>2.2599999999999998</v>
      </c>
      <c r="F1080">
        <v>173</v>
      </c>
      <c r="G1080">
        <v>28.73</v>
      </c>
      <c r="H1080" t="s">
        <v>397</v>
      </c>
      <c r="I1080" t="s">
        <v>397</v>
      </c>
      <c r="J1080">
        <v>5090</v>
      </c>
      <c r="K1080">
        <v>0.98</v>
      </c>
      <c r="L1080">
        <v>35</v>
      </c>
      <c r="M1080">
        <v>0.7</v>
      </c>
    </row>
    <row r="1081" spans="1:13">
      <c r="A1081" s="28">
        <v>86900</v>
      </c>
      <c r="B1081" t="s">
        <v>1223</v>
      </c>
      <c r="C1081">
        <v>142000</v>
      </c>
      <c r="D1081">
        <v>-200</v>
      </c>
      <c r="E1081">
        <v>-0.14000000000000001</v>
      </c>
      <c r="F1081">
        <v>5518</v>
      </c>
      <c r="G1081">
        <v>25.73</v>
      </c>
      <c r="H1081">
        <v>6287</v>
      </c>
      <c r="I1081">
        <v>22.59</v>
      </c>
      <c r="J1081">
        <v>67873</v>
      </c>
      <c r="K1081">
        <v>2.09</v>
      </c>
      <c r="L1081">
        <v>1000</v>
      </c>
      <c r="M1081">
        <v>0.7</v>
      </c>
    </row>
    <row r="1082" spans="1:13">
      <c r="A1082" s="28">
        <v>357780</v>
      </c>
      <c r="B1082" t="s">
        <v>1224</v>
      </c>
      <c r="C1082">
        <v>287500</v>
      </c>
      <c r="D1082">
        <v>-7500</v>
      </c>
      <c r="E1082">
        <v>-2.54</v>
      </c>
      <c r="F1082">
        <v>20967</v>
      </c>
      <c r="G1082">
        <v>13.71</v>
      </c>
      <c r="H1082">
        <v>20939</v>
      </c>
      <c r="I1082">
        <v>13.73</v>
      </c>
      <c r="J1082">
        <v>100423</v>
      </c>
      <c r="K1082">
        <v>2.86</v>
      </c>
      <c r="L1082">
        <v>2000</v>
      </c>
      <c r="M1082">
        <v>0.7</v>
      </c>
    </row>
    <row r="1083" spans="1:13">
      <c r="A1083" s="28">
        <v>39440</v>
      </c>
      <c r="B1083" t="s">
        <v>1225</v>
      </c>
      <c r="C1083">
        <v>36000</v>
      </c>
      <c r="D1083">
        <v>350</v>
      </c>
      <c r="E1083">
        <v>0.98</v>
      </c>
      <c r="F1083">
        <v>1999</v>
      </c>
      <c r="G1083">
        <v>18.010000000000002</v>
      </c>
      <c r="H1083">
        <v>3325</v>
      </c>
      <c r="I1083">
        <v>10.83</v>
      </c>
      <c r="J1083">
        <v>14767</v>
      </c>
      <c r="K1083">
        <v>2.44</v>
      </c>
      <c r="L1083">
        <v>250</v>
      </c>
      <c r="M1083">
        <v>0.69</v>
      </c>
    </row>
    <row r="1084" spans="1:13">
      <c r="A1084" s="28">
        <v>7770</v>
      </c>
      <c r="B1084" t="s">
        <v>354</v>
      </c>
      <c r="C1084">
        <v>14670</v>
      </c>
      <c r="D1084">
        <v>0</v>
      </c>
      <c r="E1084">
        <v>0</v>
      </c>
      <c r="F1084">
        <v>1237</v>
      </c>
      <c r="G1084">
        <v>11.86</v>
      </c>
      <c r="H1084" t="s">
        <v>397</v>
      </c>
      <c r="I1084" t="s">
        <v>397</v>
      </c>
      <c r="J1084">
        <v>33661</v>
      </c>
      <c r="K1084">
        <v>0.44</v>
      </c>
      <c r="L1084">
        <v>100</v>
      </c>
      <c r="M1084">
        <v>0.68</v>
      </c>
    </row>
    <row r="1085" spans="1:13">
      <c r="A1085" s="28">
        <v>6730</v>
      </c>
      <c r="B1085" t="s">
        <v>1226</v>
      </c>
      <c r="C1085">
        <v>7360</v>
      </c>
      <c r="D1085">
        <v>-170</v>
      </c>
      <c r="E1085">
        <v>-2.2599999999999998</v>
      </c>
      <c r="F1085">
        <v>258</v>
      </c>
      <c r="G1085">
        <v>28.53</v>
      </c>
      <c r="H1085" t="s">
        <v>397</v>
      </c>
      <c r="I1085" t="s">
        <v>397</v>
      </c>
      <c r="J1085">
        <v>10467</v>
      </c>
      <c r="K1085">
        <v>0.7</v>
      </c>
      <c r="L1085">
        <v>50</v>
      </c>
      <c r="M1085">
        <v>0.68</v>
      </c>
    </row>
    <row r="1086" spans="1:13">
      <c r="A1086" s="28">
        <v>102710</v>
      </c>
      <c r="B1086" t="s">
        <v>1227</v>
      </c>
      <c r="C1086">
        <v>21900</v>
      </c>
      <c r="D1086">
        <v>-850</v>
      </c>
      <c r="E1086">
        <v>-3.74</v>
      </c>
      <c r="F1086">
        <v>3276</v>
      </c>
      <c r="G1086">
        <v>6.68</v>
      </c>
      <c r="H1086" t="s">
        <v>397</v>
      </c>
      <c r="I1086" t="s">
        <v>397</v>
      </c>
      <c r="J1086">
        <v>26565</v>
      </c>
      <c r="K1086">
        <v>0.82</v>
      </c>
      <c r="L1086">
        <v>150</v>
      </c>
      <c r="M1086">
        <v>0.68</v>
      </c>
    </row>
    <row r="1087" spans="1:13">
      <c r="A1087" s="28">
        <v>16920</v>
      </c>
      <c r="B1087" t="s">
        <v>1228</v>
      </c>
      <c r="C1087">
        <v>1476</v>
      </c>
      <c r="D1087">
        <v>-12</v>
      </c>
      <c r="E1087">
        <v>-0.81</v>
      </c>
      <c r="F1087">
        <v>121</v>
      </c>
      <c r="G1087">
        <v>12.2</v>
      </c>
      <c r="H1087" t="s">
        <v>397</v>
      </c>
      <c r="I1087" t="s">
        <v>397</v>
      </c>
      <c r="J1087">
        <v>2502</v>
      </c>
      <c r="K1087">
        <v>0.59</v>
      </c>
      <c r="L1087">
        <v>10</v>
      </c>
      <c r="M1087">
        <v>0.68</v>
      </c>
    </row>
    <row r="1088" spans="1:13">
      <c r="A1088" s="28">
        <v>102370</v>
      </c>
      <c r="B1088" t="s">
        <v>1229</v>
      </c>
      <c r="C1088">
        <v>5130</v>
      </c>
      <c r="D1088">
        <v>-180</v>
      </c>
      <c r="E1088">
        <v>-3.39</v>
      </c>
      <c r="F1088">
        <v>151</v>
      </c>
      <c r="G1088">
        <v>33.97</v>
      </c>
      <c r="H1088" t="s">
        <v>397</v>
      </c>
      <c r="I1088" t="s">
        <v>397</v>
      </c>
      <c r="J1088">
        <v>4711</v>
      </c>
      <c r="K1088">
        <v>1.0900000000000001</v>
      </c>
      <c r="L1088">
        <v>35</v>
      </c>
      <c r="M1088">
        <v>0.68</v>
      </c>
    </row>
    <row r="1089" spans="1:13">
      <c r="A1089" s="28">
        <v>95340</v>
      </c>
      <c r="B1089" t="s">
        <v>1230</v>
      </c>
      <c r="C1089">
        <v>90100</v>
      </c>
      <c r="D1089">
        <v>1900</v>
      </c>
      <c r="E1089">
        <v>2.15</v>
      </c>
      <c r="F1089">
        <v>2526</v>
      </c>
      <c r="G1089">
        <v>35.67</v>
      </c>
      <c r="H1089">
        <v>3229</v>
      </c>
      <c r="I1089">
        <v>27.9</v>
      </c>
      <c r="J1089">
        <v>16085</v>
      </c>
      <c r="K1089">
        <v>5.6</v>
      </c>
      <c r="L1089">
        <v>600</v>
      </c>
      <c r="M1089">
        <v>0.67</v>
      </c>
    </row>
    <row r="1090" spans="1:13">
      <c r="A1090" s="28">
        <v>112290</v>
      </c>
      <c r="B1090" t="s">
        <v>1231</v>
      </c>
      <c r="C1090">
        <v>14900</v>
      </c>
      <c r="D1090">
        <v>-800</v>
      </c>
      <c r="E1090">
        <v>-5.0999999999999996</v>
      </c>
      <c r="F1090">
        <v>460</v>
      </c>
      <c r="G1090">
        <v>32.39</v>
      </c>
      <c r="H1090" t="s">
        <v>397</v>
      </c>
      <c r="I1090" t="s">
        <v>397</v>
      </c>
      <c r="J1090">
        <v>6681</v>
      </c>
      <c r="K1090">
        <v>2.23</v>
      </c>
      <c r="L1090">
        <v>100</v>
      </c>
      <c r="M1090">
        <v>0.67</v>
      </c>
    </row>
    <row r="1091" spans="1:13">
      <c r="A1091" s="28">
        <v>224110</v>
      </c>
      <c r="B1091" t="s">
        <v>1232</v>
      </c>
      <c r="C1091">
        <v>14920</v>
      </c>
      <c r="D1091">
        <v>-100</v>
      </c>
      <c r="E1091">
        <v>-0.67</v>
      </c>
      <c r="F1091">
        <v>828</v>
      </c>
      <c r="G1091">
        <v>18.02</v>
      </c>
      <c r="H1091" t="s">
        <v>397</v>
      </c>
      <c r="I1091" t="s">
        <v>397</v>
      </c>
      <c r="J1091">
        <v>10573</v>
      </c>
      <c r="K1091">
        <v>1.41</v>
      </c>
      <c r="L1091">
        <v>100</v>
      </c>
      <c r="M1091">
        <v>0.67</v>
      </c>
    </row>
    <row r="1092" spans="1:13">
      <c r="A1092" s="28">
        <v>3830</v>
      </c>
      <c r="B1092" t="s">
        <v>1233</v>
      </c>
      <c r="C1092">
        <v>113500</v>
      </c>
      <c r="D1092">
        <v>300</v>
      </c>
      <c r="E1092">
        <v>0.27</v>
      </c>
      <c r="F1092">
        <v>29768</v>
      </c>
      <c r="G1092">
        <v>3.81</v>
      </c>
      <c r="H1092" t="s">
        <v>397</v>
      </c>
      <c r="I1092" t="s">
        <v>397</v>
      </c>
      <c r="J1092">
        <v>635611</v>
      </c>
      <c r="K1092">
        <v>0.18</v>
      </c>
      <c r="L1092">
        <v>750</v>
      </c>
      <c r="M1092">
        <v>0.66</v>
      </c>
    </row>
    <row r="1093" spans="1:13">
      <c r="A1093" s="28">
        <v>321260</v>
      </c>
      <c r="B1093" t="s">
        <v>1234</v>
      </c>
      <c r="C1093">
        <v>3035</v>
      </c>
      <c r="D1093">
        <v>10</v>
      </c>
      <c r="E1093">
        <v>0.33</v>
      </c>
      <c r="F1093">
        <v>164</v>
      </c>
      <c r="G1093">
        <v>18.510000000000002</v>
      </c>
      <c r="H1093" t="s">
        <v>397</v>
      </c>
      <c r="I1093" t="s">
        <v>397</v>
      </c>
      <c r="J1093">
        <v>1158</v>
      </c>
      <c r="K1093">
        <v>2.62</v>
      </c>
      <c r="L1093">
        <v>20</v>
      </c>
      <c r="M1093">
        <v>0.66</v>
      </c>
    </row>
    <row r="1094" spans="1:13">
      <c r="A1094" s="28">
        <v>136480</v>
      </c>
      <c r="B1094" t="s">
        <v>1235</v>
      </c>
      <c r="C1094">
        <v>3025</v>
      </c>
      <c r="D1094">
        <v>-10</v>
      </c>
      <c r="E1094">
        <v>-0.33</v>
      </c>
      <c r="F1094">
        <v>47</v>
      </c>
      <c r="G1094">
        <v>64.36</v>
      </c>
      <c r="H1094" t="s">
        <v>397</v>
      </c>
      <c r="I1094" t="s">
        <v>397</v>
      </c>
      <c r="J1094">
        <v>2828</v>
      </c>
      <c r="K1094">
        <v>1.07</v>
      </c>
      <c r="L1094">
        <v>20</v>
      </c>
      <c r="M1094">
        <v>0.66</v>
      </c>
    </row>
    <row r="1095" spans="1:13">
      <c r="A1095" s="28">
        <v>218410</v>
      </c>
      <c r="B1095" t="s">
        <v>1236</v>
      </c>
      <c r="C1095">
        <v>15220</v>
      </c>
      <c r="D1095">
        <v>-220</v>
      </c>
      <c r="E1095">
        <v>-1.42</v>
      </c>
      <c r="F1095">
        <v>106</v>
      </c>
      <c r="G1095">
        <v>143.58000000000001</v>
      </c>
      <c r="H1095">
        <v>870</v>
      </c>
      <c r="I1095">
        <v>17.5</v>
      </c>
      <c r="J1095">
        <v>10432</v>
      </c>
      <c r="K1095">
        <v>1.46</v>
      </c>
      <c r="L1095">
        <v>100</v>
      </c>
      <c r="M1095">
        <v>0.66</v>
      </c>
    </row>
    <row r="1096" spans="1:13">
      <c r="A1096" s="28">
        <v>105</v>
      </c>
      <c r="B1096" t="s">
        <v>1237</v>
      </c>
      <c r="C1096">
        <v>63400</v>
      </c>
      <c r="D1096">
        <v>-1600</v>
      </c>
      <c r="E1096">
        <v>-2.46</v>
      </c>
      <c r="F1096" t="s">
        <v>397</v>
      </c>
      <c r="G1096" t="s">
        <v>397</v>
      </c>
      <c r="H1096" t="s">
        <v>397</v>
      </c>
      <c r="I1096" t="s">
        <v>397</v>
      </c>
      <c r="J1096" t="s">
        <v>397</v>
      </c>
      <c r="K1096" t="s">
        <v>397</v>
      </c>
      <c r="L1096">
        <v>410</v>
      </c>
      <c r="M1096">
        <v>0.65</v>
      </c>
    </row>
    <row r="1097" spans="1:13">
      <c r="A1097" s="28">
        <v>36010</v>
      </c>
      <c r="B1097" t="s">
        <v>1238</v>
      </c>
      <c r="C1097">
        <v>10850</v>
      </c>
      <c r="D1097">
        <v>10</v>
      </c>
      <c r="E1097">
        <v>0.09</v>
      </c>
      <c r="F1097">
        <v>704</v>
      </c>
      <c r="G1097">
        <v>15.41</v>
      </c>
      <c r="H1097" t="s">
        <v>397</v>
      </c>
      <c r="I1097" t="s">
        <v>397</v>
      </c>
      <c r="J1097">
        <v>8801</v>
      </c>
      <c r="K1097">
        <v>1.23</v>
      </c>
      <c r="L1097">
        <v>70</v>
      </c>
      <c r="M1097">
        <v>0.65</v>
      </c>
    </row>
    <row r="1098" spans="1:13">
      <c r="A1098" s="28">
        <v>58610</v>
      </c>
      <c r="B1098" t="s">
        <v>1239</v>
      </c>
      <c r="C1098">
        <v>30600</v>
      </c>
      <c r="D1098">
        <v>-350</v>
      </c>
      <c r="E1098">
        <v>-1.1299999999999999</v>
      </c>
      <c r="F1098">
        <v>901</v>
      </c>
      <c r="G1098">
        <v>33.96</v>
      </c>
      <c r="H1098">
        <v>1116</v>
      </c>
      <c r="I1098">
        <v>27.42</v>
      </c>
      <c r="J1098">
        <v>9627</v>
      </c>
      <c r="K1098">
        <v>3.18</v>
      </c>
      <c r="L1098">
        <v>200</v>
      </c>
      <c r="M1098">
        <v>0.65</v>
      </c>
    </row>
    <row r="1099" spans="1:13">
      <c r="A1099" s="28">
        <v>264850</v>
      </c>
      <c r="B1099" t="s">
        <v>1240</v>
      </c>
      <c r="C1099">
        <v>7660</v>
      </c>
      <c r="D1099">
        <v>-510</v>
      </c>
      <c r="E1099">
        <v>-6.24</v>
      </c>
      <c r="F1099">
        <v>178</v>
      </c>
      <c r="G1099">
        <v>43.03</v>
      </c>
      <c r="H1099" t="s">
        <v>397</v>
      </c>
      <c r="I1099" t="s">
        <v>397</v>
      </c>
      <c r="J1099">
        <v>1459</v>
      </c>
      <c r="K1099">
        <v>5.25</v>
      </c>
      <c r="L1099">
        <v>50</v>
      </c>
      <c r="M1099">
        <v>0.65</v>
      </c>
    </row>
    <row r="1100" spans="1:13">
      <c r="A1100" s="28">
        <v>333620</v>
      </c>
      <c r="B1100" t="s">
        <v>1241</v>
      </c>
      <c r="C1100">
        <v>9200</v>
      </c>
      <c r="D1100">
        <v>-310</v>
      </c>
      <c r="E1100">
        <v>-3.26</v>
      </c>
      <c r="F1100">
        <v>337</v>
      </c>
      <c r="G1100">
        <v>27.3</v>
      </c>
      <c r="H1100" t="s">
        <v>397</v>
      </c>
      <c r="I1100" t="s">
        <v>397</v>
      </c>
      <c r="J1100">
        <v>5401</v>
      </c>
      <c r="K1100">
        <v>1.7</v>
      </c>
      <c r="L1100">
        <v>60</v>
      </c>
      <c r="M1100">
        <v>0.65</v>
      </c>
    </row>
    <row r="1101" spans="1:13">
      <c r="A1101" s="28">
        <v>48770</v>
      </c>
      <c r="B1101" t="s">
        <v>1242</v>
      </c>
      <c r="C1101">
        <v>3930</v>
      </c>
      <c r="D1101">
        <v>355</v>
      </c>
      <c r="E1101">
        <v>9.93</v>
      </c>
      <c r="F1101">
        <v>2</v>
      </c>
      <c r="G1101">
        <v>1965</v>
      </c>
      <c r="H1101" t="s">
        <v>397</v>
      </c>
      <c r="I1101" t="s">
        <v>397</v>
      </c>
      <c r="J1101">
        <v>2664</v>
      </c>
      <c r="K1101">
        <v>1.48</v>
      </c>
      <c r="L1101">
        <v>25</v>
      </c>
      <c r="M1101">
        <v>0.64</v>
      </c>
    </row>
    <row r="1102" spans="1:13">
      <c r="A1102" s="28">
        <v>351320</v>
      </c>
      <c r="B1102" t="s">
        <v>1243</v>
      </c>
      <c r="C1102">
        <v>2495</v>
      </c>
      <c r="D1102">
        <v>-55</v>
      </c>
      <c r="E1102">
        <v>-2.16</v>
      </c>
      <c r="F1102">
        <v>36</v>
      </c>
      <c r="G1102">
        <v>69.31</v>
      </c>
      <c r="H1102" t="s">
        <v>397</v>
      </c>
      <c r="I1102" t="s">
        <v>397</v>
      </c>
      <c r="J1102">
        <v>1235</v>
      </c>
      <c r="K1102">
        <v>2.02</v>
      </c>
      <c r="L1102">
        <v>16</v>
      </c>
      <c r="M1102">
        <v>0.64</v>
      </c>
    </row>
    <row r="1103" spans="1:13">
      <c r="A1103" s="28">
        <v>237690</v>
      </c>
      <c r="B1103" t="s">
        <v>1244</v>
      </c>
      <c r="C1103">
        <v>77600</v>
      </c>
      <c r="D1103">
        <v>4100</v>
      </c>
      <c r="E1103">
        <v>5.58</v>
      </c>
      <c r="F1103">
        <v>957</v>
      </c>
      <c r="G1103">
        <v>81.09</v>
      </c>
      <c r="H1103">
        <v>2251</v>
      </c>
      <c r="I1103">
        <v>34.47</v>
      </c>
      <c r="J1103">
        <v>17951</v>
      </c>
      <c r="K1103">
        <v>4.32</v>
      </c>
      <c r="L1103">
        <v>500</v>
      </c>
      <c r="M1103">
        <v>0.64</v>
      </c>
    </row>
    <row r="1104" spans="1:13">
      <c r="A1104" s="28">
        <v>71090</v>
      </c>
      <c r="B1104" t="s">
        <v>1245</v>
      </c>
      <c r="C1104">
        <v>3140</v>
      </c>
      <c r="D1104">
        <v>70</v>
      </c>
      <c r="E1104">
        <v>2.2799999999999998</v>
      </c>
      <c r="F1104">
        <v>574</v>
      </c>
      <c r="G1104">
        <v>5.47</v>
      </c>
      <c r="H1104" t="s">
        <v>397</v>
      </c>
      <c r="I1104" t="s">
        <v>397</v>
      </c>
      <c r="J1104">
        <v>7380</v>
      </c>
      <c r="K1104">
        <v>0.43</v>
      </c>
      <c r="L1104">
        <v>20</v>
      </c>
      <c r="M1104">
        <v>0.64</v>
      </c>
    </row>
    <row r="1105" spans="1:13">
      <c r="A1105" s="28">
        <v>53350</v>
      </c>
      <c r="B1105" t="s">
        <v>356</v>
      </c>
      <c r="C1105">
        <v>3165</v>
      </c>
      <c r="D1105">
        <v>-10</v>
      </c>
      <c r="E1105">
        <v>-0.31</v>
      </c>
      <c r="F1105">
        <v>11</v>
      </c>
      <c r="G1105">
        <v>287.73</v>
      </c>
      <c r="H1105" t="s">
        <v>397</v>
      </c>
      <c r="I1105" t="s">
        <v>397</v>
      </c>
      <c r="J1105">
        <v>6339</v>
      </c>
      <c r="K1105">
        <v>0.5</v>
      </c>
      <c r="L1105">
        <v>20</v>
      </c>
      <c r="M1105">
        <v>0.63</v>
      </c>
    </row>
    <row r="1106" spans="1:13">
      <c r="A1106" s="28">
        <v>93320</v>
      </c>
      <c r="B1106" t="s">
        <v>1246</v>
      </c>
      <c r="C1106">
        <v>95800</v>
      </c>
      <c r="D1106">
        <v>-1400</v>
      </c>
      <c r="E1106">
        <v>-1.44</v>
      </c>
      <c r="F1106">
        <v>5240</v>
      </c>
      <c r="G1106">
        <v>18.28</v>
      </c>
      <c r="H1106">
        <v>6124</v>
      </c>
      <c r="I1106">
        <v>15.64</v>
      </c>
      <c r="J1106">
        <v>30111</v>
      </c>
      <c r="K1106">
        <v>3.18</v>
      </c>
      <c r="L1106">
        <v>600</v>
      </c>
      <c r="M1106">
        <v>0.63</v>
      </c>
    </row>
    <row r="1107" spans="1:13">
      <c r="A1107" s="28">
        <v>148250</v>
      </c>
      <c r="B1107" t="s">
        <v>1247</v>
      </c>
      <c r="C1107">
        <v>4790</v>
      </c>
      <c r="D1107">
        <v>190</v>
      </c>
      <c r="E1107">
        <v>4.13</v>
      </c>
      <c r="F1107" t="s">
        <v>397</v>
      </c>
      <c r="G1107" t="s">
        <v>397</v>
      </c>
      <c r="H1107" t="s">
        <v>397</v>
      </c>
      <c r="I1107" t="s">
        <v>397</v>
      </c>
      <c r="J1107">
        <v>5838</v>
      </c>
      <c r="K1107">
        <v>0.82</v>
      </c>
      <c r="L1107">
        <v>30</v>
      </c>
      <c r="M1107">
        <v>0.63</v>
      </c>
    </row>
    <row r="1108" spans="1:13">
      <c r="A1108" s="28">
        <v>59120</v>
      </c>
      <c r="B1108" t="s">
        <v>1248</v>
      </c>
      <c r="C1108">
        <v>11900</v>
      </c>
      <c r="D1108">
        <v>780</v>
      </c>
      <c r="E1108">
        <v>7.01</v>
      </c>
      <c r="F1108">
        <v>176</v>
      </c>
      <c r="G1108">
        <v>67.61</v>
      </c>
      <c r="H1108" t="s">
        <v>397</v>
      </c>
      <c r="I1108" t="s">
        <v>397</v>
      </c>
      <c r="J1108">
        <v>4743</v>
      </c>
      <c r="K1108">
        <v>2.5099999999999998</v>
      </c>
      <c r="L1108">
        <v>75</v>
      </c>
      <c r="M1108">
        <v>0.63</v>
      </c>
    </row>
    <row r="1109" spans="1:13">
      <c r="A1109" s="28">
        <v>1460</v>
      </c>
      <c r="B1109" t="s">
        <v>1249</v>
      </c>
      <c r="C1109">
        <v>478000</v>
      </c>
      <c r="D1109">
        <v>-1500</v>
      </c>
      <c r="E1109">
        <v>-0.31</v>
      </c>
      <c r="F1109">
        <v>42272</v>
      </c>
      <c r="G1109">
        <v>11.31</v>
      </c>
      <c r="H1109" t="s">
        <v>397</v>
      </c>
      <c r="I1109" t="s">
        <v>397</v>
      </c>
      <c r="J1109">
        <v>825735</v>
      </c>
      <c r="K1109">
        <v>0.57999999999999996</v>
      </c>
      <c r="L1109">
        <v>3000</v>
      </c>
      <c r="M1109">
        <v>0.63</v>
      </c>
    </row>
    <row r="1110" spans="1:13">
      <c r="A1110" s="28">
        <v>91580</v>
      </c>
      <c r="B1110" t="s">
        <v>1250</v>
      </c>
      <c r="C1110">
        <v>18220</v>
      </c>
      <c r="D1110">
        <v>-110</v>
      </c>
      <c r="E1110">
        <v>-0.6</v>
      </c>
      <c r="F1110">
        <v>1819</v>
      </c>
      <c r="G1110">
        <v>10.02</v>
      </c>
      <c r="H1110" t="s">
        <v>397</v>
      </c>
      <c r="I1110" t="s">
        <v>397</v>
      </c>
      <c r="J1110">
        <v>9077</v>
      </c>
      <c r="K1110">
        <v>2.0099999999999998</v>
      </c>
      <c r="L1110">
        <v>115</v>
      </c>
      <c r="M1110">
        <v>0.63</v>
      </c>
    </row>
    <row r="1111" spans="1:13">
      <c r="A1111" s="28">
        <v>4840</v>
      </c>
      <c r="B1111" t="s">
        <v>1251</v>
      </c>
      <c r="C1111">
        <v>6400</v>
      </c>
      <c r="D1111">
        <v>-50</v>
      </c>
      <c r="E1111">
        <v>-0.78</v>
      </c>
      <c r="F1111">
        <v>80</v>
      </c>
      <c r="G1111">
        <v>80</v>
      </c>
      <c r="H1111" t="s">
        <v>397</v>
      </c>
      <c r="I1111" t="s">
        <v>397</v>
      </c>
      <c r="J1111">
        <v>18971</v>
      </c>
      <c r="K1111">
        <v>0.34</v>
      </c>
      <c r="L1111">
        <v>40</v>
      </c>
      <c r="M1111">
        <v>0.63</v>
      </c>
    </row>
    <row r="1112" spans="1:13">
      <c r="A1112" s="28">
        <v>214430</v>
      </c>
      <c r="B1112" t="s">
        <v>1252</v>
      </c>
      <c r="C1112">
        <v>32400</v>
      </c>
      <c r="D1112">
        <v>-150</v>
      </c>
      <c r="E1112">
        <v>-0.46</v>
      </c>
      <c r="F1112">
        <v>891</v>
      </c>
      <c r="G1112">
        <v>36.36</v>
      </c>
      <c r="H1112" t="s">
        <v>397</v>
      </c>
      <c r="I1112" t="s">
        <v>397</v>
      </c>
      <c r="J1112">
        <v>11332</v>
      </c>
      <c r="K1112">
        <v>2.86</v>
      </c>
      <c r="L1112">
        <v>200</v>
      </c>
      <c r="M1112">
        <v>0.62</v>
      </c>
    </row>
    <row r="1113" spans="1:13">
      <c r="A1113" s="28">
        <v>300120</v>
      </c>
      <c r="B1113" t="s">
        <v>1253</v>
      </c>
      <c r="C1113">
        <v>8100</v>
      </c>
      <c r="D1113">
        <v>580</v>
      </c>
      <c r="E1113">
        <v>7.71</v>
      </c>
      <c r="F1113" t="s">
        <v>397</v>
      </c>
      <c r="G1113" t="s">
        <v>397</v>
      </c>
      <c r="H1113" t="s">
        <v>397</v>
      </c>
      <c r="I1113" t="s">
        <v>397</v>
      </c>
      <c r="J1113">
        <v>2616</v>
      </c>
      <c r="K1113">
        <v>3.1</v>
      </c>
      <c r="L1113">
        <v>50</v>
      </c>
      <c r="M1113">
        <v>0.62</v>
      </c>
    </row>
    <row r="1114" spans="1:13">
      <c r="A1114" s="28">
        <v>42370</v>
      </c>
      <c r="B1114" t="s">
        <v>1254</v>
      </c>
      <c r="C1114">
        <v>8050</v>
      </c>
      <c r="D1114">
        <v>20</v>
      </c>
      <c r="E1114">
        <v>0.25</v>
      </c>
      <c r="F1114">
        <v>247</v>
      </c>
      <c r="G1114">
        <v>32.590000000000003</v>
      </c>
      <c r="H1114" t="s">
        <v>397</v>
      </c>
      <c r="I1114" t="s">
        <v>397</v>
      </c>
      <c r="J1114">
        <v>8197</v>
      </c>
      <c r="K1114">
        <v>0.98</v>
      </c>
      <c r="L1114">
        <v>50</v>
      </c>
      <c r="M1114">
        <v>0.62</v>
      </c>
    </row>
    <row r="1115" spans="1:13">
      <c r="A1115" s="28">
        <v>1067</v>
      </c>
      <c r="B1115" t="s">
        <v>1255</v>
      </c>
      <c r="C1115">
        <v>60900</v>
      </c>
      <c r="D1115">
        <v>0</v>
      </c>
      <c r="E1115">
        <v>0</v>
      </c>
      <c r="F1115" t="s">
        <v>397</v>
      </c>
      <c r="G1115" t="s">
        <v>397</v>
      </c>
      <c r="H1115" t="s">
        <v>397</v>
      </c>
      <c r="I1115" t="s">
        <v>397</v>
      </c>
      <c r="J1115" t="s">
        <v>397</v>
      </c>
      <c r="K1115" t="s">
        <v>397</v>
      </c>
      <c r="L1115">
        <v>375</v>
      </c>
      <c r="M1115">
        <v>0.62</v>
      </c>
    </row>
    <row r="1116" spans="1:13">
      <c r="A1116" s="28">
        <v>8730</v>
      </c>
      <c r="B1116" t="s">
        <v>1256</v>
      </c>
      <c r="C1116">
        <v>40400</v>
      </c>
      <c r="D1116">
        <v>-300</v>
      </c>
      <c r="E1116">
        <v>-0.74</v>
      </c>
      <c r="F1116" t="s">
        <v>397</v>
      </c>
      <c r="G1116" t="s">
        <v>397</v>
      </c>
      <c r="H1116" t="s">
        <v>397</v>
      </c>
      <c r="I1116" t="s">
        <v>397</v>
      </c>
      <c r="J1116">
        <v>13460</v>
      </c>
      <c r="K1116">
        <v>3</v>
      </c>
      <c r="L1116">
        <v>250</v>
      </c>
      <c r="M1116">
        <v>0.62</v>
      </c>
    </row>
    <row r="1117" spans="1:13">
      <c r="A1117" s="28">
        <v>243840</v>
      </c>
      <c r="B1117" t="s">
        <v>1257</v>
      </c>
      <c r="C1117">
        <v>53000</v>
      </c>
      <c r="D1117">
        <v>1000</v>
      </c>
      <c r="E1117">
        <v>1.92</v>
      </c>
      <c r="F1117">
        <v>2468</v>
      </c>
      <c r="G1117">
        <v>21.47</v>
      </c>
      <c r="H1117">
        <v>4029</v>
      </c>
      <c r="I1117">
        <v>13.16</v>
      </c>
      <c r="J1117">
        <v>39654</v>
      </c>
      <c r="K1117">
        <v>1.34</v>
      </c>
      <c r="L1117">
        <v>330</v>
      </c>
      <c r="M1117">
        <v>0.62</v>
      </c>
    </row>
    <row r="1118" spans="1:13">
      <c r="A1118" s="28">
        <v>197140</v>
      </c>
      <c r="B1118" t="s">
        <v>1258</v>
      </c>
      <c r="C1118">
        <v>4940</v>
      </c>
      <c r="D1118">
        <v>-140</v>
      </c>
      <c r="E1118">
        <v>-2.76</v>
      </c>
      <c r="F1118">
        <v>104</v>
      </c>
      <c r="G1118">
        <v>47.5</v>
      </c>
      <c r="H1118" t="s">
        <v>397</v>
      </c>
      <c r="I1118" t="s">
        <v>397</v>
      </c>
      <c r="J1118">
        <v>4799</v>
      </c>
      <c r="K1118">
        <v>1.03</v>
      </c>
      <c r="L1118">
        <v>30</v>
      </c>
      <c r="M1118">
        <v>0.61</v>
      </c>
    </row>
    <row r="1119" spans="1:13">
      <c r="A1119" s="28">
        <v>281820</v>
      </c>
      <c r="B1119" t="s">
        <v>1259</v>
      </c>
      <c r="C1119">
        <v>41450</v>
      </c>
      <c r="D1119">
        <v>700</v>
      </c>
      <c r="E1119">
        <v>1.72</v>
      </c>
      <c r="F1119">
        <v>2692</v>
      </c>
      <c r="G1119">
        <v>15.4</v>
      </c>
      <c r="H1119" t="s">
        <v>397</v>
      </c>
      <c r="I1119" t="s">
        <v>397</v>
      </c>
      <c r="J1119">
        <v>20995</v>
      </c>
      <c r="K1119">
        <v>1.97</v>
      </c>
      <c r="L1119">
        <v>250</v>
      </c>
      <c r="M1119">
        <v>0.6</v>
      </c>
    </row>
    <row r="1120" spans="1:13">
      <c r="A1120" s="28">
        <v>90430</v>
      </c>
      <c r="B1120" t="s">
        <v>1260</v>
      </c>
      <c r="C1120">
        <v>113100</v>
      </c>
      <c r="D1120">
        <v>-1100</v>
      </c>
      <c r="E1120">
        <v>-0.96</v>
      </c>
      <c r="F1120">
        <v>1949</v>
      </c>
      <c r="G1120">
        <v>58.03</v>
      </c>
      <c r="H1120">
        <v>4695</v>
      </c>
      <c r="I1120">
        <v>24.09</v>
      </c>
      <c r="J1120">
        <v>82107</v>
      </c>
      <c r="K1120">
        <v>1.38</v>
      </c>
      <c r="L1120">
        <v>680</v>
      </c>
      <c r="M1120">
        <v>0.6</v>
      </c>
    </row>
    <row r="1121" spans="1:13">
      <c r="A1121" s="28">
        <v>49480</v>
      </c>
      <c r="B1121" t="s">
        <v>1261</v>
      </c>
      <c r="C1121">
        <v>2500</v>
      </c>
      <c r="D1121">
        <v>15</v>
      </c>
      <c r="E1121">
        <v>0.6</v>
      </c>
      <c r="F1121">
        <v>191</v>
      </c>
      <c r="G1121">
        <v>13.09</v>
      </c>
      <c r="H1121" t="s">
        <v>397</v>
      </c>
      <c r="I1121" t="s">
        <v>397</v>
      </c>
      <c r="J1121">
        <v>2436</v>
      </c>
      <c r="K1121">
        <v>1.03</v>
      </c>
      <c r="L1121">
        <v>15</v>
      </c>
      <c r="M1121">
        <v>0.6</v>
      </c>
    </row>
    <row r="1122" spans="1:13">
      <c r="A1122" s="28">
        <v>51360</v>
      </c>
      <c r="B1122" t="s">
        <v>1262</v>
      </c>
      <c r="C1122">
        <v>16720</v>
      </c>
      <c r="D1122">
        <v>140</v>
      </c>
      <c r="E1122">
        <v>0.84</v>
      </c>
      <c r="F1122" t="s">
        <v>397</v>
      </c>
      <c r="G1122" t="s">
        <v>397</v>
      </c>
      <c r="H1122">
        <v>2508</v>
      </c>
      <c r="I1122">
        <v>6.67</v>
      </c>
      <c r="J1122">
        <v>11755</v>
      </c>
      <c r="K1122">
        <v>1.42</v>
      </c>
      <c r="L1122">
        <v>100</v>
      </c>
      <c r="M1122">
        <v>0.6</v>
      </c>
    </row>
    <row r="1123" spans="1:13">
      <c r="A1123" s="28">
        <v>67160</v>
      </c>
      <c r="B1123" t="s">
        <v>1263</v>
      </c>
      <c r="C1123">
        <v>124000</v>
      </c>
      <c r="D1123">
        <v>-1000</v>
      </c>
      <c r="E1123">
        <v>-0.8</v>
      </c>
      <c r="F1123">
        <v>5445</v>
      </c>
      <c r="G1123">
        <v>22.77</v>
      </c>
      <c r="H1123">
        <v>8149</v>
      </c>
      <c r="I1123">
        <v>15.22</v>
      </c>
      <c r="J1123">
        <v>22106</v>
      </c>
      <c r="K1123">
        <v>5.61</v>
      </c>
      <c r="L1123">
        <v>730</v>
      </c>
      <c r="M1123">
        <v>0.59</v>
      </c>
    </row>
    <row r="1124" spans="1:13">
      <c r="A1124" s="28">
        <v>240810</v>
      </c>
      <c r="B1124" t="s">
        <v>1264</v>
      </c>
      <c r="C1124">
        <v>34100</v>
      </c>
      <c r="D1124">
        <v>100</v>
      </c>
      <c r="E1124">
        <v>0.28999999999999998</v>
      </c>
      <c r="F1124">
        <v>1854</v>
      </c>
      <c r="G1124">
        <v>18.39</v>
      </c>
      <c r="H1124">
        <v>767</v>
      </c>
      <c r="I1124">
        <v>44.45</v>
      </c>
      <c r="J1124">
        <v>18174</v>
      </c>
      <c r="K1124">
        <v>1.88</v>
      </c>
      <c r="L1124">
        <v>200</v>
      </c>
      <c r="M1124">
        <v>0.59</v>
      </c>
    </row>
    <row r="1125" spans="1:13">
      <c r="A1125" s="28">
        <v>241590</v>
      </c>
      <c r="B1125" t="s">
        <v>1265</v>
      </c>
      <c r="C1125">
        <v>7620</v>
      </c>
      <c r="D1125">
        <v>20</v>
      </c>
      <c r="E1125">
        <v>0.26</v>
      </c>
      <c r="F1125" t="s">
        <v>397</v>
      </c>
      <c r="G1125" t="s">
        <v>397</v>
      </c>
      <c r="H1125">
        <v>716</v>
      </c>
      <c r="I1125">
        <v>10.64</v>
      </c>
      <c r="J1125">
        <v>8870</v>
      </c>
      <c r="K1125">
        <v>0.86</v>
      </c>
      <c r="L1125">
        <v>45</v>
      </c>
      <c r="M1125">
        <v>0.59</v>
      </c>
    </row>
    <row r="1126" spans="1:13">
      <c r="A1126" s="28">
        <v>64290</v>
      </c>
      <c r="B1126" t="s">
        <v>1266</v>
      </c>
      <c r="C1126">
        <v>34600</v>
      </c>
      <c r="D1126">
        <v>300</v>
      </c>
      <c r="E1126">
        <v>0.87</v>
      </c>
      <c r="F1126">
        <v>1334</v>
      </c>
      <c r="G1126">
        <v>25.94</v>
      </c>
      <c r="H1126">
        <v>1159</v>
      </c>
      <c r="I1126">
        <v>29.86</v>
      </c>
      <c r="J1126">
        <v>5469</v>
      </c>
      <c r="K1126">
        <v>6.33</v>
      </c>
      <c r="L1126">
        <v>200</v>
      </c>
      <c r="M1126">
        <v>0.57999999999999996</v>
      </c>
    </row>
    <row r="1127" spans="1:13">
      <c r="A1127" s="28">
        <v>278280</v>
      </c>
      <c r="B1127" t="s">
        <v>1267</v>
      </c>
      <c r="C1127">
        <v>86400</v>
      </c>
      <c r="D1127">
        <v>-3600</v>
      </c>
      <c r="E1127">
        <v>-4</v>
      </c>
      <c r="F1127">
        <v>3763</v>
      </c>
      <c r="G1127">
        <v>22.96</v>
      </c>
      <c r="H1127">
        <v>271</v>
      </c>
      <c r="I1127">
        <v>318.52999999999997</v>
      </c>
      <c r="J1127">
        <v>34549</v>
      </c>
      <c r="K1127">
        <v>2.5</v>
      </c>
      <c r="L1127">
        <v>500</v>
      </c>
      <c r="M1127">
        <v>0.57999999999999996</v>
      </c>
    </row>
    <row r="1128" spans="1:13">
      <c r="A1128" s="28">
        <v>4830</v>
      </c>
      <c r="B1128" t="s">
        <v>1268</v>
      </c>
      <c r="C1128">
        <v>7810</v>
      </c>
      <c r="D1128">
        <v>10</v>
      </c>
      <c r="E1128">
        <v>0.13</v>
      </c>
      <c r="F1128">
        <v>157</v>
      </c>
      <c r="G1128">
        <v>49.75</v>
      </c>
      <c r="H1128" t="s">
        <v>397</v>
      </c>
      <c r="I1128" t="s">
        <v>397</v>
      </c>
      <c r="J1128">
        <v>5862</v>
      </c>
      <c r="K1128">
        <v>1.33</v>
      </c>
      <c r="L1128">
        <v>45</v>
      </c>
      <c r="M1128">
        <v>0.57999999999999996</v>
      </c>
    </row>
    <row r="1129" spans="1:13">
      <c r="A1129" s="28">
        <v>122870</v>
      </c>
      <c r="B1129" t="s">
        <v>1269</v>
      </c>
      <c r="C1129">
        <v>43050</v>
      </c>
      <c r="D1129">
        <v>-800</v>
      </c>
      <c r="E1129">
        <v>-1.82</v>
      </c>
      <c r="F1129">
        <v>1828</v>
      </c>
      <c r="G1129">
        <v>23.55</v>
      </c>
      <c r="H1129">
        <v>2776</v>
      </c>
      <c r="I1129">
        <v>15.51</v>
      </c>
      <c r="J1129">
        <v>22130</v>
      </c>
      <c r="K1129">
        <v>1.95</v>
      </c>
      <c r="L1129">
        <v>250</v>
      </c>
      <c r="M1129">
        <v>0.57999999999999996</v>
      </c>
    </row>
    <row r="1130" spans="1:13">
      <c r="A1130" s="28">
        <v>2760</v>
      </c>
      <c r="B1130" t="s">
        <v>1270</v>
      </c>
      <c r="C1130">
        <v>1224</v>
      </c>
      <c r="D1130">
        <v>12</v>
      </c>
      <c r="E1130">
        <v>0.99</v>
      </c>
      <c r="F1130">
        <v>51</v>
      </c>
      <c r="G1130">
        <v>24</v>
      </c>
      <c r="H1130" t="s">
        <v>397</v>
      </c>
      <c r="I1130" t="s">
        <v>397</v>
      </c>
      <c r="J1130">
        <v>808</v>
      </c>
      <c r="K1130">
        <v>1.51</v>
      </c>
      <c r="L1130">
        <v>7</v>
      </c>
      <c r="M1130">
        <v>0.56999999999999995</v>
      </c>
    </row>
    <row r="1131" spans="1:13">
      <c r="A1131" s="28">
        <v>232680</v>
      </c>
      <c r="B1131" t="s">
        <v>1271</v>
      </c>
      <c r="C1131">
        <v>8710</v>
      </c>
      <c r="D1131">
        <v>-180</v>
      </c>
      <c r="E1131">
        <v>-2.02</v>
      </c>
      <c r="F1131">
        <v>603</v>
      </c>
      <c r="G1131">
        <v>14.44</v>
      </c>
      <c r="H1131" t="s">
        <v>397</v>
      </c>
      <c r="I1131" t="s">
        <v>397</v>
      </c>
      <c r="J1131">
        <v>2252</v>
      </c>
      <c r="K1131">
        <v>3.87</v>
      </c>
      <c r="L1131">
        <v>50</v>
      </c>
      <c r="M1131">
        <v>0.56999999999999995</v>
      </c>
    </row>
    <row r="1132" spans="1:13">
      <c r="A1132" s="28">
        <v>25950</v>
      </c>
      <c r="B1132" t="s">
        <v>1272</v>
      </c>
      <c r="C1132">
        <v>26100</v>
      </c>
      <c r="D1132">
        <v>-400</v>
      </c>
      <c r="E1132">
        <v>-1.51</v>
      </c>
      <c r="F1132">
        <v>722</v>
      </c>
      <c r="G1132">
        <v>36.15</v>
      </c>
      <c r="H1132" t="s">
        <v>397</v>
      </c>
      <c r="I1132" t="s">
        <v>397</v>
      </c>
      <c r="J1132">
        <v>10664</v>
      </c>
      <c r="K1132">
        <v>2.4500000000000002</v>
      </c>
      <c r="L1132">
        <v>150</v>
      </c>
      <c r="M1132">
        <v>0.56999999999999995</v>
      </c>
    </row>
    <row r="1133" spans="1:13">
      <c r="A1133" s="28">
        <v>36930</v>
      </c>
      <c r="B1133" t="s">
        <v>1273</v>
      </c>
      <c r="C1133">
        <v>34100</v>
      </c>
      <c r="D1133">
        <v>50</v>
      </c>
      <c r="E1133">
        <v>0.15</v>
      </c>
      <c r="F1133">
        <v>2211</v>
      </c>
      <c r="G1133">
        <v>15.42</v>
      </c>
      <c r="H1133">
        <v>2154</v>
      </c>
      <c r="I1133">
        <v>15.83</v>
      </c>
      <c r="J1133">
        <v>10119</v>
      </c>
      <c r="K1133">
        <v>3.37</v>
      </c>
      <c r="L1133">
        <v>193</v>
      </c>
      <c r="M1133">
        <v>0.56999999999999995</v>
      </c>
    </row>
    <row r="1134" spans="1:13">
      <c r="A1134" s="28">
        <v>39030</v>
      </c>
      <c r="B1134" t="s">
        <v>1274</v>
      </c>
      <c r="C1134">
        <v>178500</v>
      </c>
      <c r="D1134">
        <v>4100</v>
      </c>
      <c r="E1134">
        <v>2.35</v>
      </c>
      <c r="F1134">
        <v>6293</v>
      </c>
      <c r="G1134">
        <v>28.36</v>
      </c>
      <c r="H1134">
        <v>5012</v>
      </c>
      <c r="I1134">
        <v>35.61</v>
      </c>
      <c r="J1134">
        <v>43984</v>
      </c>
      <c r="K1134">
        <v>4.0599999999999996</v>
      </c>
      <c r="L1134">
        <v>1000</v>
      </c>
      <c r="M1134">
        <v>0.56000000000000005</v>
      </c>
    </row>
    <row r="1135" spans="1:13">
      <c r="A1135" s="28">
        <v>8775</v>
      </c>
      <c r="B1135" t="s">
        <v>1275</v>
      </c>
      <c r="C1135">
        <v>44800</v>
      </c>
      <c r="D1135">
        <v>200</v>
      </c>
      <c r="E1135">
        <v>0.45</v>
      </c>
      <c r="F1135" t="s">
        <v>397</v>
      </c>
      <c r="G1135" t="s">
        <v>397</v>
      </c>
      <c r="H1135" t="s">
        <v>397</v>
      </c>
      <c r="I1135" t="s">
        <v>397</v>
      </c>
      <c r="J1135" t="s">
        <v>397</v>
      </c>
      <c r="K1135" t="s">
        <v>397</v>
      </c>
      <c r="L1135">
        <v>250</v>
      </c>
      <c r="M1135">
        <v>0.56000000000000005</v>
      </c>
    </row>
    <row r="1136" spans="1:13">
      <c r="A1136" s="28">
        <v>126700</v>
      </c>
      <c r="B1136" t="s">
        <v>1276</v>
      </c>
      <c r="C1136">
        <v>21400</v>
      </c>
      <c r="D1136">
        <v>-100</v>
      </c>
      <c r="E1136">
        <v>-0.47</v>
      </c>
      <c r="F1136">
        <v>1764</v>
      </c>
      <c r="G1136">
        <v>12.13</v>
      </c>
      <c r="H1136">
        <v>3565</v>
      </c>
      <c r="I1136">
        <v>6</v>
      </c>
      <c r="J1136">
        <v>15075</v>
      </c>
      <c r="K1136">
        <v>1.42</v>
      </c>
      <c r="L1136">
        <v>120</v>
      </c>
      <c r="M1136">
        <v>0.56000000000000005</v>
      </c>
    </row>
    <row r="1137" spans="1:13">
      <c r="A1137" s="28">
        <v>67370</v>
      </c>
      <c r="B1137" t="s">
        <v>1277</v>
      </c>
      <c r="C1137">
        <v>8850</v>
      </c>
      <c r="D1137">
        <v>-630</v>
      </c>
      <c r="E1137">
        <v>-6.65</v>
      </c>
      <c r="F1137">
        <v>74</v>
      </c>
      <c r="G1137">
        <v>119.59</v>
      </c>
      <c r="H1137" t="s">
        <v>397</v>
      </c>
      <c r="I1137" t="s">
        <v>397</v>
      </c>
      <c r="J1137">
        <v>1937</v>
      </c>
      <c r="K1137">
        <v>4.57</v>
      </c>
      <c r="L1137">
        <v>50</v>
      </c>
      <c r="M1137">
        <v>0.56000000000000005</v>
      </c>
    </row>
    <row r="1138" spans="1:13">
      <c r="A1138" s="28">
        <v>12450</v>
      </c>
      <c r="B1138" t="s">
        <v>1278</v>
      </c>
      <c r="C1138">
        <v>180100</v>
      </c>
      <c r="D1138">
        <v>-2500</v>
      </c>
      <c r="E1138">
        <v>-1.37</v>
      </c>
      <c r="F1138">
        <v>3964</v>
      </c>
      <c r="G1138">
        <v>45.43</v>
      </c>
      <c r="H1138">
        <v>11937</v>
      </c>
      <c r="I1138">
        <v>15.09</v>
      </c>
      <c r="J1138">
        <v>56612</v>
      </c>
      <c r="K1138">
        <v>3.18</v>
      </c>
      <c r="L1138">
        <v>1000</v>
      </c>
      <c r="M1138">
        <v>0.56000000000000005</v>
      </c>
    </row>
    <row r="1139" spans="1:13">
      <c r="A1139" s="28">
        <v>6370</v>
      </c>
      <c r="B1139" t="s">
        <v>1279</v>
      </c>
      <c r="C1139">
        <v>8980</v>
      </c>
      <c r="D1139">
        <v>-10</v>
      </c>
      <c r="E1139">
        <v>-0.11</v>
      </c>
      <c r="F1139" t="s">
        <v>397</v>
      </c>
      <c r="G1139" t="s">
        <v>397</v>
      </c>
      <c r="H1139" t="s">
        <v>397</v>
      </c>
      <c r="I1139" t="s">
        <v>397</v>
      </c>
      <c r="J1139">
        <v>27810</v>
      </c>
      <c r="K1139">
        <v>0.32</v>
      </c>
      <c r="L1139">
        <v>50</v>
      </c>
      <c r="M1139">
        <v>0.56000000000000005</v>
      </c>
    </row>
    <row r="1140" spans="1:13">
      <c r="A1140" s="28">
        <v>265560</v>
      </c>
      <c r="B1140" t="s">
        <v>1280</v>
      </c>
      <c r="C1140">
        <v>8980</v>
      </c>
      <c r="D1140">
        <v>-10</v>
      </c>
      <c r="E1140">
        <v>-0.11</v>
      </c>
      <c r="F1140">
        <v>451</v>
      </c>
      <c r="G1140">
        <v>19.91</v>
      </c>
      <c r="H1140" t="s">
        <v>397</v>
      </c>
      <c r="I1140" t="s">
        <v>397</v>
      </c>
      <c r="J1140">
        <v>5326</v>
      </c>
      <c r="K1140">
        <v>1.69</v>
      </c>
      <c r="L1140">
        <v>50</v>
      </c>
      <c r="M1140">
        <v>0.56000000000000005</v>
      </c>
    </row>
    <row r="1141" spans="1:13">
      <c r="A1141" s="28">
        <v>71280</v>
      </c>
      <c r="B1141" t="s">
        <v>1281</v>
      </c>
      <c r="C1141">
        <v>9140</v>
      </c>
      <c r="D1141">
        <v>240</v>
      </c>
      <c r="E1141">
        <v>2.7</v>
      </c>
      <c r="F1141">
        <v>1358</v>
      </c>
      <c r="G1141">
        <v>6.73</v>
      </c>
      <c r="H1141" t="s">
        <v>397</v>
      </c>
      <c r="I1141" t="s">
        <v>397</v>
      </c>
      <c r="J1141">
        <v>7003</v>
      </c>
      <c r="K1141">
        <v>1.31</v>
      </c>
      <c r="L1141">
        <v>50</v>
      </c>
      <c r="M1141">
        <v>0.55000000000000004</v>
      </c>
    </row>
    <row r="1142" spans="1:13">
      <c r="A1142" s="28">
        <v>2700</v>
      </c>
      <c r="B1142" t="s">
        <v>1282</v>
      </c>
      <c r="C1142">
        <v>1816</v>
      </c>
      <c r="D1142">
        <v>-2</v>
      </c>
      <c r="E1142">
        <v>-0.11</v>
      </c>
      <c r="F1142">
        <v>15</v>
      </c>
      <c r="G1142">
        <v>121.07</v>
      </c>
      <c r="H1142" t="s">
        <v>397</v>
      </c>
      <c r="I1142" t="s">
        <v>397</v>
      </c>
      <c r="J1142">
        <v>1165</v>
      </c>
      <c r="K1142">
        <v>1.56</v>
      </c>
      <c r="L1142">
        <v>10</v>
      </c>
      <c r="M1142">
        <v>0.55000000000000004</v>
      </c>
    </row>
    <row r="1143" spans="1:13">
      <c r="A1143" s="28">
        <v>322780</v>
      </c>
      <c r="B1143" t="s">
        <v>1283</v>
      </c>
      <c r="C1143">
        <v>1839</v>
      </c>
      <c r="D1143">
        <v>0</v>
      </c>
      <c r="E1143">
        <v>0</v>
      </c>
      <c r="F1143" t="s">
        <v>397</v>
      </c>
      <c r="G1143" t="s">
        <v>397</v>
      </c>
      <c r="H1143" t="s">
        <v>397</v>
      </c>
      <c r="I1143" t="s">
        <v>397</v>
      </c>
      <c r="J1143">
        <v>1367</v>
      </c>
      <c r="K1143">
        <v>1.35</v>
      </c>
      <c r="L1143">
        <v>10</v>
      </c>
      <c r="M1143">
        <v>0.54</v>
      </c>
    </row>
    <row r="1144" spans="1:13">
      <c r="A1144" s="28">
        <v>100</v>
      </c>
      <c r="B1144" t="s">
        <v>1284</v>
      </c>
      <c r="C1144">
        <v>74000</v>
      </c>
      <c r="D1144">
        <v>-1200</v>
      </c>
      <c r="E1144">
        <v>-1.6</v>
      </c>
      <c r="F1144">
        <v>1272</v>
      </c>
      <c r="G1144">
        <v>58.18</v>
      </c>
      <c r="H1144">
        <v>2145</v>
      </c>
      <c r="I1144">
        <v>34.5</v>
      </c>
      <c r="J1144">
        <v>27137</v>
      </c>
      <c r="K1144">
        <v>2.73</v>
      </c>
      <c r="L1144">
        <v>400</v>
      </c>
      <c r="M1144">
        <v>0.54</v>
      </c>
    </row>
    <row r="1145" spans="1:13">
      <c r="A1145" s="28">
        <v>83450</v>
      </c>
      <c r="B1145" t="s">
        <v>1285</v>
      </c>
      <c r="C1145">
        <v>55100</v>
      </c>
      <c r="D1145">
        <v>300</v>
      </c>
      <c r="E1145">
        <v>0.55000000000000004</v>
      </c>
      <c r="F1145">
        <v>5243</v>
      </c>
      <c r="G1145">
        <v>10.51</v>
      </c>
      <c r="H1145">
        <v>4883</v>
      </c>
      <c r="I1145">
        <v>11.28</v>
      </c>
      <c r="J1145">
        <v>21654</v>
      </c>
      <c r="K1145">
        <v>2.54</v>
      </c>
      <c r="L1145">
        <v>300</v>
      </c>
      <c r="M1145">
        <v>0.54</v>
      </c>
    </row>
    <row r="1146" spans="1:13">
      <c r="A1146" s="28">
        <v>35900</v>
      </c>
      <c r="B1146" t="s">
        <v>1286</v>
      </c>
      <c r="C1146">
        <v>68600</v>
      </c>
      <c r="D1146">
        <v>-1200</v>
      </c>
      <c r="E1146">
        <v>-1.72</v>
      </c>
      <c r="F1146">
        <v>2039</v>
      </c>
      <c r="G1146">
        <v>33.64</v>
      </c>
      <c r="H1146">
        <v>4551</v>
      </c>
      <c r="I1146">
        <v>15.07</v>
      </c>
      <c r="J1146">
        <v>9081</v>
      </c>
      <c r="K1146">
        <v>7.55</v>
      </c>
      <c r="L1146">
        <v>369</v>
      </c>
      <c r="M1146">
        <v>0.54</v>
      </c>
    </row>
    <row r="1147" spans="1:13">
      <c r="A1147" s="28">
        <v>307280</v>
      </c>
      <c r="B1147" t="s">
        <v>1287</v>
      </c>
      <c r="C1147">
        <v>1840</v>
      </c>
      <c r="D1147">
        <v>-50</v>
      </c>
      <c r="E1147">
        <v>-2.65</v>
      </c>
      <c r="F1147">
        <v>90</v>
      </c>
      <c r="G1147">
        <v>20.440000000000001</v>
      </c>
      <c r="H1147" t="s">
        <v>397</v>
      </c>
      <c r="I1147" t="s">
        <v>397</v>
      </c>
      <c r="J1147">
        <v>768</v>
      </c>
      <c r="K1147">
        <v>2.4</v>
      </c>
      <c r="L1147">
        <v>10</v>
      </c>
      <c r="M1147">
        <v>0.54</v>
      </c>
    </row>
    <row r="1148" spans="1:13">
      <c r="A1148" s="28">
        <v>217190</v>
      </c>
      <c r="B1148" t="s">
        <v>1288</v>
      </c>
      <c r="C1148">
        <v>14200</v>
      </c>
      <c r="D1148">
        <v>10</v>
      </c>
      <c r="E1148">
        <v>7.0000000000000007E-2</v>
      </c>
      <c r="F1148">
        <v>1395</v>
      </c>
      <c r="G1148">
        <v>10.18</v>
      </c>
      <c r="H1148" t="s">
        <v>397</v>
      </c>
      <c r="I1148" t="s">
        <v>397</v>
      </c>
      <c r="J1148">
        <v>4588</v>
      </c>
      <c r="K1148">
        <v>3.1</v>
      </c>
      <c r="L1148">
        <v>75</v>
      </c>
      <c r="M1148">
        <v>0.53</v>
      </c>
    </row>
    <row r="1149" spans="1:13">
      <c r="A1149" s="28">
        <v>294570</v>
      </c>
      <c r="B1149" t="s">
        <v>1289</v>
      </c>
      <c r="C1149">
        <v>18920</v>
      </c>
      <c r="D1149">
        <v>-160</v>
      </c>
      <c r="E1149">
        <v>-0.84</v>
      </c>
      <c r="F1149">
        <v>361</v>
      </c>
      <c r="G1149">
        <v>52.41</v>
      </c>
      <c r="H1149">
        <v>1370</v>
      </c>
      <c r="I1149">
        <v>13.81</v>
      </c>
      <c r="J1149">
        <v>12657</v>
      </c>
      <c r="K1149">
        <v>1.49</v>
      </c>
      <c r="L1149">
        <v>100</v>
      </c>
      <c r="M1149">
        <v>0.53</v>
      </c>
    </row>
    <row r="1150" spans="1:13">
      <c r="A1150" s="28">
        <v>2690</v>
      </c>
      <c r="B1150" t="s">
        <v>1290</v>
      </c>
      <c r="C1150">
        <v>1900</v>
      </c>
      <c r="D1150">
        <v>-9</v>
      </c>
      <c r="E1150">
        <v>-0.47</v>
      </c>
      <c r="F1150">
        <v>169</v>
      </c>
      <c r="G1150">
        <v>11.24</v>
      </c>
      <c r="H1150" t="s">
        <v>397</v>
      </c>
      <c r="I1150" t="s">
        <v>397</v>
      </c>
      <c r="J1150">
        <v>7970</v>
      </c>
      <c r="K1150">
        <v>0.24</v>
      </c>
      <c r="L1150">
        <v>10</v>
      </c>
      <c r="M1150">
        <v>0.53</v>
      </c>
    </row>
    <row r="1151" spans="1:13">
      <c r="A1151" s="28">
        <v>69620</v>
      </c>
      <c r="B1151" t="s">
        <v>1291</v>
      </c>
      <c r="C1151">
        <v>112900</v>
      </c>
      <c r="D1151">
        <v>-2000</v>
      </c>
      <c r="E1151">
        <v>-1.74</v>
      </c>
      <c r="F1151">
        <v>3816</v>
      </c>
      <c r="G1151">
        <v>29.59</v>
      </c>
      <c r="H1151">
        <v>8426</v>
      </c>
      <c r="I1151">
        <v>13.4</v>
      </c>
      <c r="J1151">
        <v>54929</v>
      </c>
      <c r="K1151">
        <v>2.06</v>
      </c>
      <c r="L1151">
        <v>600</v>
      </c>
      <c r="M1151">
        <v>0.53</v>
      </c>
    </row>
    <row r="1152" spans="1:13">
      <c r="A1152" s="28">
        <v>11500</v>
      </c>
      <c r="B1152" t="s">
        <v>1292</v>
      </c>
      <c r="C1152">
        <v>22600</v>
      </c>
      <c r="D1152">
        <v>-950</v>
      </c>
      <c r="E1152">
        <v>-4.03</v>
      </c>
      <c r="F1152">
        <v>561</v>
      </c>
      <c r="G1152">
        <v>40.29</v>
      </c>
      <c r="H1152" t="s">
        <v>397</v>
      </c>
      <c r="I1152" t="s">
        <v>397</v>
      </c>
      <c r="J1152">
        <v>9977</v>
      </c>
      <c r="K1152">
        <v>2.27</v>
      </c>
      <c r="L1152">
        <v>120</v>
      </c>
      <c r="M1152">
        <v>0.53</v>
      </c>
    </row>
    <row r="1153" spans="1:13">
      <c r="A1153" s="28">
        <v>12860</v>
      </c>
      <c r="B1153" t="s">
        <v>1293</v>
      </c>
      <c r="C1153">
        <v>1895</v>
      </c>
      <c r="D1153">
        <v>-29</v>
      </c>
      <c r="E1153">
        <v>-1.51</v>
      </c>
      <c r="F1153">
        <v>97</v>
      </c>
      <c r="G1153">
        <v>19.54</v>
      </c>
      <c r="H1153" t="s">
        <v>397</v>
      </c>
      <c r="I1153" t="s">
        <v>397</v>
      </c>
      <c r="J1153">
        <v>2532</v>
      </c>
      <c r="K1153">
        <v>0.75</v>
      </c>
      <c r="L1153">
        <v>10</v>
      </c>
      <c r="M1153">
        <v>0.53</v>
      </c>
    </row>
    <row r="1154" spans="1:13">
      <c r="A1154" s="28">
        <v>107600</v>
      </c>
      <c r="B1154" t="s">
        <v>1294</v>
      </c>
      <c r="C1154">
        <v>58000</v>
      </c>
      <c r="D1154">
        <v>-1000</v>
      </c>
      <c r="E1154">
        <v>-1.69</v>
      </c>
      <c r="F1154">
        <v>1846</v>
      </c>
      <c r="G1154">
        <v>31.42</v>
      </c>
      <c r="H1154" t="s">
        <v>397</v>
      </c>
      <c r="I1154" t="s">
        <v>397</v>
      </c>
      <c r="J1154">
        <v>12989</v>
      </c>
      <c r="K1154">
        <v>4.47</v>
      </c>
      <c r="L1154">
        <v>300</v>
      </c>
      <c r="M1154">
        <v>0.52</v>
      </c>
    </row>
    <row r="1155" spans="1:13">
      <c r="A1155" s="28">
        <v>68330</v>
      </c>
      <c r="B1155" t="s">
        <v>1295</v>
      </c>
      <c r="C1155">
        <v>1350</v>
      </c>
      <c r="D1155">
        <v>-9</v>
      </c>
      <c r="E1155">
        <v>-0.66</v>
      </c>
      <c r="F1155">
        <v>89</v>
      </c>
      <c r="G1155">
        <v>15.17</v>
      </c>
      <c r="H1155" t="s">
        <v>397</v>
      </c>
      <c r="I1155" t="s">
        <v>397</v>
      </c>
      <c r="J1155">
        <v>1256</v>
      </c>
      <c r="K1155">
        <v>1.07</v>
      </c>
      <c r="L1155">
        <v>7</v>
      </c>
      <c r="M1155">
        <v>0.52</v>
      </c>
    </row>
    <row r="1156" spans="1:13">
      <c r="A1156" s="28">
        <v>74600</v>
      </c>
      <c r="B1156" t="s">
        <v>1296</v>
      </c>
      <c r="C1156">
        <v>28800</v>
      </c>
      <c r="D1156">
        <v>-250</v>
      </c>
      <c r="E1156">
        <v>-0.86</v>
      </c>
      <c r="F1156">
        <v>2048</v>
      </c>
      <c r="G1156">
        <v>14.06</v>
      </c>
      <c r="H1156">
        <v>1860</v>
      </c>
      <c r="I1156">
        <v>15.48</v>
      </c>
      <c r="J1156">
        <v>14286</v>
      </c>
      <c r="K1156">
        <v>2.02</v>
      </c>
      <c r="L1156">
        <v>150</v>
      </c>
      <c r="M1156">
        <v>0.52</v>
      </c>
    </row>
    <row r="1157" spans="1:13">
      <c r="A1157" s="28">
        <v>94480</v>
      </c>
      <c r="B1157" t="s">
        <v>1297</v>
      </c>
      <c r="C1157">
        <v>8590</v>
      </c>
      <c r="D1157">
        <v>140</v>
      </c>
      <c r="E1157">
        <v>1.66</v>
      </c>
      <c r="F1157">
        <v>138</v>
      </c>
      <c r="G1157">
        <v>62.25</v>
      </c>
      <c r="H1157" t="s">
        <v>397</v>
      </c>
      <c r="I1157" t="s">
        <v>397</v>
      </c>
      <c r="J1157">
        <v>2934</v>
      </c>
      <c r="K1157">
        <v>2.93</v>
      </c>
      <c r="L1157">
        <v>45</v>
      </c>
      <c r="M1157">
        <v>0.52</v>
      </c>
    </row>
    <row r="1158" spans="1:13">
      <c r="A1158" s="28">
        <v>3090</v>
      </c>
      <c r="B1158" t="s">
        <v>1298</v>
      </c>
      <c r="C1158">
        <v>19450</v>
      </c>
      <c r="D1158">
        <v>-600</v>
      </c>
      <c r="E1158">
        <v>-2.99</v>
      </c>
      <c r="F1158">
        <v>2467</v>
      </c>
      <c r="G1158">
        <v>7.88</v>
      </c>
      <c r="H1158" t="s">
        <v>397</v>
      </c>
      <c r="I1158" t="s">
        <v>397</v>
      </c>
      <c r="J1158">
        <v>19933</v>
      </c>
      <c r="K1158">
        <v>0.98</v>
      </c>
      <c r="L1158">
        <v>100</v>
      </c>
      <c r="M1158">
        <v>0.51</v>
      </c>
    </row>
    <row r="1159" spans="1:13">
      <c r="A1159" s="28">
        <v>24940</v>
      </c>
      <c r="B1159" t="s">
        <v>1299</v>
      </c>
      <c r="C1159">
        <v>4915</v>
      </c>
      <c r="D1159">
        <v>170</v>
      </c>
      <c r="E1159">
        <v>3.58</v>
      </c>
      <c r="F1159">
        <v>189</v>
      </c>
      <c r="G1159">
        <v>26.01</v>
      </c>
      <c r="H1159" t="s">
        <v>397</v>
      </c>
      <c r="I1159" t="s">
        <v>397</v>
      </c>
      <c r="J1159">
        <v>4921</v>
      </c>
      <c r="K1159">
        <v>1</v>
      </c>
      <c r="L1159">
        <v>25</v>
      </c>
      <c r="M1159">
        <v>0.51</v>
      </c>
    </row>
    <row r="1160" spans="1:13">
      <c r="A1160" s="28">
        <v>108670</v>
      </c>
      <c r="B1160" t="s">
        <v>1300</v>
      </c>
      <c r="C1160">
        <v>39250</v>
      </c>
      <c r="D1160">
        <v>-650</v>
      </c>
      <c r="E1160">
        <v>-1.63</v>
      </c>
      <c r="F1160" t="s">
        <v>397</v>
      </c>
      <c r="G1160" t="s">
        <v>397</v>
      </c>
      <c r="H1160">
        <v>6435</v>
      </c>
      <c r="I1160">
        <v>6.1</v>
      </c>
      <c r="J1160">
        <v>87146</v>
      </c>
      <c r="K1160">
        <v>0.45</v>
      </c>
      <c r="L1160">
        <v>200</v>
      </c>
      <c r="M1160">
        <v>0.51</v>
      </c>
    </row>
    <row r="1161" spans="1:13">
      <c r="A1161" s="28">
        <v>87600</v>
      </c>
      <c r="B1161" t="s">
        <v>1301</v>
      </c>
      <c r="C1161">
        <v>9750</v>
      </c>
      <c r="D1161">
        <v>80</v>
      </c>
      <c r="E1161">
        <v>0.83</v>
      </c>
      <c r="F1161">
        <v>39</v>
      </c>
      <c r="G1161">
        <v>250</v>
      </c>
      <c r="H1161" t="s">
        <v>397</v>
      </c>
      <c r="I1161" t="s">
        <v>397</v>
      </c>
      <c r="J1161">
        <v>13297</v>
      </c>
      <c r="K1161">
        <v>0.73</v>
      </c>
      <c r="L1161">
        <v>50</v>
      </c>
      <c r="M1161">
        <v>0.51</v>
      </c>
    </row>
    <row r="1162" spans="1:13">
      <c r="A1162" s="28">
        <v>23900</v>
      </c>
      <c r="B1162" t="s">
        <v>1302</v>
      </c>
      <c r="C1162">
        <v>11970</v>
      </c>
      <c r="D1162">
        <v>50</v>
      </c>
      <c r="E1162">
        <v>0.42</v>
      </c>
      <c r="F1162">
        <v>273</v>
      </c>
      <c r="G1162">
        <v>43.85</v>
      </c>
      <c r="H1162" t="s">
        <v>397</v>
      </c>
      <c r="I1162" t="s">
        <v>397</v>
      </c>
      <c r="J1162">
        <v>11716</v>
      </c>
      <c r="K1162">
        <v>1.02</v>
      </c>
      <c r="L1162">
        <v>60</v>
      </c>
      <c r="M1162">
        <v>0.5</v>
      </c>
    </row>
    <row r="1163" spans="1:13">
      <c r="A1163" s="28">
        <v>131370</v>
      </c>
      <c r="B1163" t="s">
        <v>1303</v>
      </c>
      <c r="C1163">
        <v>4040</v>
      </c>
      <c r="D1163">
        <v>-120</v>
      </c>
      <c r="E1163">
        <v>-2.88</v>
      </c>
      <c r="F1163">
        <v>81</v>
      </c>
      <c r="G1163">
        <v>49.88</v>
      </c>
      <c r="H1163" t="s">
        <v>397</v>
      </c>
      <c r="I1163" t="s">
        <v>397</v>
      </c>
      <c r="J1163">
        <v>1648</v>
      </c>
      <c r="K1163">
        <v>2.4500000000000002</v>
      </c>
      <c r="L1163">
        <v>20</v>
      </c>
      <c r="M1163">
        <v>0.5</v>
      </c>
    </row>
    <row r="1164" spans="1:13">
      <c r="A1164" s="28">
        <v>8930</v>
      </c>
      <c r="B1164" t="s">
        <v>1304</v>
      </c>
      <c r="C1164">
        <v>39800</v>
      </c>
      <c r="D1164">
        <v>-750</v>
      </c>
      <c r="E1164">
        <v>-1.85</v>
      </c>
      <c r="F1164">
        <v>1010</v>
      </c>
      <c r="G1164">
        <v>39.409999999999997</v>
      </c>
      <c r="H1164" t="s">
        <v>397</v>
      </c>
      <c r="I1164" t="s">
        <v>397</v>
      </c>
      <c r="J1164">
        <v>10673</v>
      </c>
      <c r="K1164">
        <v>3.73</v>
      </c>
      <c r="L1164">
        <v>200</v>
      </c>
      <c r="M1164">
        <v>0.5</v>
      </c>
    </row>
    <row r="1165" spans="1:13">
      <c r="A1165" s="28">
        <v>1770</v>
      </c>
      <c r="B1165" t="s">
        <v>1305</v>
      </c>
      <c r="C1165">
        <v>20000</v>
      </c>
      <c r="D1165">
        <v>130</v>
      </c>
      <c r="E1165">
        <v>0.65</v>
      </c>
      <c r="F1165">
        <v>8905</v>
      </c>
      <c r="G1165">
        <v>2.25</v>
      </c>
      <c r="H1165" t="s">
        <v>397</v>
      </c>
      <c r="I1165" t="s">
        <v>397</v>
      </c>
      <c r="J1165">
        <v>42355</v>
      </c>
      <c r="K1165">
        <v>0.47</v>
      </c>
      <c r="L1165">
        <v>100</v>
      </c>
      <c r="M1165">
        <v>0.5</v>
      </c>
    </row>
    <row r="1166" spans="1:13">
      <c r="A1166" s="28">
        <v>104460</v>
      </c>
      <c r="B1166" t="s">
        <v>1306</v>
      </c>
      <c r="C1166">
        <v>20500</v>
      </c>
      <c r="D1166">
        <v>-100</v>
      </c>
      <c r="E1166">
        <v>-0.49</v>
      </c>
      <c r="F1166" t="s">
        <v>397</v>
      </c>
      <c r="G1166" t="s">
        <v>397</v>
      </c>
      <c r="H1166">
        <v>2496</v>
      </c>
      <c r="I1166">
        <v>8.2100000000000009</v>
      </c>
      <c r="J1166">
        <v>11057</v>
      </c>
      <c r="K1166">
        <v>1.85</v>
      </c>
      <c r="L1166">
        <v>100</v>
      </c>
      <c r="M1166">
        <v>0.49</v>
      </c>
    </row>
    <row r="1167" spans="1:13">
      <c r="A1167" s="28">
        <v>173130</v>
      </c>
      <c r="B1167" t="s">
        <v>1307</v>
      </c>
      <c r="C1167">
        <v>10230</v>
      </c>
      <c r="D1167">
        <v>90</v>
      </c>
      <c r="E1167">
        <v>0.89</v>
      </c>
      <c r="F1167">
        <v>469</v>
      </c>
      <c r="G1167">
        <v>21.81</v>
      </c>
      <c r="H1167" t="s">
        <v>397</v>
      </c>
      <c r="I1167" t="s">
        <v>397</v>
      </c>
      <c r="J1167">
        <v>2733</v>
      </c>
      <c r="K1167">
        <v>3.74</v>
      </c>
      <c r="L1167">
        <v>50</v>
      </c>
      <c r="M1167">
        <v>0.49</v>
      </c>
    </row>
    <row r="1168" spans="1:13">
      <c r="A1168" s="28">
        <v>4560</v>
      </c>
      <c r="B1168" t="s">
        <v>1308</v>
      </c>
      <c r="C1168">
        <v>20600</v>
      </c>
      <c r="D1168">
        <v>350</v>
      </c>
      <c r="E1168">
        <v>1.73</v>
      </c>
      <c r="F1168">
        <v>1715</v>
      </c>
      <c r="G1168">
        <v>12.01</v>
      </c>
      <c r="H1168" t="s">
        <v>397</v>
      </c>
      <c r="I1168" t="s">
        <v>397</v>
      </c>
      <c r="J1168">
        <v>34806</v>
      </c>
      <c r="K1168">
        <v>0.59</v>
      </c>
      <c r="L1168">
        <v>100</v>
      </c>
      <c r="M1168">
        <v>0.49</v>
      </c>
    </row>
    <row r="1169" spans="1:13">
      <c r="A1169" s="28">
        <v>35420</v>
      </c>
      <c r="B1169" t="s">
        <v>1309</v>
      </c>
      <c r="C1169">
        <v>186100</v>
      </c>
      <c r="D1169">
        <v>-700</v>
      </c>
      <c r="E1169">
        <v>-0.37</v>
      </c>
      <c r="F1169">
        <v>5007</v>
      </c>
      <c r="G1169">
        <v>37.17</v>
      </c>
      <c r="H1169">
        <v>9093</v>
      </c>
      <c r="I1169">
        <v>20.47</v>
      </c>
      <c r="J1169">
        <v>151646</v>
      </c>
      <c r="K1169">
        <v>1.23</v>
      </c>
      <c r="L1169">
        <v>914</v>
      </c>
      <c r="M1169">
        <v>0.49</v>
      </c>
    </row>
    <row r="1170" spans="1:13">
      <c r="A1170" s="28">
        <v>47810</v>
      </c>
      <c r="B1170" t="s">
        <v>1310</v>
      </c>
      <c r="C1170">
        <v>51100</v>
      </c>
      <c r="D1170">
        <v>-800</v>
      </c>
      <c r="E1170">
        <v>-1.54</v>
      </c>
      <c r="F1170">
        <v>1215</v>
      </c>
      <c r="G1170">
        <v>42.06</v>
      </c>
      <c r="H1170">
        <v>2218</v>
      </c>
      <c r="I1170">
        <v>23.04</v>
      </c>
      <c r="J1170">
        <v>14648</v>
      </c>
      <c r="K1170">
        <v>3.49</v>
      </c>
      <c r="L1170">
        <v>250</v>
      </c>
      <c r="M1170">
        <v>0.49</v>
      </c>
    </row>
    <row r="1171" spans="1:13">
      <c r="A1171" s="28">
        <v>17550</v>
      </c>
      <c r="B1171" t="s">
        <v>1311</v>
      </c>
      <c r="C1171">
        <v>2095</v>
      </c>
      <c r="D1171">
        <v>-20</v>
      </c>
      <c r="E1171">
        <v>-0.95</v>
      </c>
      <c r="F1171">
        <v>292</v>
      </c>
      <c r="G1171">
        <v>7.17</v>
      </c>
      <c r="H1171" t="s">
        <v>397</v>
      </c>
      <c r="I1171" t="s">
        <v>397</v>
      </c>
      <c r="J1171">
        <v>2566</v>
      </c>
      <c r="K1171">
        <v>0.82</v>
      </c>
      <c r="L1171">
        <v>10</v>
      </c>
      <c r="M1171">
        <v>0.48</v>
      </c>
    </row>
    <row r="1172" spans="1:13">
      <c r="A1172" s="28">
        <v>10660</v>
      </c>
      <c r="B1172" t="s">
        <v>1312</v>
      </c>
      <c r="C1172">
        <v>6260</v>
      </c>
      <c r="D1172">
        <v>570</v>
      </c>
      <c r="E1172">
        <v>10.02</v>
      </c>
      <c r="F1172">
        <v>180</v>
      </c>
      <c r="G1172">
        <v>34.78</v>
      </c>
      <c r="H1172" t="s">
        <v>397</v>
      </c>
      <c r="I1172" t="s">
        <v>397</v>
      </c>
      <c r="J1172">
        <v>6506</v>
      </c>
      <c r="K1172">
        <v>0.96</v>
      </c>
      <c r="L1172">
        <v>30</v>
      </c>
      <c r="M1172">
        <v>0.48</v>
      </c>
    </row>
    <row r="1173" spans="1:13">
      <c r="A1173" s="28">
        <v>172670</v>
      </c>
      <c r="B1173" t="s">
        <v>1313</v>
      </c>
      <c r="C1173">
        <v>21400</v>
      </c>
      <c r="D1173">
        <v>-500</v>
      </c>
      <c r="E1173">
        <v>-2.2799999999999998</v>
      </c>
      <c r="F1173">
        <v>1955</v>
      </c>
      <c r="G1173">
        <v>10.95</v>
      </c>
      <c r="H1173" t="s">
        <v>397</v>
      </c>
      <c r="I1173" t="s">
        <v>397</v>
      </c>
      <c r="J1173">
        <v>9071</v>
      </c>
      <c r="K1173">
        <v>2.36</v>
      </c>
      <c r="L1173">
        <v>100</v>
      </c>
      <c r="M1173">
        <v>0.47</v>
      </c>
    </row>
    <row r="1174" spans="1:13">
      <c r="A1174" s="28">
        <v>20710</v>
      </c>
      <c r="B1174" t="s">
        <v>1314</v>
      </c>
      <c r="C1174">
        <v>4290</v>
      </c>
      <c r="D1174">
        <v>-45</v>
      </c>
      <c r="E1174">
        <v>-1.04</v>
      </c>
      <c r="F1174">
        <v>363</v>
      </c>
      <c r="G1174">
        <v>11.82</v>
      </c>
      <c r="H1174">
        <v>389</v>
      </c>
      <c r="I1174">
        <v>11.03</v>
      </c>
      <c r="J1174">
        <v>6517</v>
      </c>
      <c r="K1174">
        <v>0.66</v>
      </c>
      <c r="L1174">
        <v>20</v>
      </c>
      <c r="M1174">
        <v>0.47</v>
      </c>
    </row>
    <row r="1175" spans="1:13">
      <c r="A1175" s="28">
        <v>277070</v>
      </c>
      <c r="B1175" t="s">
        <v>1315</v>
      </c>
      <c r="C1175">
        <v>6030</v>
      </c>
      <c r="D1175">
        <v>-100</v>
      </c>
      <c r="E1175">
        <v>-1.63</v>
      </c>
      <c r="F1175">
        <v>267</v>
      </c>
      <c r="G1175">
        <v>22.58</v>
      </c>
      <c r="H1175" t="s">
        <v>397</v>
      </c>
      <c r="I1175" t="s">
        <v>397</v>
      </c>
      <c r="J1175">
        <v>4210</v>
      </c>
      <c r="K1175">
        <v>1.43</v>
      </c>
      <c r="L1175">
        <v>28</v>
      </c>
      <c r="M1175">
        <v>0.46</v>
      </c>
    </row>
    <row r="1176" spans="1:13">
      <c r="A1176" s="28">
        <v>158430</v>
      </c>
      <c r="B1176" t="s">
        <v>1316</v>
      </c>
      <c r="C1176">
        <v>4370</v>
      </c>
      <c r="D1176">
        <v>-20</v>
      </c>
      <c r="E1176">
        <v>-0.46</v>
      </c>
      <c r="F1176">
        <v>812</v>
      </c>
      <c r="G1176">
        <v>5.38</v>
      </c>
      <c r="H1176" t="s">
        <v>397</v>
      </c>
      <c r="I1176" t="s">
        <v>397</v>
      </c>
      <c r="J1176">
        <v>3159</v>
      </c>
      <c r="K1176">
        <v>1.38</v>
      </c>
      <c r="L1176">
        <v>20</v>
      </c>
      <c r="M1176">
        <v>0.46</v>
      </c>
    </row>
    <row r="1177" spans="1:13">
      <c r="A1177" s="28">
        <v>83310</v>
      </c>
      <c r="B1177" t="s">
        <v>1317</v>
      </c>
      <c r="C1177">
        <v>21650</v>
      </c>
      <c r="D1177">
        <v>-550</v>
      </c>
      <c r="E1177">
        <v>-2.48</v>
      </c>
      <c r="F1177">
        <v>1486</v>
      </c>
      <c r="G1177">
        <v>14.57</v>
      </c>
      <c r="H1177" t="s">
        <v>397</v>
      </c>
      <c r="I1177" t="s">
        <v>397</v>
      </c>
      <c r="J1177">
        <v>12896</v>
      </c>
      <c r="K1177">
        <v>1.68</v>
      </c>
      <c r="L1177">
        <v>100</v>
      </c>
      <c r="M1177">
        <v>0.46</v>
      </c>
    </row>
    <row r="1178" spans="1:13">
      <c r="A1178" s="28">
        <v>17890</v>
      </c>
      <c r="B1178" t="s">
        <v>1318</v>
      </c>
      <c r="C1178">
        <v>10860</v>
      </c>
      <c r="D1178">
        <v>-90</v>
      </c>
      <c r="E1178">
        <v>-0.82</v>
      </c>
      <c r="F1178">
        <v>1474</v>
      </c>
      <c r="G1178">
        <v>7.37</v>
      </c>
      <c r="H1178" t="s">
        <v>397</v>
      </c>
      <c r="I1178" t="s">
        <v>397</v>
      </c>
      <c r="J1178">
        <v>21988</v>
      </c>
      <c r="K1178">
        <v>0.49</v>
      </c>
      <c r="L1178">
        <v>50</v>
      </c>
      <c r="M1178">
        <v>0.46</v>
      </c>
    </row>
    <row r="1179" spans="1:13">
      <c r="A1179" s="28">
        <v>2620</v>
      </c>
      <c r="B1179" t="s">
        <v>1319</v>
      </c>
      <c r="C1179">
        <v>10830</v>
      </c>
      <c r="D1179">
        <v>-90</v>
      </c>
      <c r="E1179">
        <v>-0.82</v>
      </c>
      <c r="F1179" t="s">
        <v>397</v>
      </c>
      <c r="G1179" t="s">
        <v>397</v>
      </c>
      <c r="H1179" t="s">
        <v>397</v>
      </c>
      <c r="I1179" t="s">
        <v>397</v>
      </c>
      <c r="J1179">
        <v>22003</v>
      </c>
      <c r="K1179">
        <v>0.49</v>
      </c>
      <c r="L1179">
        <v>50</v>
      </c>
      <c r="M1179">
        <v>0.46</v>
      </c>
    </row>
    <row r="1180" spans="1:13">
      <c r="A1180" s="28">
        <v>33100</v>
      </c>
      <c r="B1180" t="s">
        <v>1320</v>
      </c>
      <c r="C1180">
        <v>32450</v>
      </c>
      <c r="D1180">
        <v>-50</v>
      </c>
      <c r="E1180">
        <v>-0.15</v>
      </c>
      <c r="F1180">
        <v>777</v>
      </c>
      <c r="G1180">
        <v>41.76</v>
      </c>
      <c r="H1180" t="s">
        <v>397</v>
      </c>
      <c r="I1180" t="s">
        <v>397</v>
      </c>
      <c r="J1180">
        <v>4410</v>
      </c>
      <c r="K1180">
        <v>7.36</v>
      </c>
      <c r="L1180">
        <v>150</v>
      </c>
      <c r="M1180">
        <v>0.46</v>
      </c>
    </row>
    <row r="1181" spans="1:13">
      <c r="A1181" s="28">
        <v>54450</v>
      </c>
      <c r="B1181" t="s">
        <v>1321</v>
      </c>
      <c r="C1181">
        <v>28600</v>
      </c>
      <c r="D1181">
        <v>-300</v>
      </c>
      <c r="E1181">
        <v>-1.04</v>
      </c>
      <c r="F1181">
        <v>3480</v>
      </c>
      <c r="G1181">
        <v>8.2200000000000006</v>
      </c>
      <c r="H1181">
        <v>1416</v>
      </c>
      <c r="I1181">
        <v>20.190000000000001</v>
      </c>
      <c r="J1181">
        <v>12418</v>
      </c>
      <c r="K1181">
        <v>2.2999999999999998</v>
      </c>
      <c r="L1181">
        <v>130</v>
      </c>
      <c r="M1181">
        <v>0.45</v>
      </c>
    </row>
    <row r="1182" spans="1:13">
      <c r="A1182" s="28">
        <v>1515</v>
      </c>
      <c r="B1182" t="s">
        <v>1322</v>
      </c>
      <c r="C1182">
        <v>2245</v>
      </c>
      <c r="D1182">
        <v>-15</v>
      </c>
      <c r="E1182">
        <v>-0.66</v>
      </c>
      <c r="F1182" t="s">
        <v>397</v>
      </c>
      <c r="G1182" t="s">
        <v>397</v>
      </c>
      <c r="H1182" t="s">
        <v>397</v>
      </c>
      <c r="I1182" t="s">
        <v>397</v>
      </c>
      <c r="J1182" t="s">
        <v>397</v>
      </c>
      <c r="K1182" t="s">
        <v>397</v>
      </c>
      <c r="L1182">
        <v>10</v>
      </c>
      <c r="M1182">
        <v>0.45</v>
      </c>
    </row>
    <row r="1183" spans="1:13">
      <c r="A1183" s="28">
        <v>59210</v>
      </c>
      <c r="B1183" t="s">
        <v>1323</v>
      </c>
      <c r="C1183">
        <v>4595</v>
      </c>
      <c r="D1183">
        <v>-65</v>
      </c>
      <c r="E1183">
        <v>-1.39</v>
      </c>
      <c r="F1183">
        <v>115</v>
      </c>
      <c r="G1183">
        <v>39.96</v>
      </c>
      <c r="H1183" t="s">
        <v>397</v>
      </c>
      <c r="I1183" t="s">
        <v>397</v>
      </c>
      <c r="J1183">
        <v>2649</v>
      </c>
      <c r="K1183">
        <v>1.73</v>
      </c>
      <c r="L1183">
        <v>20</v>
      </c>
      <c r="M1183">
        <v>0.44</v>
      </c>
    </row>
    <row r="1184" spans="1:13">
      <c r="A1184" s="28">
        <v>30960</v>
      </c>
      <c r="B1184" t="s">
        <v>1324</v>
      </c>
      <c r="C1184">
        <v>11330</v>
      </c>
      <c r="D1184">
        <v>-40</v>
      </c>
      <c r="E1184">
        <v>-0.35</v>
      </c>
      <c r="F1184">
        <v>89</v>
      </c>
      <c r="G1184">
        <v>127.3</v>
      </c>
      <c r="H1184" t="s">
        <v>397</v>
      </c>
      <c r="I1184" t="s">
        <v>397</v>
      </c>
      <c r="J1184">
        <v>13503</v>
      </c>
      <c r="K1184">
        <v>0.84</v>
      </c>
      <c r="L1184">
        <v>50</v>
      </c>
      <c r="M1184">
        <v>0.44</v>
      </c>
    </row>
    <row r="1185" spans="1:13">
      <c r="A1185" s="28">
        <v>78140</v>
      </c>
      <c r="B1185" t="s">
        <v>1325</v>
      </c>
      <c r="C1185">
        <v>11240</v>
      </c>
      <c r="D1185">
        <v>-110</v>
      </c>
      <c r="E1185">
        <v>-0.97</v>
      </c>
      <c r="F1185">
        <v>788</v>
      </c>
      <c r="G1185">
        <v>14.26</v>
      </c>
      <c r="H1185" t="s">
        <v>397</v>
      </c>
      <c r="I1185" t="s">
        <v>397</v>
      </c>
      <c r="J1185">
        <v>10701</v>
      </c>
      <c r="K1185">
        <v>1.05</v>
      </c>
      <c r="L1185">
        <v>50</v>
      </c>
      <c r="M1185">
        <v>0.44</v>
      </c>
    </row>
    <row r="1186" spans="1:13">
      <c r="A1186" s="28">
        <v>91120</v>
      </c>
      <c r="B1186" t="s">
        <v>1326</v>
      </c>
      <c r="C1186">
        <v>34000</v>
      </c>
      <c r="D1186">
        <v>200</v>
      </c>
      <c r="E1186">
        <v>0.59</v>
      </c>
      <c r="F1186">
        <v>2118</v>
      </c>
      <c r="G1186">
        <v>16.05</v>
      </c>
      <c r="H1186" t="s">
        <v>397</v>
      </c>
      <c r="I1186" t="s">
        <v>397</v>
      </c>
      <c r="J1186">
        <v>15775</v>
      </c>
      <c r="K1186">
        <v>2.16</v>
      </c>
      <c r="L1186">
        <v>150</v>
      </c>
      <c r="M1186">
        <v>0.44</v>
      </c>
    </row>
    <row r="1187" spans="1:13">
      <c r="A1187" s="28">
        <v>6405</v>
      </c>
      <c r="B1187" t="s">
        <v>1327</v>
      </c>
      <c r="C1187">
        <v>243000</v>
      </c>
      <c r="D1187">
        <v>-9500</v>
      </c>
      <c r="E1187">
        <v>-3.76</v>
      </c>
      <c r="F1187" t="s">
        <v>397</v>
      </c>
      <c r="G1187" t="s">
        <v>397</v>
      </c>
      <c r="H1187" t="s">
        <v>397</v>
      </c>
      <c r="I1187" t="s">
        <v>397</v>
      </c>
      <c r="J1187" t="s">
        <v>397</v>
      </c>
      <c r="K1187" t="s">
        <v>397</v>
      </c>
      <c r="L1187">
        <v>1080</v>
      </c>
      <c r="M1187">
        <v>0.44</v>
      </c>
    </row>
    <row r="1188" spans="1:13">
      <c r="A1188" s="28">
        <v>89030</v>
      </c>
      <c r="B1188" t="s">
        <v>1328</v>
      </c>
      <c r="C1188">
        <v>30300</v>
      </c>
      <c r="D1188">
        <v>1300</v>
      </c>
      <c r="E1188">
        <v>4.4800000000000004</v>
      </c>
      <c r="F1188">
        <v>886</v>
      </c>
      <c r="G1188">
        <v>34.200000000000003</v>
      </c>
      <c r="H1188">
        <v>1663</v>
      </c>
      <c r="I1188">
        <v>18.22</v>
      </c>
      <c r="J1188">
        <v>6480</v>
      </c>
      <c r="K1188">
        <v>4.68</v>
      </c>
      <c r="L1188">
        <v>130</v>
      </c>
      <c r="M1188">
        <v>0.43</v>
      </c>
    </row>
    <row r="1189" spans="1:13">
      <c r="A1189" s="28">
        <v>36810</v>
      </c>
      <c r="B1189" t="s">
        <v>1329</v>
      </c>
      <c r="C1189">
        <v>23450</v>
      </c>
      <c r="D1189">
        <v>100</v>
      </c>
      <c r="E1189">
        <v>0.43</v>
      </c>
      <c r="F1189">
        <v>2242</v>
      </c>
      <c r="G1189">
        <v>10.46</v>
      </c>
      <c r="H1189" t="s">
        <v>397</v>
      </c>
      <c r="I1189" t="s">
        <v>397</v>
      </c>
      <c r="J1189">
        <v>12460</v>
      </c>
      <c r="K1189">
        <v>1.88</v>
      </c>
      <c r="L1189">
        <v>100</v>
      </c>
      <c r="M1189">
        <v>0.43</v>
      </c>
    </row>
    <row r="1190" spans="1:13">
      <c r="A1190" s="28">
        <v>11390</v>
      </c>
      <c r="B1190" t="s">
        <v>1330</v>
      </c>
      <c r="C1190">
        <v>58000</v>
      </c>
      <c r="D1190">
        <v>500</v>
      </c>
      <c r="E1190">
        <v>0.87</v>
      </c>
      <c r="F1190">
        <v>2451</v>
      </c>
      <c r="G1190">
        <v>23.66</v>
      </c>
      <c r="H1190" t="s">
        <v>397</v>
      </c>
      <c r="I1190" t="s">
        <v>397</v>
      </c>
      <c r="J1190">
        <v>55020</v>
      </c>
      <c r="K1190">
        <v>1.05</v>
      </c>
      <c r="L1190">
        <v>250</v>
      </c>
      <c r="M1190">
        <v>0.43</v>
      </c>
    </row>
    <row r="1191" spans="1:13">
      <c r="A1191" s="28">
        <v>211270</v>
      </c>
      <c r="B1191" t="s">
        <v>1331</v>
      </c>
      <c r="C1191">
        <v>16120</v>
      </c>
      <c r="D1191">
        <v>-710</v>
      </c>
      <c r="E1191">
        <v>-4.22</v>
      </c>
      <c r="F1191">
        <v>287</v>
      </c>
      <c r="G1191">
        <v>56.17</v>
      </c>
      <c r="H1191" t="s">
        <v>397</v>
      </c>
      <c r="I1191" t="s">
        <v>397</v>
      </c>
      <c r="J1191">
        <v>5997</v>
      </c>
      <c r="K1191">
        <v>2.69</v>
      </c>
      <c r="L1191">
        <v>70</v>
      </c>
      <c r="M1191">
        <v>0.43</v>
      </c>
    </row>
    <row r="1192" spans="1:13">
      <c r="A1192" s="28">
        <v>17040</v>
      </c>
      <c r="B1192" t="s">
        <v>1332</v>
      </c>
      <c r="C1192">
        <v>2400</v>
      </c>
      <c r="D1192">
        <v>-20</v>
      </c>
      <c r="E1192">
        <v>-0.83</v>
      </c>
      <c r="F1192">
        <v>124</v>
      </c>
      <c r="G1192">
        <v>19.350000000000001</v>
      </c>
      <c r="H1192" t="s">
        <v>397</v>
      </c>
      <c r="I1192" t="s">
        <v>397</v>
      </c>
      <c r="J1192">
        <v>2621</v>
      </c>
      <c r="K1192">
        <v>0.92</v>
      </c>
      <c r="L1192">
        <v>10</v>
      </c>
      <c r="M1192">
        <v>0.42</v>
      </c>
    </row>
    <row r="1193" spans="1:13">
      <c r="A1193" s="28">
        <v>18310</v>
      </c>
      <c r="B1193" t="s">
        <v>1333</v>
      </c>
      <c r="C1193">
        <v>23600</v>
      </c>
      <c r="D1193">
        <v>-800</v>
      </c>
      <c r="E1193">
        <v>-3.28</v>
      </c>
      <c r="F1193">
        <v>4457</v>
      </c>
      <c r="G1193">
        <v>5.3</v>
      </c>
      <c r="H1193" t="s">
        <v>397</v>
      </c>
      <c r="I1193" t="s">
        <v>397</v>
      </c>
      <c r="J1193">
        <v>33446</v>
      </c>
      <c r="K1193">
        <v>0.71</v>
      </c>
      <c r="L1193">
        <v>100</v>
      </c>
      <c r="M1193">
        <v>0.42</v>
      </c>
    </row>
    <row r="1194" spans="1:13">
      <c r="A1194" s="28">
        <v>3350</v>
      </c>
      <c r="B1194" t="s">
        <v>1334</v>
      </c>
      <c r="C1194">
        <v>23750</v>
      </c>
      <c r="D1194">
        <v>-350</v>
      </c>
      <c r="E1194">
        <v>-1.45</v>
      </c>
      <c r="F1194">
        <v>1113</v>
      </c>
      <c r="G1194">
        <v>21.34</v>
      </c>
      <c r="H1194" t="s">
        <v>397</v>
      </c>
      <c r="I1194" t="s">
        <v>397</v>
      </c>
      <c r="J1194">
        <v>13033</v>
      </c>
      <c r="K1194">
        <v>1.82</v>
      </c>
      <c r="L1194">
        <v>100</v>
      </c>
      <c r="M1194">
        <v>0.42</v>
      </c>
    </row>
    <row r="1195" spans="1:13">
      <c r="A1195" s="28">
        <v>4835</v>
      </c>
      <c r="B1195" t="s">
        <v>1335</v>
      </c>
      <c r="C1195">
        <v>11980</v>
      </c>
      <c r="D1195">
        <v>140</v>
      </c>
      <c r="E1195">
        <v>1.18</v>
      </c>
      <c r="F1195" t="s">
        <v>397</v>
      </c>
      <c r="G1195" t="s">
        <v>397</v>
      </c>
      <c r="H1195" t="s">
        <v>397</v>
      </c>
      <c r="I1195" t="s">
        <v>397</v>
      </c>
      <c r="J1195" t="s">
        <v>397</v>
      </c>
      <c r="K1195" t="s">
        <v>397</v>
      </c>
      <c r="L1195">
        <v>50</v>
      </c>
      <c r="M1195">
        <v>0.42</v>
      </c>
    </row>
    <row r="1196" spans="1:13">
      <c r="A1196" s="28">
        <v>13360</v>
      </c>
      <c r="B1196" t="s">
        <v>1336</v>
      </c>
      <c r="C1196">
        <v>1233</v>
      </c>
      <c r="D1196">
        <v>-46</v>
      </c>
      <c r="E1196">
        <v>-3.6</v>
      </c>
      <c r="F1196">
        <v>115</v>
      </c>
      <c r="G1196">
        <v>10.72</v>
      </c>
      <c r="H1196" t="s">
        <v>397</v>
      </c>
      <c r="I1196" t="s">
        <v>397</v>
      </c>
      <c r="J1196">
        <v>2224</v>
      </c>
      <c r="K1196">
        <v>0.55000000000000004</v>
      </c>
      <c r="L1196">
        <v>5</v>
      </c>
      <c r="M1196">
        <v>0.41</v>
      </c>
    </row>
    <row r="1197" spans="1:13">
      <c r="A1197" s="28">
        <v>7540</v>
      </c>
      <c r="B1197" t="s">
        <v>1337</v>
      </c>
      <c r="C1197">
        <v>49300</v>
      </c>
      <c r="D1197">
        <v>100</v>
      </c>
      <c r="E1197">
        <v>0.2</v>
      </c>
      <c r="F1197">
        <v>4831</v>
      </c>
      <c r="G1197">
        <v>10.199999999999999</v>
      </c>
      <c r="H1197" t="s">
        <v>397</v>
      </c>
      <c r="I1197" t="s">
        <v>397</v>
      </c>
      <c r="J1197">
        <v>92028</v>
      </c>
      <c r="K1197">
        <v>0.54</v>
      </c>
      <c r="L1197">
        <v>200</v>
      </c>
      <c r="M1197">
        <v>0.41</v>
      </c>
    </row>
    <row r="1198" spans="1:13">
      <c r="A1198" s="28">
        <v>52690</v>
      </c>
      <c r="B1198" t="s">
        <v>1338</v>
      </c>
      <c r="C1198">
        <v>68900</v>
      </c>
      <c r="D1198">
        <v>-4100</v>
      </c>
      <c r="E1198">
        <v>-5.62</v>
      </c>
      <c r="F1198">
        <v>472</v>
      </c>
      <c r="G1198">
        <v>145.97</v>
      </c>
      <c r="H1198">
        <v>1066</v>
      </c>
      <c r="I1198">
        <v>64.64</v>
      </c>
      <c r="J1198">
        <v>14284</v>
      </c>
      <c r="K1198">
        <v>4.82</v>
      </c>
      <c r="L1198">
        <v>283</v>
      </c>
      <c r="M1198">
        <v>0.41</v>
      </c>
    </row>
    <row r="1199" spans="1:13">
      <c r="A1199" s="28">
        <v>120</v>
      </c>
      <c r="B1199" t="s">
        <v>1339</v>
      </c>
      <c r="C1199">
        <v>124600</v>
      </c>
      <c r="D1199">
        <v>-1500</v>
      </c>
      <c r="E1199">
        <v>-1.19</v>
      </c>
      <c r="F1199">
        <v>8190</v>
      </c>
      <c r="G1199">
        <v>15.21</v>
      </c>
      <c r="H1199">
        <v>12469</v>
      </c>
      <c r="I1199">
        <v>9.99</v>
      </c>
      <c r="J1199">
        <v>179031</v>
      </c>
      <c r="K1199">
        <v>0.7</v>
      </c>
      <c r="L1199">
        <v>500</v>
      </c>
      <c r="M1199">
        <v>0.4</v>
      </c>
    </row>
    <row r="1200" spans="1:13">
      <c r="A1200" s="28">
        <v>8830</v>
      </c>
      <c r="B1200" t="s">
        <v>1340</v>
      </c>
      <c r="C1200">
        <v>10190</v>
      </c>
      <c r="D1200">
        <v>-280</v>
      </c>
      <c r="E1200">
        <v>-2.67</v>
      </c>
      <c r="F1200">
        <v>470</v>
      </c>
      <c r="G1200">
        <v>21.68</v>
      </c>
      <c r="H1200" t="s">
        <v>397</v>
      </c>
      <c r="I1200" t="s">
        <v>397</v>
      </c>
      <c r="J1200">
        <v>8267</v>
      </c>
      <c r="K1200">
        <v>1.23</v>
      </c>
      <c r="L1200">
        <v>40</v>
      </c>
      <c r="M1200">
        <v>0.39</v>
      </c>
    </row>
    <row r="1201" spans="1:13">
      <c r="A1201" s="28">
        <v>53160</v>
      </c>
      <c r="B1201" t="s">
        <v>1341</v>
      </c>
      <c r="C1201">
        <v>12790</v>
      </c>
      <c r="D1201">
        <v>-210</v>
      </c>
      <c r="E1201">
        <v>-1.62</v>
      </c>
      <c r="F1201">
        <v>247</v>
      </c>
      <c r="G1201">
        <v>51.78</v>
      </c>
      <c r="H1201" t="s">
        <v>397</v>
      </c>
      <c r="I1201" t="s">
        <v>397</v>
      </c>
      <c r="J1201">
        <v>10692</v>
      </c>
      <c r="K1201">
        <v>1.2</v>
      </c>
      <c r="L1201">
        <v>50</v>
      </c>
      <c r="M1201">
        <v>0.39</v>
      </c>
    </row>
    <row r="1202" spans="1:13">
      <c r="A1202" s="28">
        <v>282880</v>
      </c>
      <c r="B1202" t="s">
        <v>1342</v>
      </c>
      <c r="C1202">
        <v>26550</v>
      </c>
      <c r="D1202">
        <v>-500</v>
      </c>
      <c r="E1202">
        <v>-1.85</v>
      </c>
      <c r="F1202">
        <v>496</v>
      </c>
      <c r="G1202">
        <v>53.53</v>
      </c>
      <c r="H1202">
        <v>1815</v>
      </c>
      <c r="I1202">
        <v>14.63</v>
      </c>
      <c r="J1202">
        <v>12567</v>
      </c>
      <c r="K1202">
        <v>2.11</v>
      </c>
      <c r="L1202">
        <v>100</v>
      </c>
      <c r="M1202">
        <v>0.38</v>
      </c>
    </row>
    <row r="1203" spans="1:13">
      <c r="A1203" s="28">
        <v>92870</v>
      </c>
      <c r="B1203" t="s">
        <v>1343</v>
      </c>
      <c r="C1203">
        <v>27300</v>
      </c>
      <c r="D1203">
        <v>-650</v>
      </c>
      <c r="E1203">
        <v>-2.33</v>
      </c>
      <c r="F1203">
        <v>1500</v>
      </c>
      <c r="G1203">
        <v>18.2</v>
      </c>
      <c r="H1203" t="s">
        <v>397</v>
      </c>
      <c r="I1203" t="s">
        <v>397</v>
      </c>
      <c r="J1203">
        <v>13912</v>
      </c>
      <c r="K1203">
        <v>1.96</v>
      </c>
      <c r="L1203">
        <v>100</v>
      </c>
      <c r="M1203">
        <v>0.37</v>
      </c>
    </row>
    <row r="1204" spans="1:13">
      <c r="A1204" s="28">
        <v>17370</v>
      </c>
      <c r="B1204" t="s">
        <v>1344</v>
      </c>
      <c r="C1204">
        <v>8070</v>
      </c>
      <c r="D1204">
        <v>80</v>
      </c>
      <c r="E1204">
        <v>1</v>
      </c>
      <c r="F1204">
        <v>171</v>
      </c>
      <c r="G1204">
        <v>47.19</v>
      </c>
      <c r="H1204">
        <v>1794</v>
      </c>
      <c r="I1204">
        <v>4.5</v>
      </c>
      <c r="J1204">
        <v>5701</v>
      </c>
      <c r="K1204">
        <v>1.42</v>
      </c>
      <c r="L1204">
        <v>30</v>
      </c>
      <c r="M1204">
        <v>0.37</v>
      </c>
    </row>
    <row r="1205" spans="1:13">
      <c r="A1205" s="28">
        <v>114840</v>
      </c>
      <c r="B1205" t="s">
        <v>1345</v>
      </c>
      <c r="C1205">
        <v>17190</v>
      </c>
      <c r="D1205">
        <v>-820</v>
      </c>
      <c r="E1205">
        <v>-4.55</v>
      </c>
      <c r="F1205">
        <v>454</v>
      </c>
      <c r="G1205">
        <v>37.86</v>
      </c>
      <c r="H1205">
        <v>1416</v>
      </c>
      <c r="I1205">
        <v>12.14</v>
      </c>
      <c r="J1205">
        <v>2953</v>
      </c>
      <c r="K1205">
        <v>5.82</v>
      </c>
      <c r="L1205">
        <v>63</v>
      </c>
      <c r="M1205">
        <v>0.37</v>
      </c>
    </row>
    <row r="1206" spans="1:13">
      <c r="A1206" s="28">
        <v>79940</v>
      </c>
      <c r="B1206" t="s">
        <v>1346</v>
      </c>
      <c r="C1206">
        <v>19440</v>
      </c>
      <c r="D1206">
        <v>-760</v>
      </c>
      <c r="E1206">
        <v>-3.76</v>
      </c>
      <c r="F1206">
        <v>1666</v>
      </c>
      <c r="G1206">
        <v>11.67</v>
      </c>
      <c r="H1206" t="s">
        <v>397</v>
      </c>
      <c r="I1206" t="s">
        <v>397</v>
      </c>
      <c r="J1206">
        <v>9245</v>
      </c>
      <c r="K1206">
        <v>2.1</v>
      </c>
      <c r="L1206">
        <v>70</v>
      </c>
      <c r="M1206">
        <v>0.36</v>
      </c>
    </row>
    <row r="1207" spans="1:13">
      <c r="A1207" s="28">
        <v>207760</v>
      </c>
      <c r="B1207" t="s">
        <v>1347</v>
      </c>
      <c r="C1207">
        <v>2790</v>
      </c>
      <c r="D1207">
        <v>50</v>
      </c>
      <c r="E1207">
        <v>1.82</v>
      </c>
      <c r="F1207">
        <v>42</v>
      </c>
      <c r="G1207">
        <v>66.430000000000007</v>
      </c>
      <c r="H1207" t="s">
        <v>397</v>
      </c>
      <c r="I1207" t="s">
        <v>397</v>
      </c>
      <c r="J1207">
        <v>912</v>
      </c>
      <c r="K1207">
        <v>3.06</v>
      </c>
      <c r="L1207">
        <v>10</v>
      </c>
      <c r="M1207">
        <v>0.36</v>
      </c>
    </row>
    <row r="1208" spans="1:13">
      <c r="A1208" s="28">
        <v>131970</v>
      </c>
      <c r="B1208" t="s">
        <v>1348</v>
      </c>
      <c r="C1208">
        <v>45700</v>
      </c>
      <c r="D1208">
        <v>-1150</v>
      </c>
      <c r="E1208">
        <v>-2.4500000000000002</v>
      </c>
      <c r="F1208">
        <v>3080</v>
      </c>
      <c r="G1208">
        <v>14.84</v>
      </c>
      <c r="H1208">
        <v>3527</v>
      </c>
      <c r="I1208">
        <v>12.96</v>
      </c>
      <c r="J1208">
        <v>21119</v>
      </c>
      <c r="K1208">
        <v>2.16</v>
      </c>
      <c r="L1208">
        <v>160</v>
      </c>
      <c r="M1208">
        <v>0.35</v>
      </c>
    </row>
    <row r="1209" spans="1:13">
      <c r="A1209" s="28">
        <v>267260</v>
      </c>
      <c r="B1209" t="s">
        <v>1349</v>
      </c>
      <c r="C1209">
        <v>148000</v>
      </c>
      <c r="D1209">
        <v>-8300</v>
      </c>
      <c r="E1209">
        <v>-5.31</v>
      </c>
      <c r="F1209">
        <v>4514</v>
      </c>
      <c r="G1209">
        <v>32.79</v>
      </c>
      <c r="H1209">
        <v>9105</v>
      </c>
      <c r="I1209">
        <v>16.25</v>
      </c>
      <c r="J1209">
        <v>22854</v>
      </c>
      <c r="K1209">
        <v>6.48</v>
      </c>
      <c r="L1209">
        <v>500</v>
      </c>
      <c r="M1209">
        <v>0.34</v>
      </c>
    </row>
    <row r="1210" spans="1:13">
      <c r="A1210" s="28">
        <v>214150</v>
      </c>
      <c r="B1210" t="s">
        <v>1350</v>
      </c>
      <c r="C1210">
        <v>34600</v>
      </c>
      <c r="D1210">
        <v>150</v>
      </c>
      <c r="E1210">
        <v>0.44</v>
      </c>
      <c r="F1210">
        <v>1165</v>
      </c>
      <c r="G1210">
        <v>29.7</v>
      </c>
      <c r="H1210">
        <v>1601</v>
      </c>
      <c r="I1210">
        <v>21.61</v>
      </c>
      <c r="J1210">
        <v>3564</v>
      </c>
      <c r="K1210">
        <v>9.7100000000000009</v>
      </c>
      <c r="L1210">
        <v>116</v>
      </c>
      <c r="M1210">
        <v>0.34</v>
      </c>
    </row>
    <row r="1211" spans="1:13">
      <c r="A1211" s="28">
        <v>24830</v>
      </c>
      <c r="B1211" t="s">
        <v>1351</v>
      </c>
      <c r="C1211">
        <v>7270</v>
      </c>
      <c r="D1211">
        <v>10</v>
      </c>
      <c r="E1211">
        <v>0.14000000000000001</v>
      </c>
      <c r="F1211">
        <v>1949</v>
      </c>
      <c r="G1211">
        <v>3.73</v>
      </c>
      <c r="H1211" t="s">
        <v>397</v>
      </c>
      <c r="I1211" t="s">
        <v>397</v>
      </c>
      <c r="J1211">
        <v>29139</v>
      </c>
      <c r="K1211">
        <v>0.25</v>
      </c>
      <c r="L1211">
        <v>25</v>
      </c>
      <c r="M1211">
        <v>0.34</v>
      </c>
    </row>
    <row r="1212" spans="1:13">
      <c r="A1212" s="28">
        <v>5290</v>
      </c>
      <c r="B1212" t="s">
        <v>1352</v>
      </c>
      <c r="C1212">
        <v>38650</v>
      </c>
      <c r="D1212">
        <v>-50</v>
      </c>
      <c r="E1212">
        <v>-0.13</v>
      </c>
      <c r="F1212">
        <v>3102</v>
      </c>
      <c r="G1212">
        <v>12.46</v>
      </c>
      <c r="H1212" t="s">
        <v>397</v>
      </c>
      <c r="I1212" t="s">
        <v>397</v>
      </c>
      <c r="J1212">
        <v>13553</v>
      </c>
      <c r="K1212">
        <v>2.85</v>
      </c>
      <c r="L1212">
        <v>130</v>
      </c>
      <c r="M1212">
        <v>0.34</v>
      </c>
    </row>
    <row r="1213" spans="1:13">
      <c r="A1213" s="28">
        <v>8770</v>
      </c>
      <c r="B1213" t="s">
        <v>1353</v>
      </c>
      <c r="C1213">
        <v>58000</v>
      </c>
      <c r="D1213">
        <v>-200</v>
      </c>
      <c r="E1213">
        <v>-0.34</v>
      </c>
      <c r="F1213" t="s">
        <v>397</v>
      </c>
      <c r="G1213" t="s">
        <v>397</v>
      </c>
      <c r="H1213">
        <v>3654</v>
      </c>
      <c r="I1213">
        <v>15.87</v>
      </c>
      <c r="J1213">
        <v>14543</v>
      </c>
      <c r="K1213">
        <v>3.99</v>
      </c>
      <c r="L1213">
        <v>200</v>
      </c>
      <c r="M1213">
        <v>0.34</v>
      </c>
    </row>
    <row r="1214" spans="1:13">
      <c r="A1214" s="28">
        <v>288620</v>
      </c>
      <c r="B1214" t="s">
        <v>1354</v>
      </c>
      <c r="C1214">
        <v>15330</v>
      </c>
      <c r="D1214">
        <v>950</v>
      </c>
      <c r="E1214">
        <v>6.61</v>
      </c>
      <c r="F1214">
        <v>123</v>
      </c>
      <c r="G1214">
        <v>124.63</v>
      </c>
      <c r="H1214" t="s">
        <v>397</v>
      </c>
      <c r="I1214" t="s">
        <v>397</v>
      </c>
      <c r="J1214">
        <v>10231</v>
      </c>
      <c r="K1214">
        <v>1.5</v>
      </c>
      <c r="L1214">
        <v>50</v>
      </c>
      <c r="M1214">
        <v>0.33</v>
      </c>
    </row>
    <row r="1215" spans="1:13">
      <c r="A1215" s="28">
        <v>14910</v>
      </c>
      <c r="B1215" t="s">
        <v>1355</v>
      </c>
      <c r="C1215">
        <v>1499</v>
      </c>
      <c r="D1215">
        <v>26</v>
      </c>
      <c r="E1215">
        <v>1.77</v>
      </c>
      <c r="F1215">
        <v>112</v>
      </c>
      <c r="G1215">
        <v>13.38</v>
      </c>
      <c r="H1215" t="s">
        <v>397</v>
      </c>
      <c r="I1215" t="s">
        <v>397</v>
      </c>
      <c r="J1215">
        <v>1756</v>
      </c>
      <c r="K1215">
        <v>0.85</v>
      </c>
      <c r="L1215">
        <v>5</v>
      </c>
      <c r="M1215">
        <v>0.33</v>
      </c>
    </row>
    <row r="1216" spans="1:13">
      <c r="A1216" s="28">
        <v>64800</v>
      </c>
      <c r="B1216" t="s">
        <v>1356</v>
      </c>
      <c r="C1216">
        <v>3080</v>
      </c>
      <c r="D1216">
        <v>30</v>
      </c>
      <c r="E1216">
        <v>0.98</v>
      </c>
      <c r="F1216" t="s">
        <v>397</v>
      </c>
      <c r="G1216" t="s">
        <v>397</v>
      </c>
      <c r="H1216" t="s">
        <v>397</v>
      </c>
      <c r="I1216" t="s">
        <v>397</v>
      </c>
      <c r="J1216">
        <v>2023</v>
      </c>
      <c r="K1216">
        <v>1.52</v>
      </c>
      <c r="L1216">
        <v>10</v>
      </c>
      <c r="M1216">
        <v>0.32</v>
      </c>
    </row>
    <row r="1217" spans="1:13">
      <c r="A1217" s="28">
        <v>43150</v>
      </c>
      <c r="B1217" t="s">
        <v>1357</v>
      </c>
      <c r="C1217">
        <v>30900</v>
      </c>
      <c r="D1217">
        <v>-50</v>
      </c>
      <c r="E1217">
        <v>-0.16</v>
      </c>
      <c r="F1217">
        <v>5176</v>
      </c>
      <c r="G1217">
        <v>5.97</v>
      </c>
      <c r="H1217">
        <v>4568</v>
      </c>
      <c r="I1217">
        <v>6.76</v>
      </c>
      <c r="J1217">
        <v>23514</v>
      </c>
      <c r="K1217">
        <v>1.31</v>
      </c>
      <c r="L1217">
        <v>100</v>
      </c>
      <c r="M1217">
        <v>0.32</v>
      </c>
    </row>
    <row r="1218" spans="1:13">
      <c r="A1218" s="28">
        <v>101490</v>
      </c>
      <c r="B1218" t="s">
        <v>1358</v>
      </c>
      <c r="C1218">
        <v>46900</v>
      </c>
      <c r="D1218">
        <v>-1250</v>
      </c>
      <c r="E1218">
        <v>-2.6</v>
      </c>
      <c r="F1218">
        <v>838</v>
      </c>
      <c r="G1218">
        <v>55.97</v>
      </c>
      <c r="H1218">
        <v>1791</v>
      </c>
      <c r="I1218">
        <v>26.18</v>
      </c>
      <c r="J1218">
        <v>9140</v>
      </c>
      <c r="K1218">
        <v>5.13</v>
      </c>
      <c r="L1218">
        <v>150</v>
      </c>
      <c r="M1218">
        <v>0.32</v>
      </c>
    </row>
    <row r="1219" spans="1:13">
      <c r="A1219" s="28">
        <v>95500</v>
      </c>
      <c r="B1219" t="s">
        <v>1359</v>
      </c>
      <c r="C1219">
        <v>18670</v>
      </c>
      <c r="D1219">
        <v>-370</v>
      </c>
      <c r="E1219">
        <v>-1.94</v>
      </c>
      <c r="F1219" t="s">
        <v>397</v>
      </c>
      <c r="G1219" t="s">
        <v>397</v>
      </c>
      <c r="H1219" t="s">
        <v>397</v>
      </c>
      <c r="I1219" t="s">
        <v>397</v>
      </c>
      <c r="J1219">
        <v>8218</v>
      </c>
      <c r="K1219">
        <v>2.27</v>
      </c>
      <c r="L1219">
        <v>60</v>
      </c>
      <c r="M1219">
        <v>0.32</v>
      </c>
    </row>
    <row r="1220" spans="1:13">
      <c r="A1220" s="28">
        <v>60370</v>
      </c>
      <c r="B1220" t="s">
        <v>1360</v>
      </c>
      <c r="C1220">
        <v>9370</v>
      </c>
      <c r="D1220">
        <v>150</v>
      </c>
      <c r="E1220">
        <v>1.63</v>
      </c>
      <c r="F1220" t="s">
        <v>397</v>
      </c>
      <c r="G1220" t="s">
        <v>397</v>
      </c>
      <c r="H1220" t="s">
        <v>397</v>
      </c>
      <c r="I1220" t="s">
        <v>397</v>
      </c>
      <c r="J1220">
        <v>4569</v>
      </c>
      <c r="K1220">
        <v>2.0499999999999998</v>
      </c>
      <c r="L1220">
        <v>30</v>
      </c>
      <c r="M1220">
        <v>0.32</v>
      </c>
    </row>
    <row r="1221" spans="1:13">
      <c r="A1221" s="28">
        <v>11320</v>
      </c>
      <c r="B1221" t="s">
        <v>1361</v>
      </c>
      <c r="C1221">
        <v>4815</v>
      </c>
      <c r="D1221">
        <v>-15</v>
      </c>
      <c r="E1221">
        <v>-0.31</v>
      </c>
      <c r="F1221">
        <v>184</v>
      </c>
      <c r="G1221">
        <v>26.17</v>
      </c>
      <c r="H1221" t="s">
        <v>397</v>
      </c>
      <c r="I1221" t="s">
        <v>397</v>
      </c>
      <c r="J1221">
        <v>5828</v>
      </c>
      <c r="K1221">
        <v>0.83</v>
      </c>
      <c r="L1221">
        <v>15</v>
      </c>
      <c r="M1221">
        <v>0.31</v>
      </c>
    </row>
    <row r="1222" spans="1:13">
      <c r="A1222" s="28">
        <v>66970</v>
      </c>
      <c r="B1222" t="s">
        <v>1362</v>
      </c>
      <c r="C1222">
        <v>162200</v>
      </c>
      <c r="D1222">
        <v>-7800</v>
      </c>
      <c r="E1222">
        <v>-4.59</v>
      </c>
      <c r="F1222">
        <v>8269</v>
      </c>
      <c r="G1222">
        <v>19.62</v>
      </c>
      <c r="H1222">
        <v>620</v>
      </c>
      <c r="I1222">
        <v>261.41000000000003</v>
      </c>
      <c r="J1222">
        <v>38454</v>
      </c>
      <c r="K1222">
        <v>4.22</v>
      </c>
      <c r="L1222">
        <v>500</v>
      </c>
      <c r="M1222">
        <v>0.31</v>
      </c>
    </row>
    <row r="1223" spans="1:13">
      <c r="A1223" s="28">
        <v>32960</v>
      </c>
      <c r="B1223" t="s">
        <v>1363</v>
      </c>
      <c r="C1223">
        <v>11540</v>
      </c>
      <c r="D1223">
        <v>-220</v>
      </c>
      <c r="E1223">
        <v>-1.87</v>
      </c>
      <c r="F1223">
        <v>298</v>
      </c>
      <c r="G1223">
        <v>38.72</v>
      </c>
      <c r="H1223" t="s">
        <v>397</v>
      </c>
      <c r="I1223" t="s">
        <v>397</v>
      </c>
      <c r="J1223">
        <v>16585</v>
      </c>
      <c r="K1223">
        <v>0.7</v>
      </c>
      <c r="L1223">
        <v>35</v>
      </c>
      <c r="M1223">
        <v>0.3</v>
      </c>
    </row>
    <row r="1224" spans="1:13">
      <c r="A1224" s="28">
        <v>271980</v>
      </c>
      <c r="B1224" t="s">
        <v>1364</v>
      </c>
      <c r="C1224">
        <v>16640</v>
      </c>
      <c r="D1224">
        <v>30</v>
      </c>
      <c r="E1224">
        <v>0.18</v>
      </c>
      <c r="F1224" t="s">
        <v>397</v>
      </c>
      <c r="G1224" t="s">
        <v>397</v>
      </c>
      <c r="H1224" t="s">
        <v>397</v>
      </c>
      <c r="I1224" t="s">
        <v>397</v>
      </c>
      <c r="J1224">
        <v>10837</v>
      </c>
      <c r="K1224">
        <v>1.54</v>
      </c>
      <c r="L1224">
        <v>50</v>
      </c>
      <c r="M1224">
        <v>0.3</v>
      </c>
    </row>
    <row r="1225" spans="1:13">
      <c r="A1225" s="28">
        <v>7660</v>
      </c>
      <c r="B1225" t="s">
        <v>1365</v>
      </c>
      <c r="C1225">
        <v>33450</v>
      </c>
      <c r="D1225">
        <v>250</v>
      </c>
      <c r="E1225">
        <v>0.75</v>
      </c>
      <c r="F1225">
        <v>1620</v>
      </c>
      <c r="G1225">
        <v>20.65</v>
      </c>
      <c r="H1225">
        <v>1371</v>
      </c>
      <c r="I1225">
        <v>24.39</v>
      </c>
      <c r="J1225">
        <v>3515</v>
      </c>
      <c r="K1225">
        <v>9.52</v>
      </c>
      <c r="L1225">
        <v>100</v>
      </c>
      <c r="M1225">
        <v>0.3</v>
      </c>
    </row>
    <row r="1226" spans="1:13">
      <c r="A1226" s="28">
        <v>361390</v>
      </c>
      <c r="B1226" t="s">
        <v>1366</v>
      </c>
      <c r="C1226">
        <v>16510</v>
      </c>
      <c r="D1226">
        <v>-560</v>
      </c>
      <c r="E1226">
        <v>-3.28</v>
      </c>
      <c r="F1226">
        <v>362</v>
      </c>
      <c r="G1226">
        <v>45.61</v>
      </c>
      <c r="H1226" t="s">
        <v>397</v>
      </c>
      <c r="I1226" t="s">
        <v>397</v>
      </c>
      <c r="J1226">
        <v>4508</v>
      </c>
      <c r="K1226">
        <v>3.66</v>
      </c>
      <c r="L1226">
        <v>50</v>
      </c>
      <c r="M1226">
        <v>0.3</v>
      </c>
    </row>
    <row r="1227" spans="1:13">
      <c r="A1227" s="28">
        <v>180640</v>
      </c>
      <c r="B1227" t="s">
        <v>1367</v>
      </c>
      <c r="C1227">
        <v>59100</v>
      </c>
      <c r="D1227">
        <v>-11800</v>
      </c>
      <c r="E1227">
        <v>-16.64</v>
      </c>
      <c r="F1227">
        <v>10143</v>
      </c>
      <c r="G1227">
        <v>5.83</v>
      </c>
      <c r="H1227" t="s">
        <v>397</v>
      </c>
      <c r="I1227" t="s">
        <v>397</v>
      </c>
      <c r="J1227">
        <v>37047</v>
      </c>
      <c r="K1227">
        <v>1.6</v>
      </c>
      <c r="L1227">
        <v>170</v>
      </c>
      <c r="M1227">
        <v>0.28999999999999998</v>
      </c>
    </row>
    <row r="1228" spans="1:13">
      <c r="A1228" s="28">
        <v>403870</v>
      </c>
      <c r="B1228" t="s">
        <v>1368</v>
      </c>
      <c r="C1228">
        <v>52200</v>
      </c>
      <c r="D1228">
        <v>100</v>
      </c>
      <c r="E1228">
        <v>0.19</v>
      </c>
      <c r="F1228">
        <v>904</v>
      </c>
      <c r="G1228">
        <v>57.74</v>
      </c>
      <c r="H1228">
        <v>1334</v>
      </c>
      <c r="I1228">
        <v>39.14</v>
      </c>
      <c r="J1228">
        <v>2407</v>
      </c>
      <c r="K1228">
        <v>21.69</v>
      </c>
      <c r="L1228">
        <v>150</v>
      </c>
      <c r="M1228">
        <v>0.28999999999999998</v>
      </c>
    </row>
    <row r="1229" spans="1:13">
      <c r="A1229" s="28">
        <v>36830</v>
      </c>
      <c r="B1229" t="s">
        <v>1369</v>
      </c>
      <c r="C1229">
        <v>58200</v>
      </c>
      <c r="D1229">
        <v>100</v>
      </c>
      <c r="E1229">
        <v>0.17</v>
      </c>
      <c r="F1229">
        <v>3107</v>
      </c>
      <c r="G1229">
        <v>18.73</v>
      </c>
      <c r="H1229" t="s">
        <v>397</v>
      </c>
      <c r="I1229" t="s">
        <v>397</v>
      </c>
      <c r="J1229">
        <v>55592</v>
      </c>
      <c r="K1229">
        <v>1.05</v>
      </c>
      <c r="L1229">
        <v>170</v>
      </c>
      <c r="M1229">
        <v>0.28999999999999998</v>
      </c>
    </row>
    <row r="1230" spans="1:13">
      <c r="A1230" s="28">
        <v>323410</v>
      </c>
      <c r="B1230" t="s">
        <v>1370</v>
      </c>
      <c r="C1230">
        <v>28400</v>
      </c>
      <c r="D1230">
        <v>-850</v>
      </c>
      <c r="E1230">
        <v>-2.91</v>
      </c>
      <c r="F1230">
        <v>553</v>
      </c>
      <c r="G1230">
        <v>51.36</v>
      </c>
      <c r="H1230">
        <v>995</v>
      </c>
      <c r="I1230">
        <v>28.55</v>
      </c>
      <c r="J1230">
        <v>11988</v>
      </c>
      <c r="K1230">
        <v>2.37</v>
      </c>
      <c r="L1230">
        <v>80</v>
      </c>
      <c r="M1230">
        <v>0.28000000000000003</v>
      </c>
    </row>
    <row r="1231" spans="1:13">
      <c r="A1231" s="28">
        <v>6110</v>
      </c>
      <c r="B1231" t="s">
        <v>1371</v>
      </c>
      <c r="C1231">
        <v>91100</v>
      </c>
      <c r="D1231">
        <v>-1800</v>
      </c>
      <c r="E1231">
        <v>-1.94</v>
      </c>
      <c r="F1231">
        <v>1564</v>
      </c>
      <c r="G1231">
        <v>58.25</v>
      </c>
      <c r="H1231" t="s">
        <v>397</v>
      </c>
      <c r="I1231" t="s">
        <v>397</v>
      </c>
      <c r="J1231">
        <v>12540</v>
      </c>
      <c r="K1231">
        <v>7.26</v>
      </c>
      <c r="L1231">
        <v>250</v>
      </c>
      <c r="M1231">
        <v>0.27</v>
      </c>
    </row>
    <row r="1232" spans="1:13">
      <c r="A1232" s="28">
        <v>12510</v>
      </c>
      <c r="B1232" t="s">
        <v>1372</v>
      </c>
      <c r="C1232">
        <v>45200</v>
      </c>
      <c r="D1232">
        <v>-1100</v>
      </c>
      <c r="E1232">
        <v>-2.38</v>
      </c>
      <c r="F1232">
        <v>676</v>
      </c>
      <c r="G1232">
        <v>66.86</v>
      </c>
      <c r="H1232">
        <v>1733</v>
      </c>
      <c r="I1232">
        <v>26.09</v>
      </c>
      <c r="J1232">
        <v>15301</v>
      </c>
      <c r="K1232">
        <v>2.95</v>
      </c>
      <c r="L1232">
        <v>123</v>
      </c>
      <c r="M1232">
        <v>0.27</v>
      </c>
    </row>
    <row r="1233" spans="1:13">
      <c r="A1233" s="28">
        <v>86710</v>
      </c>
      <c r="B1233" t="s">
        <v>1373</v>
      </c>
      <c r="C1233">
        <v>7650</v>
      </c>
      <c r="D1233">
        <v>-70</v>
      </c>
      <c r="E1233">
        <v>-0.91</v>
      </c>
      <c r="F1233">
        <v>1620</v>
      </c>
      <c r="G1233">
        <v>4.72</v>
      </c>
      <c r="H1233" t="s">
        <v>397</v>
      </c>
      <c r="I1233" t="s">
        <v>397</v>
      </c>
      <c r="J1233">
        <v>5376</v>
      </c>
      <c r="K1233">
        <v>1.42</v>
      </c>
      <c r="L1233">
        <v>20</v>
      </c>
      <c r="M1233">
        <v>0.26</v>
      </c>
    </row>
    <row r="1234" spans="1:13">
      <c r="A1234" s="28">
        <v>3925</v>
      </c>
      <c r="B1234" t="s">
        <v>1374</v>
      </c>
      <c r="C1234">
        <v>425500</v>
      </c>
      <c r="D1234">
        <v>10500</v>
      </c>
      <c r="E1234">
        <v>2.5299999999999998</v>
      </c>
      <c r="F1234" t="s">
        <v>397</v>
      </c>
      <c r="G1234" t="s">
        <v>397</v>
      </c>
      <c r="H1234" t="s">
        <v>397</v>
      </c>
      <c r="I1234" t="s">
        <v>397</v>
      </c>
      <c r="J1234" t="s">
        <v>397</v>
      </c>
      <c r="K1234" t="s">
        <v>397</v>
      </c>
      <c r="L1234">
        <v>1050</v>
      </c>
      <c r="M1234">
        <v>0.25</v>
      </c>
    </row>
    <row r="1235" spans="1:13">
      <c r="A1235" s="28">
        <v>140860</v>
      </c>
      <c r="B1235" t="s">
        <v>1375</v>
      </c>
      <c r="C1235">
        <v>159000</v>
      </c>
      <c r="D1235">
        <v>-2200</v>
      </c>
      <c r="E1235">
        <v>-1.36</v>
      </c>
      <c r="F1235">
        <v>4061</v>
      </c>
      <c r="G1235">
        <v>39.15</v>
      </c>
      <c r="H1235">
        <v>6294</v>
      </c>
      <c r="I1235">
        <v>25.26</v>
      </c>
      <c r="J1235">
        <v>17308</v>
      </c>
      <c r="K1235">
        <v>9.19</v>
      </c>
      <c r="L1235">
        <v>400</v>
      </c>
      <c r="M1235">
        <v>0.25</v>
      </c>
    </row>
    <row r="1236" spans="1:13">
      <c r="A1236" s="28">
        <v>32300</v>
      </c>
      <c r="B1236" t="s">
        <v>1376</v>
      </c>
      <c r="C1236">
        <v>21100</v>
      </c>
      <c r="D1236">
        <v>-550</v>
      </c>
      <c r="E1236">
        <v>-2.54</v>
      </c>
      <c r="F1236" t="s">
        <v>397</v>
      </c>
      <c r="G1236" t="s">
        <v>397</v>
      </c>
      <c r="H1236" t="s">
        <v>397</v>
      </c>
      <c r="I1236" t="s">
        <v>397</v>
      </c>
      <c r="J1236">
        <v>5484</v>
      </c>
      <c r="K1236">
        <v>3.85</v>
      </c>
      <c r="L1236">
        <v>50</v>
      </c>
      <c r="M1236">
        <v>0.24</v>
      </c>
    </row>
    <row r="1237" spans="1:13">
      <c r="A1237" s="28">
        <v>6400</v>
      </c>
      <c r="B1237" t="s">
        <v>1377</v>
      </c>
      <c r="C1237">
        <v>425000</v>
      </c>
      <c r="D1237">
        <v>-21000</v>
      </c>
      <c r="E1237">
        <v>-4.71</v>
      </c>
      <c r="F1237">
        <v>29191</v>
      </c>
      <c r="G1237">
        <v>14.56</v>
      </c>
      <c r="H1237">
        <v>28973</v>
      </c>
      <c r="I1237">
        <v>14.67</v>
      </c>
      <c r="J1237">
        <v>251948</v>
      </c>
      <c r="K1237">
        <v>1.69</v>
      </c>
      <c r="L1237">
        <v>1030</v>
      </c>
      <c r="M1237">
        <v>0.24</v>
      </c>
    </row>
    <row r="1238" spans="1:13">
      <c r="A1238" s="28">
        <v>99320</v>
      </c>
      <c r="B1238" t="s">
        <v>1378</v>
      </c>
      <c r="C1238">
        <v>33900</v>
      </c>
      <c r="D1238">
        <v>-650</v>
      </c>
      <c r="E1238">
        <v>-1.88</v>
      </c>
      <c r="F1238" t="s">
        <v>397</v>
      </c>
      <c r="G1238" t="s">
        <v>397</v>
      </c>
      <c r="H1238" t="s">
        <v>397</v>
      </c>
      <c r="I1238" t="s">
        <v>397</v>
      </c>
      <c r="J1238">
        <v>13307</v>
      </c>
      <c r="K1238">
        <v>2.5499999999999998</v>
      </c>
      <c r="L1238">
        <v>80</v>
      </c>
      <c r="M1238">
        <v>0.24</v>
      </c>
    </row>
    <row r="1239" spans="1:13">
      <c r="A1239" s="28">
        <v>265740</v>
      </c>
      <c r="B1239" t="s">
        <v>1379</v>
      </c>
      <c r="C1239">
        <v>8310</v>
      </c>
      <c r="D1239">
        <v>50</v>
      </c>
      <c r="E1239">
        <v>0.61</v>
      </c>
      <c r="F1239">
        <v>210</v>
      </c>
      <c r="G1239">
        <v>39.57</v>
      </c>
      <c r="H1239" t="s">
        <v>397</v>
      </c>
      <c r="I1239" t="s">
        <v>397</v>
      </c>
      <c r="J1239">
        <v>6412</v>
      </c>
      <c r="K1239">
        <v>1.3</v>
      </c>
      <c r="L1239">
        <v>20</v>
      </c>
      <c r="M1239">
        <v>0.24</v>
      </c>
    </row>
    <row r="1240" spans="1:13">
      <c r="A1240" s="28">
        <v>93370</v>
      </c>
      <c r="B1240" t="s">
        <v>1380</v>
      </c>
      <c r="C1240">
        <v>8520</v>
      </c>
      <c r="D1240">
        <v>-280</v>
      </c>
      <c r="E1240">
        <v>-3.18</v>
      </c>
      <c r="F1240">
        <v>1023</v>
      </c>
      <c r="G1240">
        <v>8.33</v>
      </c>
      <c r="H1240" t="s">
        <v>397</v>
      </c>
      <c r="I1240" t="s">
        <v>397</v>
      </c>
      <c r="J1240">
        <v>3791</v>
      </c>
      <c r="K1240">
        <v>2.25</v>
      </c>
      <c r="L1240">
        <v>20</v>
      </c>
      <c r="M1240">
        <v>0.23</v>
      </c>
    </row>
    <row r="1241" spans="1:13">
      <c r="A1241" s="28">
        <v>452300</v>
      </c>
      <c r="B1241" t="s">
        <v>1381</v>
      </c>
      <c r="C1241">
        <v>4370</v>
      </c>
      <c r="D1241">
        <v>-90</v>
      </c>
      <c r="E1241">
        <v>-2.02</v>
      </c>
      <c r="F1241">
        <v>561</v>
      </c>
      <c r="G1241">
        <v>7.79</v>
      </c>
      <c r="H1241" t="s">
        <v>397</v>
      </c>
      <c r="I1241" t="s">
        <v>397</v>
      </c>
      <c r="J1241">
        <v>1936</v>
      </c>
      <c r="K1241">
        <v>2.2599999999999998</v>
      </c>
      <c r="L1241">
        <v>10</v>
      </c>
      <c r="M1241">
        <v>0.23</v>
      </c>
    </row>
    <row r="1242" spans="1:13">
      <c r="A1242" s="28">
        <v>3240</v>
      </c>
      <c r="B1242" t="s">
        <v>1382</v>
      </c>
      <c r="C1242">
        <v>753000</v>
      </c>
      <c r="D1242">
        <v>7000</v>
      </c>
      <c r="E1242">
        <v>0.94</v>
      </c>
      <c r="F1242">
        <v>406090</v>
      </c>
      <c r="G1242">
        <v>1.85</v>
      </c>
      <c r="H1242" t="s">
        <v>397</v>
      </c>
      <c r="I1242" t="s">
        <v>397</v>
      </c>
      <c r="J1242">
        <v>4906107</v>
      </c>
      <c r="K1242">
        <v>0.15</v>
      </c>
      <c r="L1242">
        <v>1750</v>
      </c>
      <c r="M1242">
        <v>0.23</v>
      </c>
    </row>
    <row r="1243" spans="1:13">
      <c r="A1243" s="28">
        <v>94940</v>
      </c>
      <c r="B1243" t="s">
        <v>1383</v>
      </c>
      <c r="C1243">
        <v>8680</v>
      </c>
      <c r="D1243">
        <v>-30</v>
      </c>
      <c r="E1243">
        <v>-0.34</v>
      </c>
      <c r="F1243">
        <v>24</v>
      </c>
      <c r="G1243">
        <v>361.67</v>
      </c>
      <c r="H1243" t="s">
        <v>397</v>
      </c>
      <c r="I1243" t="s">
        <v>397</v>
      </c>
      <c r="J1243">
        <v>4150</v>
      </c>
      <c r="K1243">
        <v>2.09</v>
      </c>
      <c r="L1243">
        <v>20</v>
      </c>
      <c r="M1243">
        <v>0.23</v>
      </c>
    </row>
    <row r="1244" spans="1:13">
      <c r="A1244" s="28">
        <v>137400</v>
      </c>
      <c r="B1244" t="s">
        <v>1384</v>
      </c>
      <c r="C1244">
        <v>43100</v>
      </c>
      <c r="D1244">
        <v>-1300</v>
      </c>
      <c r="E1244">
        <v>-2.93</v>
      </c>
      <c r="F1244">
        <v>2704</v>
      </c>
      <c r="G1244">
        <v>15.94</v>
      </c>
      <c r="H1244">
        <v>5588</v>
      </c>
      <c r="I1244">
        <v>7.71</v>
      </c>
      <c r="J1244">
        <v>10866</v>
      </c>
      <c r="K1244">
        <v>3.97</v>
      </c>
      <c r="L1244">
        <v>100</v>
      </c>
      <c r="M1244">
        <v>0.23</v>
      </c>
    </row>
    <row r="1245" spans="1:13">
      <c r="A1245" s="28">
        <v>253590</v>
      </c>
      <c r="B1245" t="s">
        <v>1385</v>
      </c>
      <c r="C1245">
        <v>16050</v>
      </c>
      <c r="D1245">
        <v>680</v>
      </c>
      <c r="E1245">
        <v>4.42</v>
      </c>
      <c r="F1245">
        <v>273</v>
      </c>
      <c r="G1245">
        <v>58.79</v>
      </c>
      <c r="H1245" t="s">
        <v>397</v>
      </c>
      <c r="I1245" t="s">
        <v>397</v>
      </c>
      <c r="J1245">
        <v>1714</v>
      </c>
      <c r="K1245">
        <v>9.36</v>
      </c>
      <c r="L1245">
        <v>35</v>
      </c>
      <c r="M1245">
        <v>0.22</v>
      </c>
    </row>
    <row r="1246" spans="1:13">
      <c r="A1246" s="28">
        <v>161580</v>
      </c>
      <c r="B1246" t="s">
        <v>1386</v>
      </c>
      <c r="C1246">
        <v>16070</v>
      </c>
      <c r="D1246">
        <v>-80</v>
      </c>
      <c r="E1246">
        <v>-0.5</v>
      </c>
      <c r="F1246">
        <v>82</v>
      </c>
      <c r="G1246">
        <v>195.98</v>
      </c>
      <c r="H1246" t="s">
        <v>397</v>
      </c>
      <c r="I1246" t="s">
        <v>397</v>
      </c>
      <c r="J1246">
        <v>4402</v>
      </c>
      <c r="K1246">
        <v>3.65</v>
      </c>
      <c r="L1246">
        <v>35</v>
      </c>
      <c r="M1246">
        <v>0.22</v>
      </c>
    </row>
    <row r="1247" spans="1:13">
      <c r="A1247" s="28">
        <v>145720</v>
      </c>
      <c r="B1247" t="s">
        <v>1387</v>
      </c>
      <c r="C1247">
        <v>135700</v>
      </c>
      <c r="D1247">
        <v>2500</v>
      </c>
      <c r="E1247">
        <v>1.88</v>
      </c>
      <c r="F1247">
        <v>9980</v>
      </c>
      <c r="G1247">
        <v>13.6</v>
      </c>
      <c r="H1247">
        <v>11153</v>
      </c>
      <c r="I1247">
        <v>12.17</v>
      </c>
      <c r="J1247">
        <v>43354</v>
      </c>
      <c r="K1247">
        <v>3.13</v>
      </c>
      <c r="L1247">
        <v>300</v>
      </c>
      <c r="M1247">
        <v>0.22</v>
      </c>
    </row>
    <row r="1248" spans="1:13">
      <c r="A1248" s="28">
        <v>101160</v>
      </c>
      <c r="B1248" t="s">
        <v>1388</v>
      </c>
      <c r="C1248">
        <v>22900</v>
      </c>
      <c r="D1248">
        <v>50</v>
      </c>
      <c r="E1248">
        <v>0.22</v>
      </c>
      <c r="F1248">
        <v>2514</v>
      </c>
      <c r="G1248">
        <v>9.11</v>
      </c>
      <c r="H1248" t="s">
        <v>397</v>
      </c>
      <c r="I1248" t="s">
        <v>397</v>
      </c>
      <c r="J1248">
        <v>11274</v>
      </c>
      <c r="K1248">
        <v>2.0299999999999998</v>
      </c>
      <c r="L1248">
        <v>50</v>
      </c>
      <c r="M1248">
        <v>0.22</v>
      </c>
    </row>
    <row r="1249" spans="1:13">
      <c r="A1249" s="28">
        <v>290650</v>
      </c>
      <c r="B1249" t="s">
        <v>1389</v>
      </c>
      <c r="C1249">
        <v>23200</v>
      </c>
      <c r="D1249">
        <v>-650</v>
      </c>
      <c r="E1249">
        <v>-2.73</v>
      </c>
      <c r="F1249">
        <v>200</v>
      </c>
      <c r="G1249">
        <v>116</v>
      </c>
      <c r="H1249" t="s">
        <v>397</v>
      </c>
      <c r="I1249" t="s">
        <v>397</v>
      </c>
      <c r="J1249">
        <v>4318</v>
      </c>
      <c r="K1249">
        <v>5.37</v>
      </c>
      <c r="L1249">
        <v>50</v>
      </c>
      <c r="M1249">
        <v>0.22</v>
      </c>
    </row>
    <row r="1250" spans="1:13">
      <c r="A1250" s="28">
        <v>42700</v>
      </c>
      <c r="B1250" t="s">
        <v>1390</v>
      </c>
      <c r="C1250">
        <v>96200</v>
      </c>
      <c r="D1250">
        <v>-2700</v>
      </c>
      <c r="E1250">
        <v>-2.73</v>
      </c>
      <c r="F1250">
        <v>939</v>
      </c>
      <c r="G1250">
        <v>102.45</v>
      </c>
      <c r="H1250">
        <v>1515</v>
      </c>
      <c r="I1250">
        <v>63.51</v>
      </c>
      <c r="J1250">
        <v>4008</v>
      </c>
      <c r="K1250">
        <v>24</v>
      </c>
      <c r="L1250">
        <v>200</v>
      </c>
      <c r="M1250">
        <v>0.21</v>
      </c>
    </row>
    <row r="1251" spans="1:13">
      <c r="A1251" s="28">
        <v>68270</v>
      </c>
      <c r="B1251" t="s">
        <v>1391</v>
      </c>
      <c r="C1251">
        <v>180800</v>
      </c>
      <c r="D1251">
        <v>1400</v>
      </c>
      <c r="E1251">
        <v>0.78</v>
      </c>
      <c r="F1251">
        <v>3751</v>
      </c>
      <c r="G1251">
        <v>48.2</v>
      </c>
      <c r="H1251">
        <v>3406</v>
      </c>
      <c r="I1251">
        <v>53.08</v>
      </c>
      <c r="J1251">
        <v>28937</v>
      </c>
      <c r="K1251">
        <v>6.25</v>
      </c>
      <c r="L1251">
        <v>375</v>
      </c>
      <c r="M1251">
        <v>0.21</v>
      </c>
    </row>
    <row r="1252" spans="1:13">
      <c r="A1252" s="28">
        <v>39290</v>
      </c>
      <c r="B1252" t="s">
        <v>1392</v>
      </c>
      <c r="C1252">
        <v>9780</v>
      </c>
      <c r="D1252">
        <v>-120</v>
      </c>
      <c r="E1252">
        <v>-1.21</v>
      </c>
      <c r="F1252">
        <v>171</v>
      </c>
      <c r="G1252">
        <v>57.19</v>
      </c>
      <c r="H1252" t="s">
        <v>397</v>
      </c>
      <c r="I1252" t="s">
        <v>397</v>
      </c>
      <c r="J1252">
        <v>7237</v>
      </c>
      <c r="K1252">
        <v>1.35</v>
      </c>
      <c r="L1252">
        <v>20</v>
      </c>
      <c r="M1252">
        <v>0.2</v>
      </c>
    </row>
    <row r="1253" spans="1:13">
      <c r="A1253" s="28">
        <v>4100</v>
      </c>
      <c r="B1253" t="s">
        <v>1393</v>
      </c>
      <c r="C1253">
        <v>2690</v>
      </c>
      <c r="D1253">
        <v>-25</v>
      </c>
      <c r="E1253">
        <v>-0.92</v>
      </c>
      <c r="F1253" t="s">
        <v>397</v>
      </c>
      <c r="G1253" t="s">
        <v>397</v>
      </c>
      <c r="H1253" t="s">
        <v>397</v>
      </c>
      <c r="I1253" t="s">
        <v>397</v>
      </c>
      <c r="J1253">
        <v>3058</v>
      </c>
      <c r="K1253">
        <v>0.88</v>
      </c>
      <c r="L1253">
        <v>5</v>
      </c>
      <c r="M1253">
        <v>0.19</v>
      </c>
    </row>
    <row r="1254" spans="1:13">
      <c r="A1254" s="28">
        <v>2710</v>
      </c>
      <c r="B1254" t="s">
        <v>1394</v>
      </c>
      <c r="C1254">
        <v>62700</v>
      </c>
      <c r="D1254">
        <v>-500</v>
      </c>
      <c r="E1254">
        <v>-0.79</v>
      </c>
      <c r="F1254">
        <v>1239</v>
      </c>
      <c r="G1254">
        <v>50.61</v>
      </c>
      <c r="H1254">
        <v>1297</v>
      </c>
      <c r="I1254">
        <v>48.34</v>
      </c>
      <c r="J1254">
        <v>8127</v>
      </c>
      <c r="K1254">
        <v>7.72</v>
      </c>
      <c r="L1254">
        <v>120</v>
      </c>
      <c r="M1254">
        <v>0.19</v>
      </c>
    </row>
    <row r="1255" spans="1:13">
      <c r="A1255" s="28">
        <v>11700</v>
      </c>
      <c r="B1255" t="s">
        <v>1395</v>
      </c>
      <c r="C1255">
        <v>5240</v>
      </c>
      <c r="D1255">
        <v>-160</v>
      </c>
      <c r="E1255">
        <v>-2.96</v>
      </c>
      <c r="F1255" t="s">
        <v>397</v>
      </c>
      <c r="G1255" t="s">
        <v>397</v>
      </c>
      <c r="H1255" t="s">
        <v>397</v>
      </c>
      <c r="I1255" t="s">
        <v>397</v>
      </c>
      <c r="J1255">
        <v>2861</v>
      </c>
      <c r="K1255">
        <v>1.83</v>
      </c>
      <c r="L1255">
        <v>10</v>
      </c>
      <c r="M1255">
        <v>0.19</v>
      </c>
    </row>
    <row r="1256" spans="1:13">
      <c r="A1256" s="28">
        <v>189300</v>
      </c>
      <c r="B1256" t="s">
        <v>1396</v>
      </c>
      <c r="C1256">
        <v>56100</v>
      </c>
      <c r="D1256">
        <v>-1700</v>
      </c>
      <c r="E1256">
        <v>-2.94</v>
      </c>
      <c r="F1256">
        <v>1736</v>
      </c>
      <c r="G1256">
        <v>32.32</v>
      </c>
      <c r="H1256">
        <v>3497</v>
      </c>
      <c r="I1256">
        <v>16.04</v>
      </c>
      <c r="J1256">
        <v>19326</v>
      </c>
      <c r="K1256">
        <v>2.9</v>
      </c>
      <c r="L1256">
        <v>100</v>
      </c>
      <c r="M1256">
        <v>0.18</v>
      </c>
    </row>
    <row r="1257" spans="1:13">
      <c r="A1257" s="28">
        <v>67310</v>
      </c>
      <c r="B1257" t="s">
        <v>1397</v>
      </c>
      <c r="C1257">
        <v>27700</v>
      </c>
      <c r="D1257">
        <v>-550</v>
      </c>
      <c r="E1257">
        <v>-1.95</v>
      </c>
      <c r="F1257">
        <v>66</v>
      </c>
      <c r="G1257">
        <v>419.7</v>
      </c>
      <c r="H1257">
        <v>2503</v>
      </c>
      <c r="I1257">
        <v>11.07</v>
      </c>
      <c r="J1257">
        <v>5511</v>
      </c>
      <c r="K1257">
        <v>5.03</v>
      </c>
      <c r="L1257">
        <v>50</v>
      </c>
      <c r="M1257">
        <v>0.18</v>
      </c>
    </row>
    <row r="1258" spans="1:13">
      <c r="A1258" s="28">
        <v>247540</v>
      </c>
      <c r="B1258" t="s">
        <v>1398</v>
      </c>
      <c r="C1258">
        <v>256500</v>
      </c>
      <c r="D1258">
        <v>-10000</v>
      </c>
      <c r="E1258">
        <v>-3.75</v>
      </c>
      <c r="F1258">
        <v>2881</v>
      </c>
      <c r="G1258">
        <v>89.03</v>
      </c>
      <c r="H1258">
        <v>1729</v>
      </c>
      <c r="I1258">
        <v>148.31</v>
      </c>
      <c r="J1258">
        <v>13962</v>
      </c>
      <c r="K1258">
        <v>18.37</v>
      </c>
      <c r="L1258">
        <v>450</v>
      </c>
      <c r="M1258">
        <v>0.18</v>
      </c>
    </row>
    <row r="1259" spans="1:13">
      <c r="A1259" s="28">
        <v>4105</v>
      </c>
      <c r="B1259" t="s">
        <v>1399</v>
      </c>
      <c r="C1259">
        <v>5470</v>
      </c>
      <c r="D1259">
        <v>80</v>
      </c>
      <c r="E1259">
        <v>1.48</v>
      </c>
      <c r="F1259" t="s">
        <v>397</v>
      </c>
      <c r="G1259" t="s">
        <v>397</v>
      </c>
      <c r="H1259" t="s">
        <v>397</v>
      </c>
      <c r="I1259" t="s">
        <v>397</v>
      </c>
      <c r="J1259" t="s">
        <v>397</v>
      </c>
      <c r="K1259" t="s">
        <v>397</v>
      </c>
      <c r="L1259">
        <v>10</v>
      </c>
      <c r="M1259">
        <v>0.18</v>
      </c>
    </row>
    <row r="1260" spans="1:13">
      <c r="A1260" s="28">
        <v>500</v>
      </c>
      <c r="B1260" t="s">
        <v>1400</v>
      </c>
      <c r="C1260">
        <v>28450</v>
      </c>
      <c r="D1260">
        <v>-500</v>
      </c>
      <c r="E1260">
        <v>-1.73</v>
      </c>
      <c r="F1260">
        <v>2350</v>
      </c>
      <c r="G1260">
        <v>12.11</v>
      </c>
      <c r="H1260" t="s">
        <v>397</v>
      </c>
      <c r="I1260" t="s">
        <v>397</v>
      </c>
      <c r="J1260">
        <v>47277</v>
      </c>
      <c r="K1260">
        <v>0.6</v>
      </c>
      <c r="L1260">
        <v>50</v>
      </c>
      <c r="M1260">
        <v>0.18</v>
      </c>
    </row>
    <row r="1261" spans="1:13">
      <c r="A1261" s="28">
        <v>417200</v>
      </c>
      <c r="B1261" t="s">
        <v>1401</v>
      </c>
      <c r="C1261">
        <v>25400</v>
      </c>
      <c r="D1261">
        <v>-450</v>
      </c>
      <c r="E1261">
        <v>-1.74</v>
      </c>
      <c r="F1261">
        <v>164</v>
      </c>
      <c r="G1261">
        <v>154.88</v>
      </c>
      <c r="H1261" t="s">
        <v>397</v>
      </c>
      <c r="I1261" t="s">
        <v>397</v>
      </c>
      <c r="J1261">
        <v>1877</v>
      </c>
      <c r="K1261">
        <v>13.53</v>
      </c>
      <c r="L1261">
        <v>45</v>
      </c>
      <c r="M1261">
        <v>0.18</v>
      </c>
    </row>
    <row r="1262" spans="1:13">
      <c r="A1262" s="28">
        <v>121600</v>
      </c>
      <c r="B1262" t="s">
        <v>1402</v>
      </c>
      <c r="C1262">
        <v>143100</v>
      </c>
      <c r="D1262">
        <v>4000</v>
      </c>
      <c r="E1262">
        <v>2.88</v>
      </c>
      <c r="F1262">
        <v>1811</v>
      </c>
      <c r="G1262">
        <v>79.02</v>
      </c>
      <c r="H1262">
        <v>2145</v>
      </c>
      <c r="I1262">
        <v>66.72</v>
      </c>
      <c r="J1262">
        <v>18750</v>
      </c>
      <c r="K1262">
        <v>7.63</v>
      </c>
      <c r="L1262">
        <v>250</v>
      </c>
      <c r="M1262">
        <v>0.17</v>
      </c>
    </row>
    <row r="1263" spans="1:13">
      <c r="A1263" s="28">
        <v>3920</v>
      </c>
      <c r="B1263" t="s">
        <v>1403</v>
      </c>
      <c r="C1263">
        <v>600000</v>
      </c>
      <c r="D1263">
        <v>12000</v>
      </c>
      <c r="E1263">
        <v>2.04</v>
      </c>
      <c r="F1263" t="s">
        <v>397</v>
      </c>
      <c r="G1263" t="s">
        <v>397</v>
      </c>
      <c r="H1263" t="s">
        <v>397</v>
      </c>
      <c r="I1263" t="s">
        <v>397</v>
      </c>
      <c r="J1263">
        <v>1079345</v>
      </c>
      <c r="K1263">
        <v>0.56000000000000005</v>
      </c>
      <c r="L1263">
        <v>1000</v>
      </c>
      <c r="M1263">
        <v>0.17</v>
      </c>
    </row>
    <row r="1264" spans="1:13">
      <c r="A1264" s="28">
        <v>372170</v>
      </c>
      <c r="B1264" t="s">
        <v>1404</v>
      </c>
      <c r="C1264">
        <v>90300</v>
      </c>
      <c r="D1264">
        <v>-4700</v>
      </c>
      <c r="E1264">
        <v>-4.95</v>
      </c>
      <c r="F1264">
        <v>3790</v>
      </c>
      <c r="G1264">
        <v>23.83</v>
      </c>
      <c r="H1264" t="s">
        <v>397</v>
      </c>
      <c r="I1264" t="s">
        <v>397</v>
      </c>
      <c r="J1264">
        <v>17264</v>
      </c>
      <c r="K1264">
        <v>5.23</v>
      </c>
      <c r="L1264">
        <v>150</v>
      </c>
      <c r="M1264">
        <v>0.17</v>
      </c>
    </row>
    <row r="1265" spans="1:13">
      <c r="A1265" s="28">
        <v>9520</v>
      </c>
      <c r="B1265" t="s">
        <v>1405</v>
      </c>
      <c r="C1265">
        <v>23600</v>
      </c>
      <c r="D1265">
        <v>-250</v>
      </c>
      <c r="E1265">
        <v>-1.05</v>
      </c>
      <c r="F1265">
        <v>116</v>
      </c>
      <c r="G1265">
        <v>203.45</v>
      </c>
      <c r="H1265" t="s">
        <v>397</v>
      </c>
      <c r="I1265" t="s">
        <v>397</v>
      </c>
      <c r="J1265">
        <v>2752</v>
      </c>
      <c r="K1265">
        <v>8.58</v>
      </c>
      <c r="L1265">
        <v>37</v>
      </c>
      <c r="M1265">
        <v>0.16</v>
      </c>
    </row>
    <row r="1266" spans="1:13">
      <c r="A1266" s="28">
        <v>128940</v>
      </c>
      <c r="B1266" t="s">
        <v>1406</v>
      </c>
      <c r="C1266">
        <v>321500</v>
      </c>
      <c r="D1266">
        <v>-11500</v>
      </c>
      <c r="E1266">
        <v>-3.45</v>
      </c>
      <c r="F1266">
        <v>6523</v>
      </c>
      <c r="G1266">
        <v>49.29</v>
      </c>
      <c r="H1266">
        <v>12018</v>
      </c>
      <c r="I1266">
        <v>26.75</v>
      </c>
      <c r="J1266">
        <v>68808</v>
      </c>
      <c r="K1266">
        <v>4.67</v>
      </c>
      <c r="L1266">
        <v>500</v>
      </c>
      <c r="M1266">
        <v>0.16</v>
      </c>
    </row>
    <row r="1267" spans="1:13">
      <c r="A1267" s="28">
        <v>14915</v>
      </c>
      <c r="B1267" t="s">
        <v>1407</v>
      </c>
      <c r="C1267">
        <v>6220</v>
      </c>
      <c r="D1267">
        <v>-120</v>
      </c>
      <c r="E1267">
        <v>-1.89</v>
      </c>
      <c r="F1267" t="s">
        <v>397</v>
      </c>
      <c r="G1267" t="s">
        <v>397</v>
      </c>
      <c r="H1267" t="s">
        <v>397</v>
      </c>
      <c r="I1267" t="s">
        <v>397</v>
      </c>
      <c r="J1267" t="s">
        <v>397</v>
      </c>
      <c r="K1267" t="s">
        <v>397</v>
      </c>
      <c r="L1267">
        <v>10</v>
      </c>
      <c r="M1267">
        <v>0.16</v>
      </c>
    </row>
    <row r="1268" spans="1:13">
      <c r="A1268" s="28">
        <v>22100</v>
      </c>
      <c r="B1268" t="s">
        <v>1408</v>
      </c>
      <c r="C1268">
        <v>54300</v>
      </c>
      <c r="D1268">
        <v>-2700</v>
      </c>
      <c r="E1268">
        <v>-4.74</v>
      </c>
      <c r="F1268">
        <v>300</v>
      </c>
      <c r="G1268">
        <v>181</v>
      </c>
      <c r="H1268" t="s">
        <v>397</v>
      </c>
      <c r="I1268" t="s">
        <v>397</v>
      </c>
      <c r="J1268">
        <v>2715</v>
      </c>
      <c r="K1268">
        <v>20</v>
      </c>
      <c r="L1268">
        <v>75</v>
      </c>
      <c r="M1268">
        <v>0.14000000000000001</v>
      </c>
    </row>
    <row r="1269" spans="1:13">
      <c r="A1269" s="28">
        <v>138040</v>
      </c>
      <c r="B1269" t="s">
        <v>1409</v>
      </c>
      <c r="C1269">
        <v>83200</v>
      </c>
      <c r="D1269">
        <v>-2100</v>
      </c>
      <c r="E1269">
        <v>-2.46</v>
      </c>
      <c r="F1269">
        <v>8406</v>
      </c>
      <c r="G1269">
        <v>9.9</v>
      </c>
      <c r="H1269">
        <v>11135</v>
      </c>
      <c r="I1269">
        <v>7.47</v>
      </c>
      <c r="J1269">
        <v>27050</v>
      </c>
      <c r="K1269">
        <v>3.08</v>
      </c>
      <c r="L1269">
        <v>105</v>
      </c>
      <c r="M1269">
        <v>0.13</v>
      </c>
    </row>
    <row r="1270" spans="1:13">
      <c r="A1270" s="28">
        <v>65350</v>
      </c>
      <c r="B1270" t="s">
        <v>1410</v>
      </c>
      <c r="C1270">
        <v>101400</v>
      </c>
      <c r="D1270">
        <v>500</v>
      </c>
      <c r="E1270">
        <v>0.5</v>
      </c>
      <c r="F1270">
        <v>627</v>
      </c>
      <c r="G1270">
        <v>161.72</v>
      </c>
      <c r="H1270" t="s">
        <v>397</v>
      </c>
      <c r="I1270" t="s">
        <v>397</v>
      </c>
      <c r="J1270">
        <v>6076</v>
      </c>
      <c r="K1270">
        <v>16.690000000000001</v>
      </c>
      <c r="L1270">
        <v>120</v>
      </c>
      <c r="M1270">
        <v>0.12</v>
      </c>
    </row>
    <row r="1271" spans="1:13">
      <c r="A1271" s="28">
        <v>35720</v>
      </c>
      <c r="B1271" t="s">
        <v>1411</v>
      </c>
      <c r="C1271">
        <v>54100</v>
      </c>
      <c r="D1271">
        <v>-800</v>
      </c>
      <c r="E1271">
        <v>-1.46</v>
      </c>
      <c r="F1271">
        <v>3106</v>
      </c>
      <c r="G1271">
        <v>17.420000000000002</v>
      </c>
      <c r="H1271">
        <v>1116</v>
      </c>
      <c r="I1271">
        <v>48.48</v>
      </c>
      <c r="J1271">
        <v>22893</v>
      </c>
      <c r="K1271">
        <v>2.36</v>
      </c>
      <c r="L1271">
        <v>60</v>
      </c>
      <c r="M1271">
        <v>0.11</v>
      </c>
    </row>
    <row r="1272" spans="1:13">
      <c r="A1272" s="28">
        <v>78600</v>
      </c>
      <c r="B1272" t="s">
        <v>1412</v>
      </c>
      <c r="C1272">
        <v>90500</v>
      </c>
      <c r="D1272">
        <v>-4500</v>
      </c>
      <c r="E1272">
        <v>-4.74</v>
      </c>
      <c r="F1272">
        <v>67</v>
      </c>
      <c r="G1272">
        <v>1350.75</v>
      </c>
      <c r="H1272">
        <v>846</v>
      </c>
      <c r="I1272">
        <v>106.95</v>
      </c>
      <c r="J1272">
        <v>8056</v>
      </c>
      <c r="K1272">
        <v>11.23</v>
      </c>
      <c r="L1272">
        <v>100</v>
      </c>
      <c r="M1272">
        <v>0.11</v>
      </c>
    </row>
    <row r="1273" spans="1:13">
      <c r="A1273" s="28">
        <v>335890</v>
      </c>
      <c r="B1273" t="s">
        <v>1413</v>
      </c>
      <c r="C1273">
        <v>9220</v>
      </c>
      <c r="D1273">
        <v>-180</v>
      </c>
      <c r="E1273">
        <v>-1.91</v>
      </c>
      <c r="F1273">
        <v>198</v>
      </c>
      <c r="G1273">
        <v>46.57</v>
      </c>
      <c r="H1273">
        <v>537</v>
      </c>
      <c r="I1273">
        <v>17.16</v>
      </c>
      <c r="J1273">
        <v>670</v>
      </c>
      <c r="K1273">
        <v>13.76</v>
      </c>
      <c r="L1273">
        <v>10</v>
      </c>
      <c r="M1273">
        <v>0.11</v>
      </c>
    </row>
    <row r="1274" spans="1:13">
      <c r="A1274" s="28">
        <v>3670</v>
      </c>
      <c r="B1274" t="s">
        <v>1414</v>
      </c>
      <c r="C1274">
        <v>316500</v>
      </c>
      <c r="D1274">
        <v>-7000</v>
      </c>
      <c r="E1274">
        <v>-2.16</v>
      </c>
      <c r="F1274">
        <v>1527</v>
      </c>
      <c r="G1274">
        <v>207.27</v>
      </c>
      <c r="H1274">
        <v>3004</v>
      </c>
      <c r="I1274">
        <v>105.36</v>
      </c>
      <c r="J1274">
        <v>31922</v>
      </c>
      <c r="K1274">
        <v>9.91</v>
      </c>
      <c r="L1274">
        <v>300</v>
      </c>
      <c r="M1274">
        <v>0.09</v>
      </c>
    </row>
    <row r="1275" spans="1:13">
      <c r="A1275" s="28">
        <v>86520</v>
      </c>
      <c r="B1275" t="s">
        <v>1415</v>
      </c>
      <c r="C1275">
        <v>601000</v>
      </c>
      <c r="D1275">
        <v>-8000</v>
      </c>
      <c r="E1275">
        <v>-1.31</v>
      </c>
      <c r="F1275">
        <v>1431</v>
      </c>
      <c r="G1275">
        <v>419.99</v>
      </c>
      <c r="H1275" t="s">
        <v>397</v>
      </c>
      <c r="I1275" t="s">
        <v>397</v>
      </c>
      <c r="J1275">
        <v>50778</v>
      </c>
      <c r="K1275">
        <v>11.84</v>
      </c>
      <c r="L1275">
        <v>500</v>
      </c>
      <c r="M1275">
        <v>0.08</v>
      </c>
    </row>
    <row r="1276" spans="1:13">
      <c r="A1276" s="28">
        <v>101140</v>
      </c>
      <c r="B1276" t="s">
        <v>1416</v>
      </c>
      <c r="C1276">
        <v>9340</v>
      </c>
      <c r="D1276">
        <v>0</v>
      </c>
      <c r="E1276">
        <v>0</v>
      </c>
      <c r="F1276" t="s">
        <v>397</v>
      </c>
      <c r="G1276" t="s">
        <v>397</v>
      </c>
      <c r="H1276" t="s">
        <v>397</v>
      </c>
      <c r="I1276" t="s">
        <v>397</v>
      </c>
      <c r="J1276">
        <v>14940</v>
      </c>
      <c r="K1276">
        <v>0.63</v>
      </c>
      <c r="L1276">
        <v>0</v>
      </c>
      <c r="M1276">
        <v>0</v>
      </c>
    </row>
    <row r="1277" spans="1:13">
      <c r="A1277" s="28">
        <v>96040</v>
      </c>
      <c r="B1277" t="s">
        <v>1417</v>
      </c>
      <c r="C1277">
        <v>271</v>
      </c>
      <c r="D1277">
        <v>0</v>
      </c>
      <c r="E1277">
        <v>0</v>
      </c>
      <c r="F1277" t="s">
        <v>397</v>
      </c>
      <c r="G1277" t="s">
        <v>397</v>
      </c>
      <c r="H1277" t="s">
        <v>397</v>
      </c>
      <c r="I1277" t="s">
        <v>397</v>
      </c>
      <c r="J1277">
        <v>113</v>
      </c>
      <c r="K1277">
        <v>2.4</v>
      </c>
      <c r="L1277">
        <v>0</v>
      </c>
      <c r="M1277">
        <v>0</v>
      </c>
    </row>
    <row r="1278" spans="1:13">
      <c r="A1278" s="28">
        <v>134060</v>
      </c>
      <c r="B1278" t="s">
        <v>1418</v>
      </c>
      <c r="C1278">
        <v>5020</v>
      </c>
      <c r="D1278">
        <v>95</v>
      </c>
      <c r="E1278">
        <v>1.93</v>
      </c>
      <c r="F1278">
        <v>680</v>
      </c>
      <c r="G1278">
        <v>7.38</v>
      </c>
      <c r="H1278" t="s">
        <v>397</v>
      </c>
      <c r="I1278" t="s">
        <v>397</v>
      </c>
      <c r="J1278">
        <v>5208</v>
      </c>
      <c r="K1278">
        <v>0.96</v>
      </c>
      <c r="L1278">
        <v>0</v>
      </c>
      <c r="M1278">
        <v>0</v>
      </c>
    </row>
    <row r="1279" spans="1:13">
      <c r="A1279" s="28">
        <v>44060</v>
      </c>
      <c r="B1279" t="s">
        <v>1419</v>
      </c>
      <c r="C1279">
        <v>732</v>
      </c>
      <c r="D1279">
        <v>0</v>
      </c>
      <c r="E1279">
        <v>0</v>
      </c>
      <c r="F1279" t="s">
        <v>397</v>
      </c>
      <c r="G1279" t="s">
        <v>397</v>
      </c>
      <c r="H1279" t="s">
        <v>397</v>
      </c>
      <c r="I1279" t="s">
        <v>397</v>
      </c>
      <c r="J1279">
        <v>961</v>
      </c>
      <c r="K1279">
        <v>0.76</v>
      </c>
      <c r="L1279">
        <v>0</v>
      </c>
      <c r="M1279">
        <v>0</v>
      </c>
    </row>
    <row r="1280" spans="1:13">
      <c r="A1280" s="28">
        <v>1840</v>
      </c>
      <c r="B1280" t="s">
        <v>1420</v>
      </c>
      <c r="C1280">
        <v>2890</v>
      </c>
      <c r="D1280">
        <v>-15</v>
      </c>
      <c r="E1280">
        <v>-0.52</v>
      </c>
      <c r="F1280">
        <v>29</v>
      </c>
      <c r="G1280">
        <v>99.66</v>
      </c>
      <c r="H1280" t="s">
        <v>397</v>
      </c>
      <c r="I1280" t="s">
        <v>397</v>
      </c>
      <c r="J1280">
        <v>2371</v>
      </c>
      <c r="K1280">
        <v>1.22</v>
      </c>
      <c r="L1280">
        <v>0</v>
      </c>
      <c r="M1280">
        <v>0</v>
      </c>
    </row>
    <row r="1281" spans="1:13">
      <c r="A1281" s="28">
        <v>760</v>
      </c>
      <c r="B1281" t="s">
        <v>1421</v>
      </c>
      <c r="C1281">
        <v>15080</v>
      </c>
      <c r="D1281">
        <v>0</v>
      </c>
      <c r="E1281">
        <v>0</v>
      </c>
      <c r="F1281">
        <v>18</v>
      </c>
      <c r="G1281">
        <v>837.78</v>
      </c>
      <c r="H1281" t="s">
        <v>397</v>
      </c>
      <c r="I1281" t="s">
        <v>397</v>
      </c>
      <c r="J1281">
        <v>54787</v>
      </c>
      <c r="K1281">
        <v>0.28000000000000003</v>
      </c>
      <c r="L1281">
        <v>0</v>
      </c>
      <c r="M1281">
        <v>0</v>
      </c>
    </row>
    <row r="1282" spans="1:13">
      <c r="A1282" s="28">
        <v>79950</v>
      </c>
      <c r="B1282" t="s">
        <v>1422</v>
      </c>
      <c r="C1282">
        <v>1059</v>
      </c>
      <c r="D1282">
        <v>29</v>
      </c>
      <c r="E1282">
        <v>2.82</v>
      </c>
      <c r="F1282" t="s">
        <v>397</v>
      </c>
      <c r="G1282" t="s">
        <v>397</v>
      </c>
      <c r="H1282" t="s">
        <v>397</v>
      </c>
      <c r="I1282" t="s">
        <v>397</v>
      </c>
      <c r="J1282">
        <v>2407</v>
      </c>
      <c r="K1282">
        <v>0.44</v>
      </c>
      <c r="L1282">
        <v>0</v>
      </c>
      <c r="M1282">
        <v>0</v>
      </c>
    </row>
    <row r="1283" spans="1:13">
      <c r="A1283" s="28">
        <v>24810</v>
      </c>
      <c r="B1283" t="s">
        <v>1423</v>
      </c>
      <c r="C1283">
        <v>899</v>
      </c>
      <c r="D1283">
        <v>0</v>
      </c>
      <c r="E1283">
        <v>0</v>
      </c>
      <c r="F1283" t="s">
        <v>397</v>
      </c>
      <c r="G1283" t="s">
        <v>397</v>
      </c>
      <c r="H1283" t="s">
        <v>397</v>
      </c>
      <c r="I1283" t="s">
        <v>397</v>
      </c>
      <c r="J1283">
        <v>1779</v>
      </c>
      <c r="K1283">
        <v>0.51</v>
      </c>
      <c r="L1283">
        <v>0</v>
      </c>
      <c r="M1283">
        <v>0</v>
      </c>
    </row>
    <row r="1284" spans="1:13">
      <c r="A1284" s="28">
        <v>263050</v>
      </c>
      <c r="B1284" t="s">
        <v>1424</v>
      </c>
      <c r="C1284">
        <v>2770</v>
      </c>
      <c r="D1284">
        <v>-65</v>
      </c>
      <c r="E1284">
        <v>-2.29</v>
      </c>
      <c r="F1284" t="s">
        <v>397</v>
      </c>
      <c r="G1284" t="s">
        <v>397</v>
      </c>
      <c r="H1284" t="s">
        <v>397</v>
      </c>
      <c r="I1284" t="s">
        <v>397</v>
      </c>
      <c r="J1284">
        <v>2387</v>
      </c>
      <c r="K1284">
        <v>1.1599999999999999</v>
      </c>
      <c r="L1284">
        <v>0</v>
      </c>
      <c r="M1284">
        <v>0</v>
      </c>
    </row>
    <row r="1285" spans="1:13">
      <c r="A1285" s="28">
        <v>352940</v>
      </c>
      <c r="B1285" t="s">
        <v>1425</v>
      </c>
      <c r="C1285">
        <v>3015</v>
      </c>
      <c r="D1285">
        <v>-10</v>
      </c>
      <c r="E1285">
        <v>-0.33</v>
      </c>
      <c r="F1285" t="s">
        <v>397</v>
      </c>
      <c r="G1285" t="s">
        <v>397</v>
      </c>
      <c r="H1285" t="s">
        <v>397</v>
      </c>
      <c r="I1285" t="s">
        <v>397</v>
      </c>
      <c r="J1285">
        <v>4278</v>
      </c>
      <c r="K1285">
        <v>0.7</v>
      </c>
      <c r="L1285">
        <v>0</v>
      </c>
      <c r="M1285">
        <v>0</v>
      </c>
    </row>
    <row r="1286" spans="1:13">
      <c r="A1286" s="28">
        <v>14990</v>
      </c>
      <c r="B1286" t="s">
        <v>1426</v>
      </c>
      <c r="C1286">
        <v>732</v>
      </c>
      <c r="D1286">
        <v>-5</v>
      </c>
      <c r="E1286">
        <v>-0.68</v>
      </c>
      <c r="F1286" t="s">
        <v>397</v>
      </c>
      <c r="G1286" t="s">
        <v>397</v>
      </c>
      <c r="H1286" t="s">
        <v>397</v>
      </c>
      <c r="I1286" t="s">
        <v>397</v>
      </c>
      <c r="J1286">
        <v>537</v>
      </c>
      <c r="K1286">
        <v>1.36</v>
      </c>
      <c r="L1286">
        <v>0</v>
      </c>
      <c r="M1286">
        <v>0</v>
      </c>
    </row>
    <row r="1287" spans="1:13">
      <c r="A1287" s="28">
        <v>271940</v>
      </c>
      <c r="B1287" t="s">
        <v>1427</v>
      </c>
      <c r="C1287">
        <v>24350</v>
      </c>
      <c r="D1287">
        <v>500</v>
      </c>
      <c r="E1287">
        <v>2.1</v>
      </c>
      <c r="F1287">
        <v>194</v>
      </c>
      <c r="G1287">
        <v>125.52</v>
      </c>
      <c r="H1287">
        <v>61</v>
      </c>
      <c r="I1287">
        <v>397.41</v>
      </c>
      <c r="J1287">
        <v>8667</v>
      </c>
      <c r="K1287">
        <v>2.81</v>
      </c>
      <c r="L1287">
        <v>0</v>
      </c>
      <c r="M1287">
        <v>0</v>
      </c>
    </row>
    <row r="1288" spans="1:13">
      <c r="A1288" s="28">
        <v>389020</v>
      </c>
      <c r="B1288" t="s">
        <v>1428</v>
      </c>
      <c r="C1288">
        <v>73900</v>
      </c>
      <c r="D1288">
        <v>-1400</v>
      </c>
      <c r="E1288">
        <v>-1.86</v>
      </c>
      <c r="F1288">
        <v>118</v>
      </c>
      <c r="G1288">
        <v>626.27</v>
      </c>
      <c r="H1288">
        <v>2340</v>
      </c>
      <c r="I1288">
        <v>31.59</v>
      </c>
      <c r="J1288">
        <v>3592</v>
      </c>
      <c r="K1288">
        <v>20.57</v>
      </c>
      <c r="L1288">
        <v>0</v>
      </c>
      <c r="M1288">
        <v>0</v>
      </c>
    </row>
    <row r="1289" spans="1:13">
      <c r="A1289" s="28">
        <v>4700</v>
      </c>
      <c r="B1289" t="s">
        <v>1429</v>
      </c>
      <c r="C1289">
        <v>52300</v>
      </c>
      <c r="D1289">
        <v>-500</v>
      </c>
      <c r="E1289">
        <v>-0.95</v>
      </c>
      <c r="F1289">
        <v>1706</v>
      </c>
      <c r="G1289">
        <v>30.66</v>
      </c>
      <c r="H1289" t="s">
        <v>397</v>
      </c>
      <c r="I1289" t="s">
        <v>397</v>
      </c>
      <c r="J1289">
        <v>106403</v>
      </c>
      <c r="K1289">
        <v>0.49</v>
      </c>
      <c r="L1289">
        <v>0</v>
      </c>
      <c r="M1289">
        <v>0</v>
      </c>
    </row>
    <row r="1290" spans="1:13">
      <c r="A1290" s="28">
        <v>49550</v>
      </c>
      <c r="B1290" t="s">
        <v>1430</v>
      </c>
      <c r="C1290">
        <v>3690</v>
      </c>
      <c r="D1290">
        <v>0</v>
      </c>
      <c r="E1290">
        <v>0</v>
      </c>
      <c r="F1290">
        <v>202</v>
      </c>
      <c r="G1290">
        <v>18.27</v>
      </c>
      <c r="H1290" t="s">
        <v>397</v>
      </c>
      <c r="I1290" t="s">
        <v>397</v>
      </c>
      <c r="J1290">
        <v>3570</v>
      </c>
      <c r="K1290">
        <v>1.03</v>
      </c>
      <c r="L1290">
        <v>0</v>
      </c>
      <c r="M1290">
        <v>0</v>
      </c>
    </row>
    <row r="1291" spans="1:13">
      <c r="A1291" s="28">
        <v>389470</v>
      </c>
      <c r="B1291" t="s">
        <v>1431</v>
      </c>
      <c r="C1291">
        <v>12850</v>
      </c>
      <c r="D1291">
        <v>-170</v>
      </c>
      <c r="E1291">
        <v>-1.31</v>
      </c>
      <c r="F1291" t="s">
        <v>397</v>
      </c>
      <c r="G1291" t="s">
        <v>397</v>
      </c>
      <c r="H1291" t="s">
        <v>397</v>
      </c>
      <c r="I1291" t="s">
        <v>397</v>
      </c>
      <c r="J1291">
        <v>3644</v>
      </c>
      <c r="K1291">
        <v>3.53</v>
      </c>
      <c r="L1291">
        <v>0</v>
      </c>
      <c r="M1291">
        <v>0</v>
      </c>
    </row>
    <row r="1292" spans="1:13">
      <c r="A1292" s="28">
        <v>19540</v>
      </c>
      <c r="B1292" t="s">
        <v>1432</v>
      </c>
      <c r="C1292">
        <v>4650</v>
      </c>
      <c r="D1292">
        <v>-65</v>
      </c>
      <c r="E1292">
        <v>-1.38</v>
      </c>
      <c r="F1292" t="s">
        <v>397</v>
      </c>
      <c r="G1292" t="s">
        <v>397</v>
      </c>
      <c r="H1292" t="s">
        <v>397</v>
      </c>
      <c r="I1292" t="s">
        <v>397</v>
      </c>
      <c r="J1292">
        <v>7050</v>
      </c>
      <c r="K1292">
        <v>0.66</v>
      </c>
      <c r="L1292">
        <v>0</v>
      </c>
      <c r="M1292">
        <v>0</v>
      </c>
    </row>
    <row r="1293" spans="1:13">
      <c r="A1293" s="28">
        <v>1550</v>
      </c>
      <c r="B1293" t="s">
        <v>1433</v>
      </c>
      <c r="C1293">
        <v>12960</v>
      </c>
      <c r="D1293">
        <v>30</v>
      </c>
      <c r="E1293">
        <v>0.23</v>
      </c>
      <c r="F1293">
        <v>1664</v>
      </c>
      <c r="G1293">
        <v>7.79</v>
      </c>
      <c r="H1293" t="s">
        <v>397</v>
      </c>
      <c r="I1293" t="s">
        <v>397</v>
      </c>
      <c r="J1293">
        <v>11842</v>
      </c>
      <c r="K1293">
        <v>1.0900000000000001</v>
      </c>
      <c r="L1293">
        <v>0</v>
      </c>
      <c r="M1293">
        <v>0</v>
      </c>
    </row>
    <row r="1294" spans="1:13">
      <c r="A1294" s="28">
        <v>48530</v>
      </c>
      <c r="B1294" t="s">
        <v>1434</v>
      </c>
      <c r="C1294">
        <v>7210</v>
      </c>
      <c r="D1294">
        <v>-240</v>
      </c>
      <c r="E1294">
        <v>-3.22</v>
      </c>
      <c r="F1294">
        <v>168</v>
      </c>
      <c r="G1294">
        <v>42.92</v>
      </c>
      <c r="H1294" t="s">
        <v>397</v>
      </c>
      <c r="I1294" t="s">
        <v>397</v>
      </c>
      <c r="J1294">
        <v>3199</v>
      </c>
      <c r="K1294">
        <v>2.25</v>
      </c>
      <c r="L1294">
        <v>0</v>
      </c>
      <c r="M1294">
        <v>0</v>
      </c>
    </row>
    <row r="1295" spans="1:13">
      <c r="A1295" s="28">
        <v>101930</v>
      </c>
      <c r="B1295" t="s">
        <v>1435</v>
      </c>
      <c r="C1295">
        <v>12280</v>
      </c>
      <c r="D1295">
        <v>-20</v>
      </c>
      <c r="E1295">
        <v>-0.16</v>
      </c>
      <c r="F1295" t="s">
        <v>397</v>
      </c>
      <c r="G1295" t="s">
        <v>397</v>
      </c>
      <c r="H1295" t="s">
        <v>397</v>
      </c>
      <c r="I1295" t="s">
        <v>397</v>
      </c>
      <c r="J1295">
        <v>18255</v>
      </c>
      <c r="K1295">
        <v>0.67</v>
      </c>
      <c r="L1295">
        <v>0</v>
      </c>
      <c r="M1295">
        <v>0</v>
      </c>
    </row>
    <row r="1296" spans="1:13">
      <c r="A1296" s="28">
        <v>249420</v>
      </c>
      <c r="B1296" t="s">
        <v>1436</v>
      </c>
      <c r="C1296">
        <v>15890</v>
      </c>
      <c r="D1296">
        <v>10</v>
      </c>
      <c r="E1296">
        <v>0.06</v>
      </c>
      <c r="F1296" t="s">
        <v>397</v>
      </c>
      <c r="G1296" t="s">
        <v>397</v>
      </c>
      <c r="H1296">
        <v>1229</v>
      </c>
      <c r="I1296">
        <v>12.93</v>
      </c>
      <c r="J1296">
        <v>7140</v>
      </c>
      <c r="K1296">
        <v>2.23</v>
      </c>
      <c r="L1296">
        <v>0</v>
      </c>
      <c r="M1296">
        <v>0</v>
      </c>
    </row>
    <row r="1297" spans="1:13">
      <c r="A1297" s="28">
        <v>56080</v>
      </c>
      <c r="B1297" t="s">
        <v>1437</v>
      </c>
      <c r="C1297">
        <v>9440</v>
      </c>
      <c r="D1297">
        <v>-60</v>
      </c>
      <c r="E1297">
        <v>-0.63</v>
      </c>
      <c r="F1297">
        <v>130</v>
      </c>
      <c r="G1297">
        <v>72.62</v>
      </c>
      <c r="H1297" t="s">
        <v>397</v>
      </c>
      <c r="I1297" t="s">
        <v>397</v>
      </c>
      <c r="J1297">
        <v>1175</v>
      </c>
      <c r="K1297">
        <v>8.0299999999999994</v>
      </c>
      <c r="L1297">
        <v>0</v>
      </c>
      <c r="M1297">
        <v>0</v>
      </c>
    </row>
    <row r="1298" spans="1:13">
      <c r="A1298" s="28">
        <v>63160</v>
      </c>
      <c r="B1298" t="s">
        <v>1438</v>
      </c>
      <c r="C1298">
        <v>24150</v>
      </c>
      <c r="D1298">
        <v>-200</v>
      </c>
      <c r="E1298">
        <v>-0.82</v>
      </c>
      <c r="F1298" t="s">
        <v>397</v>
      </c>
      <c r="G1298" t="s">
        <v>397</v>
      </c>
      <c r="H1298" t="s">
        <v>397</v>
      </c>
      <c r="I1298" t="s">
        <v>397</v>
      </c>
      <c r="J1298">
        <v>26941</v>
      </c>
      <c r="K1298">
        <v>0.9</v>
      </c>
      <c r="L1298">
        <v>0</v>
      </c>
      <c r="M1298">
        <v>0</v>
      </c>
    </row>
    <row r="1299" spans="1:13">
      <c r="A1299" s="28">
        <v>468760</v>
      </c>
      <c r="B1299" t="s">
        <v>1439</v>
      </c>
      <c r="C1299">
        <v>2150</v>
      </c>
      <c r="D1299">
        <v>25</v>
      </c>
      <c r="E1299">
        <v>1.18</v>
      </c>
      <c r="F1299" t="s">
        <v>397</v>
      </c>
      <c r="G1299" t="s">
        <v>397</v>
      </c>
      <c r="H1299" t="s">
        <v>397</v>
      </c>
      <c r="I1299" t="s">
        <v>397</v>
      </c>
      <c r="J1299" t="s">
        <v>397</v>
      </c>
      <c r="K1299" t="s">
        <v>397</v>
      </c>
      <c r="L1299">
        <v>0</v>
      </c>
      <c r="M1299">
        <v>0</v>
      </c>
    </row>
    <row r="1300" spans="1:13">
      <c r="A1300" s="28">
        <v>71200</v>
      </c>
      <c r="B1300" t="s">
        <v>1440</v>
      </c>
      <c r="C1300">
        <v>5370</v>
      </c>
      <c r="D1300">
        <v>-100</v>
      </c>
      <c r="E1300">
        <v>-1.83</v>
      </c>
      <c r="F1300">
        <v>5</v>
      </c>
      <c r="G1300">
        <v>1074</v>
      </c>
      <c r="H1300" t="s">
        <v>397</v>
      </c>
      <c r="I1300" t="s">
        <v>397</v>
      </c>
      <c r="J1300">
        <v>4723</v>
      </c>
      <c r="K1300">
        <v>1.1399999999999999</v>
      </c>
      <c r="L1300">
        <v>0</v>
      </c>
      <c r="M1300">
        <v>0</v>
      </c>
    </row>
    <row r="1301" spans="1:13">
      <c r="A1301" s="28">
        <v>388800</v>
      </c>
      <c r="B1301" t="s">
        <v>1441</v>
      </c>
      <c r="C1301">
        <v>2440</v>
      </c>
      <c r="D1301">
        <v>0</v>
      </c>
      <c r="E1301">
        <v>0</v>
      </c>
      <c r="F1301" t="s">
        <v>397</v>
      </c>
      <c r="G1301" t="s">
        <v>397</v>
      </c>
      <c r="H1301" t="s">
        <v>397</v>
      </c>
      <c r="I1301" t="s">
        <v>397</v>
      </c>
      <c r="J1301" t="s">
        <v>397</v>
      </c>
      <c r="K1301" t="s">
        <v>397</v>
      </c>
      <c r="L1301">
        <v>0</v>
      </c>
      <c r="M1301">
        <v>0</v>
      </c>
    </row>
    <row r="1302" spans="1:13">
      <c r="A1302" s="28">
        <v>413630</v>
      </c>
      <c r="B1302" t="s">
        <v>1442</v>
      </c>
      <c r="C1302">
        <v>3710</v>
      </c>
      <c r="D1302">
        <v>-35</v>
      </c>
      <c r="E1302">
        <v>-0.93</v>
      </c>
      <c r="F1302" t="s">
        <v>397</v>
      </c>
      <c r="G1302" t="s">
        <v>397</v>
      </c>
      <c r="H1302" t="s">
        <v>397</v>
      </c>
      <c r="I1302" t="s">
        <v>397</v>
      </c>
      <c r="J1302" t="s">
        <v>397</v>
      </c>
      <c r="K1302" t="s">
        <v>397</v>
      </c>
      <c r="L1302">
        <v>0</v>
      </c>
      <c r="M1302">
        <v>0</v>
      </c>
    </row>
    <row r="1303" spans="1:13">
      <c r="A1303" s="28">
        <v>442130</v>
      </c>
      <c r="B1303" t="s">
        <v>1443</v>
      </c>
      <c r="C1303">
        <v>2390</v>
      </c>
      <c r="D1303">
        <v>50</v>
      </c>
      <c r="E1303">
        <v>2.14</v>
      </c>
      <c r="F1303" t="s">
        <v>397</v>
      </c>
      <c r="G1303" t="s">
        <v>397</v>
      </c>
      <c r="H1303" t="s">
        <v>397</v>
      </c>
      <c r="I1303" t="s">
        <v>397</v>
      </c>
      <c r="J1303" t="s">
        <v>397</v>
      </c>
      <c r="K1303" t="s">
        <v>397</v>
      </c>
      <c r="L1303">
        <v>0</v>
      </c>
      <c r="M1303">
        <v>0</v>
      </c>
    </row>
    <row r="1304" spans="1:13">
      <c r="A1304" s="28">
        <v>333430</v>
      </c>
      <c r="B1304" t="s">
        <v>1444</v>
      </c>
      <c r="C1304">
        <v>3120</v>
      </c>
      <c r="D1304">
        <v>45</v>
      </c>
      <c r="E1304">
        <v>1.46</v>
      </c>
      <c r="F1304">
        <v>79</v>
      </c>
      <c r="G1304">
        <v>39.49</v>
      </c>
      <c r="H1304" t="s">
        <v>397</v>
      </c>
      <c r="I1304" t="s">
        <v>397</v>
      </c>
      <c r="J1304">
        <v>1091</v>
      </c>
      <c r="K1304">
        <v>2.86</v>
      </c>
      <c r="L1304">
        <v>0</v>
      </c>
      <c r="M1304">
        <v>0</v>
      </c>
    </row>
    <row r="1305" spans="1:13">
      <c r="A1305" s="28">
        <v>175140</v>
      </c>
      <c r="B1305" t="s">
        <v>1445</v>
      </c>
      <c r="C1305">
        <v>4015</v>
      </c>
      <c r="D1305">
        <v>-15</v>
      </c>
      <c r="E1305">
        <v>-0.37</v>
      </c>
      <c r="F1305" t="s">
        <v>397</v>
      </c>
      <c r="G1305" t="s">
        <v>397</v>
      </c>
      <c r="H1305" t="s">
        <v>397</v>
      </c>
      <c r="I1305" t="s">
        <v>397</v>
      </c>
      <c r="J1305">
        <v>2927</v>
      </c>
      <c r="K1305">
        <v>1.37</v>
      </c>
      <c r="L1305">
        <v>0</v>
      </c>
      <c r="M1305">
        <v>0</v>
      </c>
    </row>
    <row r="1306" spans="1:13">
      <c r="A1306" s="28">
        <v>240600</v>
      </c>
      <c r="B1306" t="s">
        <v>1446</v>
      </c>
      <c r="C1306">
        <v>13620</v>
      </c>
      <c r="D1306">
        <v>-290</v>
      </c>
      <c r="E1306">
        <v>-2.08</v>
      </c>
      <c r="F1306">
        <v>285</v>
      </c>
      <c r="G1306">
        <v>47.79</v>
      </c>
      <c r="H1306" t="s">
        <v>397</v>
      </c>
      <c r="I1306" t="s">
        <v>397</v>
      </c>
      <c r="J1306">
        <v>3483</v>
      </c>
      <c r="K1306">
        <v>3.91</v>
      </c>
      <c r="L1306">
        <v>0</v>
      </c>
      <c r="M1306">
        <v>0</v>
      </c>
    </row>
    <row r="1307" spans="1:13">
      <c r="A1307" s="28">
        <v>18470</v>
      </c>
      <c r="B1307" t="s">
        <v>1447</v>
      </c>
      <c r="C1307">
        <v>2030</v>
      </c>
      <c r="D1307">
        <v>5</v>
      </c>
      <c r="E1307">
        <v>0.25</v>
      </c>
      <c r="F1307">
        <v>142</v>
      </c>
      <c r="G1307">
        <v>14.3</v>
      </c>
      <c r="H1307" t="s">
        <v>397</v>
      </c>
      <c r="I1307" t="s">
        <v>397</v>
      </c>
      <c r="J1307">
        <v>1476</v>
      </c>
      <c r="K1307">
        <v>1.38</v>
      </c>
      <c r="L1307">
        <v>0</v>
      </c>
      <c r="M1307">
        <v>0</v>
      </c>
    </row>
    <row r="1308" spans="1:13">
      <c r="A1308" s="28">
        <v>67000</v>
      </c>
      <c r="B1308" t="s">
        <v>1448</v>
      </c>
      <c r="C1308">
        <v>2800</v>
      </c>
      <c r="D1308">
        <v>-35</v>
      </c>
      <c r="E1308">
        <v>-1.23</v>
      </c>
      <c r="F1308">
        <v>47</v>
      </c>
      <c r="G1308">
        <v>59.57</v>
      </c>
      <c r="H1308">
        <v>225</v>
      </c>
      <c r="I1308">
        <v>12.42</v>
      </c>
      <c r="J1308">
        <v>1443</v>
      </c>
      <c r="K1308">
        <v>1.94</v>
      </c>
      <c r="L1308">
        <v>0</v>
      </c>
      <c r="M1308">
        <v>0</v>
      </c>
    </row>
    <row r="1309" spans="1:13">
      <c r="A1309" s="28">
        <v>7110</v>
      </c>
      <c r="B1309" t="s">
        <v>1449</v>
      </c>
      <c r="C1309">
        <v>1082</v>
      </c>
      <c r="D1309">
        <v>-5</v>
      </c>
      <c r="E1309">
        <v>-0.46</v>
      </c>
      <c r="F1309">
        <v>30</v>
      </c>
      <c r="G1309">
        <v>36.07</v>
      </c>
      <c r="H1309" t="s">
        <v>397</v>
      </c>
      <c r="I1309" t="s">
        <v>397</v>
      </c>
      <c r="J1309">
        <v>713</v>
      </c>
      <c r="K1309">
        <v>1.52</v>
      </c>
      <c r="L1309">
        <v>0</v>
      </c>
      <c r="M1309">
        <v>0</v>
      </c>
    </row>
    <row r="1310" spans="1:13">
      <c r="A1310" s="28">
        <v>60150</v>
      </c>
      <c r="B1310" t="s">
        <v>1450</v>
      </c>
      <c r="C1310">
        <v>6810</v>
      </c>
      <c r="D1310">
        <v>-70</v>
      </c>
      <c r="E1310">
        <v>-1.02</v>
      </c>
      <c r="F1310">
        <v>480</v>
      </c>
      <c r="G1310">
        <v>14.19</v>
      </c>
      <c r="H1310" t="s">
        <v>397</v>
      </c>
      <c r="I1310" t="s">
        <v>397</v>
      </c>
      <c r="J1310">
        <v>7627</v>
      </c>
      <c r="K1310">
        <v>0.89</v>
      </c>
      <c r="L1310">
        <v>0</v>
      </c>
      <c r="M1310">
        <v>0</v>
      </c>
    </row>
    <row r="1311" spans="1:13">
      <c r="A1311" s="28">
        <v>150840</v>
      </c>
      <c r="B1311" t="s">
        <v>1451</v>
      </c>
      <c r="C1311">
        <v>5850</v>
      </c>
      <c r="D1311">
        <v>0</v>
      </c>
      <c r="E1311">
        <v>0</v>
      </c>
      <c r="F1311" t="s">
        <v>397</v>
      </c>
      <c r="G1311" t="s">
        <v>397</v>
      </c>
      <c r="H1311" t="s">
        <v>397</v>
      </c>
      <c r="I1311" t="s">
        <v>397</v>
      </c>
      <c r="J1311">
        <v>396</v>
      </c>
      <c r="K1311">
        <v>14.77</v>
      </c>
      <c r="L1311">
        <v>0</v>
      </c>
      <c r="M1311">
        <v>0</v>
      </c>
    </row>
    <row r="1312" spans="1:13">
      <c r="A1312" s="28">
        <v>51370</v>
      </c>
      <c r="B1312" t="s">
        <v>1452</v>
      </c>
      <c r="C1312">
        <v>13400</v>
      </c>
      <c r="D1312">
        <v>-70</v>
      </c>
      <c r="E1312">
        <v>-0.52</v>
      </c>
      <c r="F1312">
        <v>656</v>
      </c>
      <c r="G1312">
        <v>20.43</v>
      </c>
      <c r="H1312">
        <v>1845</v>
      </c>
      <c r="I1312">
        <v>7.26</v>
      </c>
      <c r="J1312">
        <v>8480</v>
      </c>
      <c r="K1312">
        <v>1.58</v>
      </c>
      <c r="L1312">
        <v>0</v>
      </c>
      <c r="M1312">
        <v>0</v>
      </c>
    </row>
    <row r="1313" spans="1:13">
      <c r="A1313" s="28">
        <v>17250</v>
      </c>
      <c r="B1313" t="s">
        <v>1453</v>
      </c>
      <c r="C1313">
        <v>1237</v>
      </c>
      <c r="D1313">
        <v>1</v>
      </c>
      <c r="E1313">
        <v>0.08</v>
      </c>
      <c r="F1313">
        <v>50</v>
      </c>
      <c r="G1313">
        <v>24.74</v>
      </c>
      <c r="H1313" t="s">
        <v>397</v>
      </c>
      <c r="I1313" t="s">
        <v>397</v>
      </c>
      <c r="J1313">
        <v>1549</v>
      </c>
      <c r="K1313">
        <v>0.8</v>
      </c>
      <c r="L1313">
        <v>0</v>
      </c>
      <c r="M1313">
        <v>0</v>
      </c>
    </row>
    <row r="1314" spans="1:13">
      <c r="A1314" s="28">
        <v>179900</v>
      </c>
      <c r="B1314" t="s">
        <v>1454</v>
      </c>
      <c r="C1314">
        <v>34500</v>
      </c>
      <c r="D1314">
        <v>2500</v>
      </c>
      <c r="E1314">
        <v>7.81</v>
      </c>
      <c r="F1314" t="s">
        <v>397</v>
      </c>
      <c r="G1314" t="s">
        <v>397</v>
      </c>
      <c r="H1314" t="s">
        <v>397</v>
      </c>
      <c r="I1314" t="s">
        <v>397</v>
      </c>
      <c r="J1314">
        <v>2987</v>
      </c>
      <c r="K1314">
        <v>11.55</v>
      </c>
      <c r="L1314">
        <v>0</v>
      </c>
      <c r="M1314">
        <v>0</v>
      </c>
    </row>
    <row r="1315" spans="1:13">
      <c r="A1315" s="28">
        <v>83640</v>
      </c>
      <c r="B1315" t="s">
        <v>1455</v>
      </c>
      <c r="C1315">
        <v>483</v>
      </c>
      <c r="D1315">
        <v>-8</v>
      </c>
      <c r="E1315">
        <v>-1.63</v>
      </c>
      <c r="F1315">
        <v>71</v>
      </c>
      <c r="G1315">
        <v>6.8</v>
      </c>
      <c r="H1315" t="s">
        <v>397</v>
      </c>
      <c r="I1315" t="s">
        <v>397</v>
      </c>
      <c r="J1315">
        <v>1870</v>
      </c>
      <c r="K1315">
        <v>0.26</v>
      </c>
      <c r="L1315">
        <v>0</v>
      </c>
      <c r="M1315">
        <v>0</v>
      </c>
    </row>
    <row r="1316" spans="1:13">
      <c r="A1316" s="28">
        <v>178780</v>
      </c>
      <c r="B1316" t="s">
        <v>1456</v>
      </c>
      <c r="C1316">
        <v>8650</v>
      </c>
      <c r="D1316">
        <v>0</v>
      </c>
      <c r="E1316">
        <v>0</v>
      </c>
      <c r="F1316" t="s">
        <v>397</v>
      </c>
      <c r="G1316" t="s">
        <v>397</v>
      </c>
      <c r="H1316" t="s">
        <v>397</v>
      </c>
      <c r="I1316" t="s">
        <v>397</v>
      </c>
      <c r="J1316">
        <v>181</v>
      </c>
      <c r="K1316">
        <v>47.79</v>
      </c>
      <c r="L1316">
        <v>0</v>
      </c>
      <c r="M1316">
        <v>0</v>
      </c>
    </row>
    <row r="1317" spans="1:13">
      <c r="A1317" s="28">
        <v>34940</v>
      </c>
      <c r="B1317" t="s">
        <v>1457</v>
      </c>
      <c r="C1317">
        <v>1737</v>
      </c>
      <c r="D1317">
        <v>29</v>
      </c>
      <c r="E1317">
        <v>1.7</v>
      </c>
      <c r="F1317">
        <v>18</v>
      </c>
      <c r="G1317">
        <v>96.5</v>
      </c>
      <c r="H1317" t="s">
        <v>397</v>
      </c>
      <c r="I1317" t="s">
        <v>397</v>
      </c>
      <c r="J1317">
        <v>1706</v>
      </c>
      <c r="K1317">
        <v>1.02</v>
      </c>
      <c r="L1317">
        <v>0</v>
      </c>
      <c r="M1317">
        <v>0</v>
      </c>
    </row>
    <row r="1318" spans="1:13">
      <c r="A1318" s="28">
        <v>8500</v>
      </c>
      <c r="B1318" t="s">
        <v>1458</v>
      </c>
      <c r="C1318">
        <v>12900</v>
      </c>
      <c r="D1318">
        <v>0</v>
      </c>
      <c r="E1318">
        <v>0</v>
      </c>
      <c r="F1318" t="s">
        <v>397</v>
      </c>
      <c r="G1318" t="s">
        <v>397</v>
      </c>
      <c r="H1318" t="s">
        <v>397</v>
      </c>
      <c r="I1318" t="s">
        <v>397</v>
      </c>
      <c r="J1318">
        <v>3682</v>
      </c>
      <c r="K1318">
        <v>3.5</v>
      </c>
      <c r="L1318">
        <v>0</v>
      </c>
      <c r="M1318">
        <v>0</v>
      </c>
    </row>
    <row r="1319" spans="1:13">
      <c r="A1319" s="28">
        <v>82270</v>
      </c>
      <c r="B1319" t="s">
        <v>1459</v>
      </c>
      <c r="C1319">
        <v>11800</v>
      </c>
      <c r="D1319">
        <v>-470</v>
      </c>
      <c r="E1319">
        <v>-3.83</v>
      </c>
      <c r="F1319" t="s">
        <v>397</v>
      </c>
      <c r="G1319" t="s">
        <v>397</v>
      </c>
      <c r="H1319" t="s">
        <v>397</v>
      </c>
      <c r="I1319" t="s">
        <v>397</v>
      </c>
      <c r="J1319">
        <v>3420</v>
      </c>
      <c r="K1319">
        <v>3.45</v>
      </c>
      <c r="L1319">
        <v>0</v>
      </c>
      <c r="M1319">
        <v>0</v>
      </c>
    </row>
    <row r="1320" spans="1:13">
      <c r="A1320" s="28">
        <v>6490</v>
      </c>
      <c r="B1320" t="s">
        <v>1460</v>
      </c>
      <c r="C1320">
        <v>1149</v>
      </c>
      <c r="D1320">
        <v>2</v>
      </c>
      <c r="E1320">
        <v>0.17</v>
      </c>
      <c r="F1320" t="s">
        <v>397</v>
      </c>
      <c r="G1320" t="s">
        <v>397</v>
      </c>
      <c r="H1320" t="s">
        <v>397</v>
      </c>
      <c r="I1320" t="s">
        <v>397</v>
      </c>
      <c r="J1320">
        <v>567</v>
      </c>
      <c r="K1320">
        <v>2.0299999999999998</v>
      </c>
      <c r="L1320">
        <v>0</v>
      </c>
      <c r="M1320">
        <v>0</v>
      </c>
    </row>
    <row r="1321" spans="1:13">
      <c r="A1321" s="28">
        <v>450520</v>
      </c>
      <c r="B1321" t="s">
        <v>1461</v>
      </c>
      <c r="C1321">
        <v>17050</v>
      </c>
      <c r="D1321">
        <v>-450</v>
      </c>
      <c r="E1321">
        <v>-2.57</v>
      </c>
      <c r="F1321">
        <v>1687</v>
      </c>
      <c r="G1321">
        <v>10.11</v>
      </c>
      <c r="H1321" t="s">
        <v>397</v>
      </c>
      <c r="I1321" t="s">
        <v>397</v>
      </c>
      <c r="J1321">
        <v>3829</v>
      </c>
      <c r="K1321">
        <v>4.45</v>
      </c>
      <c r="L1321">
        <v>0</v>
      </c>
      <c r="M1321">
        <v>0</v>
      </c>
    </row>
    <row r="1322" spans="1:13">
      <c r="A1322" s="28">
        <v>462520</v>
      </c>
      <c r="B1322" t="s">
        <v>1462</v>
      </c>
      <c r="C1322">
        <v>18120</v>
      </c>
      <c r="D1322">
        <v>-30</v>
      </c>
      <c r="E1322">
        <v>-0.17</v>
      </c>
      <c r="F1322" t="s">
        <v>397</v>
      </c>
      <c r="G1322" t="s">
        <v>397</v>
      </c>
      <c r="H1322" t="s">
        <v>397</v>
      </c>
      <c r="I1322" t="s">
        <v>397</v>
      </c>
      <c r="J1322" t="s">
        <v>397</v>
      </c>
      <c r="K1322" t="s">
        <v>397</v>
      </c>
      <c r="L1322">
        <v>0</v>
      </c>
      <c r="M1322">
        <v>0</v>
      </c>
    </row>
    <row r="1323" spans="1:13">
      <c r="A1323" s="28">
        <v>33230</v>
      </c>
      <c r="B1323" t="s">
        <v>1463</v>
      </c>
      <c r="C1323">
        <v>4450</v>
      </c>
      <c r="D1323">
        <v>45</v>
      </c>
      <c r="E1323">
        <v>1.02</v>
      </c>
      <c r="F1323">
        <v>30</v>
      </c>
      <c r="G1323">
        <v>148.33000000000001</v>
      </c>
      <c r="H1323" t="s">
        <v>397</v>
      </c>
      <c r="I1323" t="s">
        <v>397</v>
      </c>
      <c r="J1323">
        <v>1911</v>
      </c>
      <c r="K1323">
        <v>2.33</v>
      </c>
      <c r="L1323">
        <v>0</v>
      </c>
      <c r="M1323">
        <v>0</v>
      </c>
    </row>
    <row r="1324" spans="1:13">
      <c r="A1324" s="28">
        <v>20760</v>
      </c>
      <c r="B1324" t="s">
        <v>1464</v>
      </c>
      <c r="C1324">
        <v>904</v>
      </c>
      <c r="D1324">
        <v>5</v>
      </c>
      <c r="E1324">
        <v>0.56000000000000005</v>
      </c>
      <c r="F1324" t="s">
        <v>397</v>
      </c>
      <c r="G1324" t="s">
        <v>397</v>
      </c>
      <c r="H1324" t="s">
        <v>397</v>
      </c>
      <c r="I1324" t="s">
        <v>397</v>
      </c>
      <c r="J1324">
        <v>562</v>
      </c>
      <c r="K1324">
        <v>1.61</v>
      </c>
      <c r="L1324">
        <v>0</v>
      </c>
      <c r="M1324">
        <v>0</v>
      </c>
    </row>
    <row r="1325" spans="1:13">
      <c r="A1325" s="28">
        <v>254120</v>
      </c>
      <c r="B1325" t="s">
        <v>1465</v>
      </c>
      <c r="C1325">
        <v>2435</v>
      </c>
      <c r="D1325">
        <v>-120</v>
      </c>
      <c r="E1325">
        <v>-4.7</v>
      </c>
      <c r="F1325">
        <v>15</v>
      </c>
      <c r="G1325">
        <v>162.33000000000001</v>
      </c>
      <c r="H1325" t="s">
        <v>397</v>
      </c>
      <c r="I1325" t="s">
        <v>397</v>
      </c>
      <c r="J1325">
        <v>413</v>
      </c>
      <c r="K1325">
        <v>5.9</v>
      </c>
      <c r="L1325">
        <v>0</v>
      </c>
      <c r="M1325">
        <v>0</v>
      </c>
    </row>
    <row r="1326" spans="1:13">
      <c r="A1326" s="28">
        <v>417500</v>
      </c>
      <c r="B1326" t="s">
        <v>1466</v>
      </c>
      <c r="C1326">
        <v>5090</v>
      </c>
      <c r="D1326">
        <v>30</v>
      </c>
      <c r="E1326">
        <v>0.59</v>
      </c>
      <c r="F1326">
        <v>407</v>
      </c>
      <c r="G1326">
        <v>12.51</v>
      </c>
      <c r="H1326" t="s">
        <v>397</v>
      </c>
      <c r="I1326" t="s">
        <v>397</v>
      </c>
      <c r="J1326">
        <v>1895</v>
      </c>
      <c r="K1326">
        <v>2.69</v>
      </c>
      <c r="L1326">
        <v>0</v>
      </c>
      <c r="M1326">
        <v>0</v>
      </c>
    </row>
    <row r="1327" spans="1:13">
      <c r="A1327" s="28">
        <v>229000</v>
      </c>
      <c r="B1327" t="s">
        <v>1467</v>
      </c>
      <c r="C1327">
        <v>3970</v>
      </c>
      <c r="D1327">
        <v>-165</v>
      </c>
      <c r="E1327">
        <v>-3.99</v>
      </c>
      <c r="F1327" t="s">
        <v>397</v>
      </c>
      <c r="G1327" t="s">
        <v>397</v>
      </c>
      <c r="H1327" t="s">
        <v>397</v>
      </c>
      <c r="I1327" t="s">
        <v>397</v>
      </c>
      <c r="J1327">
        <v>801</v>
      </c>
      <c r="K1327">
        <v>4.96</v>
      </c>
      <c r="L1327">
        <v>0</v>
      </c>
      <c r="M1327">
        <v>0</v>
      </c>
    </row>
    <row r="1328" spans="1:13">
      <c r="A1328" s="28">
        <v>56090</v>
      </c>
      <c r="B1328" t="s">
        <v>1468</v>
      </c>
      <c r="C1328">
        <v>1180</v>
      </c>
      <c r="D1328">
        <v>0</v>
      </c>
      <c r="E1328">
        <v>0</v>
      </c>
      <c r="F1328" t="s">
        <v>397</v>
      </c>
      <c r="G1328" t="s">
        <v>397</v>
      </c>
      <c r="H1328" t="s">
        <v>397</v>
      </c>
      <c r="I1328" t="s">
        <v>397</v>
      </c>
      <c r="J1328">
        <v>732</v>
      </c>
      <c r="K1328">
        <v>1.61</v>
      </c>
      <c r="L1328">
        <v>0</v>
      </c>
      <c r="M1328">
        <v>0</v>
      </c>
    </row>
    <row r="1329" spans="1:13">
      <c r="A1329" s="28">
        <v>187420</v>
      </c>
      <c r="B1329" t="s">
        <v>1469</v>
      </c>
      <c r="C1329">
        <v>4165</v>
      </c>
      <c r="D1329">
        <v>80</v>
      </c>
      <c r="E1329">
        <v>1.96</v>
      </c>
      <c r="F1329" t="s">
        <v>397</v>
      </c>
      <c r="G1329" t="s">
        <v>397</v>
      </c>
      <c r="H1329" t="s">
        <v>397</v>
      </c>
      <c r="I1329" t="s">
        <v>397</v>
      </c>
      <c r="J1329">
        <v>1061</v>
      </c>
      <c r="K1329">
        <v>3.93</v>
      </c>
      <c r="L1329">
        <v>0</v>
      </c>
      <c r="M1329">
        <v>0</v>
      </c>
    </row>
    <row r="1330" spans="1:13">
      <c r="A1330" s="28">
        <v>457190</v>
      </c>
      <c r="B1330" t="s">
        <v>1470</v>
      </c>
      <c r="C1330">
        <v>342500</v>
      </c>
      <c r="D1330">
        <v>10000</v>
      </c>
      <c r="E1330">
        <v>3.01</v>
      </c>
      <c r="F1330" t="s">
        <v>397</v>
      </c>
      <c r="G1330" t="s">
        <v>397</v>
      </c>
      <c r="H1330" t="s">
        <v>397</v>
      </c>
      <c r="I1330" t="s">
        <v>397</v>
      </c>
      <c r="J1330" t="s">
        <v>397</v>
      </c>
      <c r="K1330" t="s">
        <v>397</v>
      </c>
      <c r="L1330">
        <v>0</v>
      </c>
      <c r="M1330">
        <v>0</v>
      </c>
    </row>
    <row r="1331" spans="1:13">
      <c r="A1331" s="28">
        <v>225220</v>
      </c>
      <c r="B1331" t="s">
        <v>1471</v>
      </c>
      <c r="C1331">
        <v>3855</v>
      </c>
      <c r="D1331">
        <v>-15</v>
      </c>
      <c r="E1331">
        <v>-0.39</v>
      </c>
      <c r="F1331">
        <v>830</v>
      </c>
      <c r="G1331">
        <v>4.6399999999999997</v>
      </c>
      <c r="H1331" t="s">
        <v>397</v>
      </c>
      <c r="I1331" t="s">
        <v>397</v>
      </c>
      <c r="J1331">
        <v>5439</v>
      </c>
      <c r="K1331">
        <v>0.71</v>
      </c>
      <c r="L1331">
        <v>0</v>
      </c>
      <c r="M1331">
        <v>0</v>
      </c>
    </row>
    <row r="1332" spans="1:13">
      <c r="A1332" s="28">
        <v>89790</v>
      </c>
      <c r="B1332" t="s">
        <v>1472</v>
      </c>
      <c r="C1332">
        <v>9400</v>
      </c>
      <c r="D1332">
        <v>-200</v>
      </c>
      <c r="E1332">
        <v>-2.08</v>
      </c>
      <c r="F1332">
        <v>1118</v>
      </c>
      <c r="G1332">
        <v>8.41</v>
      </c>
      <c r="H1332" t="s">
        <v>397</v>
      </c>
      <c r="I1332" t="s">
        <v>397</v>
      </c>
      <c r="J1332">
        <v>5952</v>
      </c>
      <c r="K1332">
        <v>1.58</v>
      </c>
      <c r="L1332">
        <v>0</v>
      </c>
      <c r="M1332">
        <v>0</v>
      </c>
    </row>
    <row r="1333" spans="1:13">
      <c r="A1333" s="28">
        <v>25620</v>
      </c>
      <c r="B1333" t="s">
        <v>1473</v>
      </c>
      <c r="C1333">
        <v>6180</v>
      </c>
      <c r="D1333">
        <v>50</v>
      </c>
      <c r="E1333">
        <v>0.82</v>
      </c>
      <c r="F1333" t="s">
        <v>397</v>
      </c>
      <c r="G1333" t="s">
        <v>397</v>
      </c>
      <c r="H1333" t="s">
        <v>397</v>
      </c>
      <c r="I1333" t="s">
        <v>397</v>
      </c>
      <c r="J1333">
        <v>10836</v>
      </c>
      <c r="K1333">
        <v>0.56999999999999995</v>
      </c>
      <c r="L1333">
        <v>0</v>
      </c>
      <c r="M1333">
        <v>0</v>
      </c>
    </row>
    <row r="1334" spans="1:13">
      <c r="A1334" s="28">
        <v>418550</v>
      </c>
      <c r="B1334" t="s">
        <v>1474</v>
      </c>
      <c r="C1334">
        <v>28650</v>
      </c>
      <c r="D1334">
        <v>50</v>
      </c>
      <c r="E1334">
        <v>0.17</v>
      </c>
      <c r="F1334" t="s">
        <v>397</v>
      </c>
      <c r="G1334" t="s">
        <v>397</v>
      </c>
      <c r="H1334">
        <v>594</v>
      </c>
      <c r="I1334">
        <v>48.26</v>
      </c>
      <c r="J1334">
        <v>2348</v>
      </c>
      <c r="K1334">
        <v>12.2</v>
      </c>
      <c r="L1334">
        <v>0</v>
      </c>
      <c r="M1334">
        <v>0</v>
      </c>
    </row>
    <row r="1335" spans="1:13">
      <c r="A1335" s="28">
        <v>303530</v>
      </c>
      <c r="B1335" t="s">
        <v>1475</v>
      </c>
      <c r="C1335">
        <v>12820</v>
      </c>
      <c r="D1335">
        <v>-310</v>
      </c>
      <c r="E1335">
        <v>-2.36</v>
      </c>
      <c r="F1335">
        <v>77</v>
      </c>
      <c r="G1335">
        <v>166.49</v>
      </c>
      <c r="H1335" t="s">
        <v>397</v>
      </c>
      <c r="I1335" t="s">
        <v>397</v>
      </c>
      <c r="J1335">
        <v>5515</v>
      </c>
      <c r="K1335">
        <v>2.3199999999999998</v>
      </c>
      <c r="L1335">
        <v>0</v>
      </c>
      <c r="M1335">
        <v>0</v>
      </c>
    </row>
    <row r="1336" spans="1:13">
      <c r="A1336" s="28">
        <v>302430</v>
      </c>
      <c r="B1336" t="s">
        <v>1476</v>
      </c>
      <c r="C1336">
        <v>12820</v>
      </c>
      <c r="D1336">
        <v>-940</v>
      </c>
      <c r="E1336">
        <v>-6.83</v>
      </c>
      <c r="F1336">
        <v>274</v>
      </c>
      <c r="G1336">
        <v>46.79</v>
      </c>
      <c r="H1336" t="s">
        <v>397</v>
      </c>
      <c r="I1336" t="s">
        <v>397</v>
      </c>
      <c r="J1336">
        <v>5721</v>
      </c>
      <c r="K1336">
        <v>2.2400000000000002</v>
      </c>
      <c r="L1336">
        <v>0</v>
      </c>
      <c r="M1336">
        <v>0</v>
      </c>
    </row>
    <row r="1337" spans="1:13">
      <c r="A1337" s="28">
        <v>123330</v>
      </c>
      <c r="B1337" t="s">
        <v>1477</v>
      </c>
      <c r="C1337">
        <v>3900</v>
      </c>
      <c r="D1337">
        <v>5</v>
      </c>
      <c r="E1337">
        <v>0.13</v>
      </c>
      <c r="F1337" t="s">
        <v>397</v>
      </c>
      <c r="G1337" t="s">
        <v>397</v>
      </c>
      <c r="H1337" t="s">
        <v>397</v>
      </c>
      <c r="I1337" t="s">
        <v>397</v>
      </c>
      <c r="J1337">
        <v>2325</v>
      </c>
      <c r="K1337">
        <v>1.68</v>
      </c>
      <c r="L1337">
        <v>0</v>
      </c>
      <c r="M1337">
        <v>0</v>
      </c>
    </row>
    <row r="1338" spans="1:13">
      <c r="A1338" s="28">
        <v>33050</v>
      </c>
      <c r="B1338" t="s">
        <v>1478</v>
      </c>
      <c r="C1338">
        <v>1037</v>
      </c>
      <c r="D1338">
        <v>3</v>
      </c>
      <c r="E1338">
        <v>0.28999999999999998</v>
      </c>
      <c r="F1338">
        <v>78</v>
      </c>
      <c r="G1338">
        <v>13.29</v>
      </c>
      <c r="H1338" t="s">
        <v>397</v>
      </c>
      <c r="I1338" t="s">
        <v>397</v>
      </c>
      <c r="J1338">
        <v>1326</v>
      </c>
      <c r="K1338">
        <v>0.78</v>
      </c>
      <c r="L1338">
        <v>0</v>
      </c>
      <c r="M1338">
        <v>0</v>
      </c>
    </row>
    <row r="1339" spans="1:13">
      <c r="A1339" s="28">
        <v>322510</v>
      </c>
      <c r="B1339" t="s">
        <v>1479</v>
      </c>
      <c r="C1339">
        <v>13900</v>
      </c>
      <c r="D1339">
        <v>960</v>
      </c>
      <c r="E1339">
        <v>7.42</v>
      </c>
      <c r="F1339" t="s">
        <v>397</v>
      </c>
      <c r="G1339" t="s">
        <v>397</v>
      </c>
      <c r="H1339">
        <v>144</v>
      </c>
      <c r="I1339">
        <v>96.82</v>
      </c>
      <c r="J1339">
        <v>1108</v>
      </c>
      <c r="K1339">
        <v>12.55</v>
      </c>
      <c r="L1339">
        <v>0</v>
      </c>
      <c r="M1339">
        <v>0</v>
      </c>
    </row>
    <row r="1340" spans="1:13">
      <c r="A1340" s="28">
        <v>159580</v>
      </c>
      <c r="B1340" t="s">
        <v>1480</v>
      </c>
      <c r="C1340">
        <v>6320</v>
      </c>
      <c r="D1340">
        <v>-210</v>
      </c>
      <c r="E1340">
        <v>-3.22</v>
      </c>
      <c r="F1340">
        <v>209</v>
      </c>
      <c r="G1340">
        <v>30.24</v>
      </c>
      <c r="H1340" t="s">
        <v>397</v>
      </c>
      <c r="I1340" t="s">
        <v>397</v>
      </c>
      <c r="J1340">
        <v>4005</v>
      </c>
      <c r="K1340">
        <v>1.58</v>
      </c>
      <c r="L1340">
        <v>0</v>
      </c>
      <c r="M1340">
        <v>0</v>
      </c>
    </row>
    <row r="1341" spans="1:13">
      <c r="A1341" s="28">
        <v>274400</v>
      </c>
      <c r="B1341" t="s">
        <v>1481</v>
      </c>
      <c r="C1341">
        <v>11420</v>
      </c>
      <c r="D1341">
        <v>-320</v>
      </c>
      <c r="E1341">
        <v>-2.73</v>
      </c>
      <c r="F1341" t="s">
        <v>397</v>
      </c>
      <c r="G1341" t="s">
        <v>397</v>
      </c>
      <c r="H1341" t="s">
        <v>397</v>
      </c>
      <c r="I1341" t="s">
        <v>397</v>
      </c>
      <c r="J1341">
        <v>2166</v>
      </c>
      <c r="K1341">
        <v>5.27</v>
      </c>
      <c r="L1341">
        <v>0</v>
      </c>
      <c r="M1341">
        <v>0</v>
      </c>
    </row>
    <row r="1342" spans="1:13">
      <c r="A1342" s="28">
        <v>215790</v>
      </c>
      <c r="B1342" t="s">
        <v>1482</v>
      </c>
      <c r="C1342">
        <v>799</v>
      </c>
      <c r="D1342">
        <v>9</v>
      </c>
      <c r="E1342">
        <v>1.1399999999999999</v>
      </c>
      <c r="F1342">
        <v>140</v>
      </c>
      <c r="G1342">
        <v>5.71</v>
      </c>
      <c r="H1342" t="s">
        <v>397</v>
      </c>
      <c r="I1342" t="s">
        <v>397</v>
      </c>
      <c r="J1342">
        <v>2424</v>
      </c>
      <c r="K1342">
        <v>0.33</v>
      </c>
      <c r="L1342">
        <v>0</v>
      </c>
      <c r="M1342">
        <v>0</v>
      </c>
    </row>
    <row r="1343" spans="1:13">
      <c r="A1343" s="28">
        <v>72520</v>
      </c>
      <c r="B1343" t="s">
        <v>1483</v>
      </c>
      <c r="C1343">
        <v>401</v>
      </c>
      <c r="D1343">
        <v>0</v>
      </c>
      <c r="E1343">
        <v>0</v>
      </c>
      <c r="F1343" t="s">
        <v>397</v>
      </c>
      <c r="G1343" t="s">
        <v>397</v>
      </c>
      <c r="H1343" t="s">
        <v>397</v>
      </c>
      <c r="I1343" t="s">
        <v>397</v>
      </c>
      <c r="J1343">
        <v>1458</v>
      </c>
      <c r="K1343">
        <v>0.28000000000000003</v>
      </c>
      <c r="L1343">
        <v>0</v>
      </c>
      <c r="M1343">
        <v>0</v>
      </c>
    </row>
    <row r="1344" spans="1:13">
      <c r="A1344" s="28">
        <v>452160</v>
      </c>
      <c r="B1344" t="s">
        <v>1484</v>
      </c>
      <c r="C1344">
        <v>11610</v>
      </c>
      <c r="D1344">
        <v>-860</v>
      </c>
      <c r="E1344">
        <v>-6.9</v>
      </c>
      <c r="F1344" t="s">
        <v>397</v>
      </c>
      <c r="G1344" t="s">
        <v>397</v>
      </c>
      <c r="H1344" t="s">
        <v>397</v>
      </c>
      <c r="I1344" t="s">
        <v>397</v>
      </c>
      <c r="J1344" t="s">
        <v>397</v>
      </c>
      <c r="K1344" t="s">
        <v>397</v>
      </c>
      <c r="L1344">
        <v>0</v>
      </c>
      <c r="M1344">
        <v>0</v>
      </c>
    </row>
    <row r="1345" spans="1:13">
      <c r="A1345" s="28">
        <v>344860</v>
      </c>
      <c r="B1345" t="s">
        <v>1485</v>
      </c>
      <c r="C1345">
        <v>2215</v>
      </c>
      <c r="D1345">
        <v>15</v>
      </c>
      <c r="E1345">
        <v>0.68</v>
      </c>
      <c r="F1345">
        <v>144</v>
      </c>
      <c r="G1345">
        <v>15.38</v>
      </c>
      <c r="H1345" t="s">
        <v>397</v>
      </c>
      <c r="I1345" t="s">
        <v>397</v>
      </c>
      <c r="J1345">
        <v>731</v>
      </c>
      <c r="K1345">
        <v>3.03</v>
      </c>
      <c r="L1345">
        <v>0</v>
      </c>
      <c r="M1345">
        <v>0</v>
      </c>
    </row>
    <row r="1346" spans="1:13">
      <c r="A1346" s="28">
        <v>246960</v>
      </c>
      <c r="B1346" t="s">
        <v>1486</v>
      </c>
      <c r="C1346">
        <v>8550</v>
      </c>
      <c r="D1346">
        <v>230</v>
      </c>
      <c r="E1346">
        <v>2.76</v>
      </c>
      <c r="F1346" t="s">
        <v>397</v>
      </c>
      <c r="G1346" t="s">
        <v>397</v>
      </c>
      <c r="H1346" t="s">
        <v>397</v>
      </c>
      <c r="I1346" t="s">
        <v>397</v>
      </c>
      <c r="J1346">
        <v>2330</v>
      </c>
      <c r="K1346">
        <v>3.67</v>
      </c>
      <c r="L1346">
        <v>0</v>
      </c>
      <c r="M1346">
        <v>0</v>
      </c>
    </row>
    <row r="1347" spans="1:13">
      <c r="A1347" s="28">
        <v>88390</v>
      </c>
      <c r="B1347" t="s">
        <v>1487</v>
      </c>
      <c r="C1347">
        <v>23400</v>
      </c>
      <c r="D1347">
        <v>-850</v>
      </c>
      <c r="E1347">
        <v>-3.51</v>
      </c>
      <c r="F1347">
        <v>1609</v>
      </c>
      <c r="G1347">
        <v>14.54</v>
      </c>
      <c r="H1347" t="s">
        <v>397</v>
      </c>
      <c r="I1347" t="s">
        <v>397</v>
      </c>
      <c r="J1347">
        <v>22873</v>
      </c>
      <c r="K1347">
        <v>1.02</v>
      </c>
      <c r="L1347">
        <v>0</v>
      </c>
      <c r="M1347">
        <v>0</v>
      </c>
    </row>
    <row r="1348" spans="1:13">
      <c r="A1348" s="28">
        <v>204270</v>
      </c>
      <c r="B1348" t="s">
        <v>1488</v>
      </c>
      <c r="C1348">
        <v>14060</v>
      </c>
      <c r="D1348">
        <v>-40</v>
      </c>
      <c r="E1348">
        <v>-0.28000000000000003</v>
      </c>
      <c r="F1348" t="s">
        <v>397</v>
      </c>
      <c r="G1348" t="s">
        <v>397</v>
      </c>
      <c r="H1348">
        <v>1335</v>
      </c>
      <c r="I1348">
        <v>10.54</v>
      </c>
      <c r="J1348">
        <v>5867</v>
      </c>
      <c r="K1348">
        <v>2.4</v>
      </c>
      <c r="L1348">
        <v>0</v>
      </c>
      <c r="M1348">
        <v>0</v>
      </c>
    </row>
    <row r="1349" spans="1:13">
      <c r="A1349" s="28">
        <v>351330</v>
      </c>
      <c r="B1349" t="s">
        <v>1489</v>
      </c>
      <c r="C1349">
        <v>12320</v>
      </c>
      <c r="D1349">
        <v>330</v>
      </c>
      <c r="E1349">
        <v>2.75</v>
      </c>
      <c r="F1349">
        <v>250</v>
      </c>
      <c r="G1349">
        <v>49.28</v>
      </c>
      <c r="H1349">
        <v>419</v>
      </c>
      <c r="I1349">
        <v>29.39</v>
      </c>
      <c r="J1349">
        <v>5778</v>
      </c>
      <c r="K1349">
        <v>2.13</v>
      </c>
      <c r="L1349">
        <v>0</v>
      </c>
      <c r="M1349">
        <v>0</v>
      </c>
    </row>
    <row r="1350" spans="1:13">
      <c r="A1350" s="28">
        <v>131400</v>
      </c>
      <c r="B1350" t="s">
        <v>1490</v>
      </c>
      <c r="C1350">
        <v>3265</v>
      </c>
      <c r="D1350">
        <v>155</v>
      </c>
      <c r="E1350">
        <v>4.9800000000000004</v>
      </c>
      <c r="F1350" t="s">
        <v>397</v>
      </c>
      <c r="G1350" t="s">
        <v>397</v>
      </c>
      <c r="H1350" t="s">
        <v>397</v>
      </c>
      <c r="I1350" t="s">
        <v>397</v>
      </c>
      <c r="J1350">
        <v>1953</v>
      </c>
      <c r="K1350">
        <v>1.67</v>
      </c>
      <c r="L1350">
        <v>0</v>
      </c>
      <c r="M1350">
        <v>0</v>
      </c>
    </row>
    <row r="1351" spans="1:13">
      <c r="A1351" s="28">
        <v>115610</v>
      </c>
      <c r="B1351" t="s">
        <v>1491</v>
      </c>
      <c r="C1351">
        <v>4085</v>
      </c>
      <c r="D1351">
        <v>-35</v>
      </c>
      <c r="E1351">
        <v>-0.85</v>
      </c>
      <c r="F1351">
        <v>118</v>
      </c>
      <c r="G1351">
        <v>34.619999999999997</v>
      </c>
      <c r="H1351" t="s">
        <v>397</v>
      </c>
      <c r="I1351" t="s">
        <v>397</v>
      </c>
      <c r="J1351">
        <v>686</v>
      </c>
      <c r="K1351">
        <v>5.95</v>
      </c>
      <c r="L1351">
        <v>0</v>
      </c>
      <c r="M1351">
        <v>0</v>
      </c>
    </row>
    <row r="1352" spans="1:13">
      <c r="A1352" s="28">
        <v>23440</v>
      </c>
      <c r="B1352" t="s">
        <v>1492</v>
      </c>
      <c r="C1352">
        <v>1276</v>
      </c>
      <c r="D1352">
        <v>-45</v>
      </c>
      <c r="E1352">
        <v>-3.41</v>
      </c>
      <c r="F1352" t="s">
        <v>397</v>
      </c>
      <c r="G1352" t="s">
        <v>397</v>
      </c>
      <c r="H1352" t="s">
        <v>397</v>
      </c>
      <c r="I1352" t="s">
        <v>397</v>
      </c>
      <c r="J1352">
        <v>1575</v>
      </c>
      <c r="K1352">
        <v>0.81</v>
      </c>
      <c r="L1352">
        <v>0</v>
      </c>
      <c r="M1352">
        <v>0</v>
      </c>
    </row>
    <row r="1353" spans="1:13">
      <c r="A1353" s="28">
        <v>65440</v>
      </c>
      <c r="B1353" t="s">
        <v>1493</v>
      </c>
      <c r="C1353">
        <v>1810</v>
      </c>
      <c r="D1353">
        <v>1</v>
      </c>
      <c r="E1353">
        <v>0.06</v>
      </c>
      <c r="F1353">
        <v>65</v>
      </c>
      <c r="G1353">
        <v>27.85</v>
      </c>
      <c r="H1353" t="s">
        <v>397</v>
      </c>
      <c r="I1353" t="s">
        <v>397</v>
      </c>
      <c r="J1353">
        <v>1583</v>
      </c>
      <c r="K1353">
        <v>1.1399999999999999</v>
      </c>
      <c r="L1353">
        <v>0</v>
      </c>
      <c r="M1353">
        <v>0</v>
      </c>
    </row>
    <row r="1354" spans="1:13">
      <c r="A1354" s="28">
        <v>287410</v>
      </c>
      <c r="B1354" t="s">
        <v>1494</v>
      </c>
      <c r="C1354">
        <v>7630</v>
      </c>
      <c r="D1354">
        <v>-240</v>
      </c>
      <c r="E1354">
        <v>-3.05</v>
      </c>
      <c r="F1354">
        <v>381</v>
      </c>
      <c r="G1354">
        <v>20.03</v>
      </c>
      <c r="H1354">
        <v>573</v>
      </c>
      <c r="I1354">
        <v>13.33</v>
      </c>
      <c r="J1354">
        <v>1116</v>
      </c>
      <c r="K1354">
        <v>6.84</v>
      </c>
      <c r="L1354">
        <v>0</v>
      </c>
      <c r="M1354">
        <v>0</v>
      </c>
    </row>
    <row r="1355" spans="1:13">
      <c r="A1355" s="28">
        <v>164060</v>
      </c>
      <c r="B1355" t="s">
        <v>1495</v>
      </c>
      <c r="C1355">
        <v>6100</v>
      </c>
      <c r="D1355">
        <v>-100</v>
      </c>
      <c r="E1355">
        <v>-1.61</v>
      </c>
      <c r="F1355">
        <v>456</v>
      </c>
      <c r="G1355">
        <v>13.38</v>
      </c>
      <c r="H1355" t="s">
        <v>397</v>
      </c>
      <c r="I1355" t="s">
        <v>397</v>
      </c>
      <c r="J1355">
        <v>2551</v>
      </c>
      <c r="K1355">
        <v>2.39</v>
      </c>
      <c r="L1355">
        <v>0</v>
      </c>
      <c r="M1355">
        <v>0</v>
      </c>
    </row>
    <row r="1356" spans="1:13">
      <c r="A1356" s="28">
        <v>33320</v>
      </c>
      <c r="B1356" t="s">
        <v>1496</v>
      </c>
      <c r="C1356">
        <v>4410</v>
      </c>
      <c r="D1356">
        <v>-145</v>
      </c>
      <c r="E1356">
        <v>-3.18</v>
      </c>
      <c r="F1356">
        <v>15</v>
      </c>
      <c r="G1356">
        <v>294</v>
      </c>
      <c r="H1356" t="s">
        <v>397</v>
      </c>
      <c r="I1356" t="s">
        <v>397</v>
      </c>
      <c r="J1356">
        <v>5716</v>
      </c>
      <c r="K1356">
        <v>0.77</v>
      </c>
      <c r="L1356">
        <v>0</v>
      </c>
      <c r="M1356">
        <v>0</v>
      </c>
    </row>
    <row r="1357" spans="1:13">
      <c r="A1357" s="28">
        <v>86890</v>
      </c>
      <c r="B1357" t="s">
        <v>1497</v>
      </c>
      <c r="C1357">
        <v>6340</v>
      </c>
      <c r="D1357">
        <v>10</v>
      </c>
      <c r="E1357">
        <v>0.16</v>
      </c>
      <c r="F1357" t="s">
        <v>397</v>
      </c>
      <c r="G1357" t="s">
        <v>397</v>
      </c>
      <c r="H1357" t="s">
        <v>397</v>
      </c>
      <c r="I1357" t="s">
        <v>397</v>
      </c>
      <c r="J1357">
        <v>1941</v>
      </c>
      <c r="K1357">
        <v>3.27</v>
      </c>
      <c r="L1357">
        <v>0</v>
      </c>
      <c r="M1357">
        <v>0</v>
      </c>
    </row>
    <row r="1358" spans="1:13">
      <c r="A1358" s="28">
        <v>95700</v>
      </c>
      <c r="B1358" t="s">
        <v>1498</v>
      </c>
      <c r="C1358">
        <v>8290</v>
      </c>
      <c r="D1358">
        <v>-320</v>
      </c>
      <c r="E1358">
        <v>-3.72</v>
      </c>
      <c r="F1358" t="s">
        <v>397</v>
      </c>
      <c r="G1358" t="s">
        <v>397</v>
      </c>
      <c r="H1358" t="s">
        <v>397</v>
      </c>
      <c r="I1358" t="s">
        <v>397</v>
      </c>
      <c r="J1358">
        <v>7977</v>
      </c>
      <c r="K1358">
        <v>1.04</v>
      </c>
      <c r="L1358">
        <v>0</v>
      </c>
      <c r="M1358">
        <v>0</v>
      </c>
    </row>
    <row r="1359" spans="1:13">
      <c r="A1359" s="28">
        <v>160600</v>
      </c>
      <c r="B1359" t="s">
        <v>1499</v>
      </c>
      <c r="C1359">
        <v>3100</v>
      </c>
      <c r="D1359">
        <v>0</v>
      </c>
      <c r="E1359">
        <v>0</v>
      </c>
      <c r="F1359">
        <v>313</v>
      </c>
      <c r="G1359">
        <v>9.9</v>
      </c>
      <c r="H1359" t="s">
        <v>397</v>
      </c>
      <c r="I1359" t="s">
        <v>397</v>
      </c>
      <c r="J1359">
        <v>1452</v>
      </c>
      <c r="K1359">
        <v>2.13</v>
      </c>
      <c r="L1359">
        <v>0</v>
      </c>
      <c r="M1359">
        <v>0</v>
      </c>
    </row>
    <row r="1360" spans="1:13">
      <c r="A1360" s="28">
        <v>174880</v>
      </c>
      <c r="B1360" t="s">
        <v>1500</v>
      </c>
      <c r="C1360">
        <v>2650</v>
      </c>
      <c r="D1360">
        <v>0</v>
      </c>
      <c r="E1360">
        <v>0</v>
      </c>
      <c r="F1360" t="s">
        <v>397</v>
      </c>
      <c r="G1360" t="s">
        <v>397</v>
      </c>
      <c r="H1360" t="s">
        <v>397</v>
      </c>
      <c r="I1360" t="s">
        <v>397</v>
      </c>
      <c r="J1360">
        <v>15730</v>
      </c>
      <c r="K1360">
        <v>0.17</v>
      </c>
      <c r="L1360">
        <v>0</v>
      </c>
      <c r="M1360">
        <v>0</v>
      </c>
    </row>
    <row r="1361" spans="1:13">
      <c r="A1361" s="28">
        <v>216080</v>
      </c>
      <c r="B1361" t="s">
        <v>1501</v>
      </c>
      <c r="C1361">
        <v>14130</v>
      </c>
      <c r="D1361">
        <v>-70</v>
      </c>
      <c r="E1361">
        <v>-0.49</v>
      </c>
      <c r="F1361">
        <v>82</v>
      </c>
      <c r="G1361">
        <v>172.32</v>
      </c>
      <c r="H1361">
        <v>476</v>
      </c>
      <c r="I1361">
        <v>29.69</v>
      </c>
      <c r="J1361">
        <v>3197</v>
      </c>
      <c r="K1361">
        <v>4.42</v>
      </c>
      <c r="L1361">
        <v>0</v>
      </c>
      <c r="M1361">
        <v>0</v>
      </c>
    </row>
    <row r="1362" spans="1:13">
      <c r="A1362" s="28">
        <v>89590</v>
      </c>
      <c r="B1362" t="s">
        <v>1502</v>
      </c>
      <c r="C1362">
        <v>10690</v>
      </c>
      <c r="D1362">
        <v>-160</v>
      </c>
      <c r="E1362">
        <v>-1.47</v>
      </c>
      <c r="F1362" t="s">
        <v>397</v>
      </c>
      <c r="G1362" t="s">
        <v>397</v>
      </c>
      <c r="H1362">
        <v>1356</v>
      </c>
      <c r="I1362">
        <v>7.89</v>
      </c>
      <c r="J1362">
        <v>3986</v>
      </c>
      <c r="K1362">
        <v>2.68</v>
      </c>
      <c r="L1362">
        <v>0</v>
      </c>
      <c r="M1362">
        <v>0</v>
      </c>
    </row>
    <row r="1363" spans="1:13">
      <c r="A1363" s="28">
        <v>43910</v>
      </c>
      <c r="B1363" t="s">
        <v>1503</v>
      </c>
      <c r="C1363">
        <v>1039</v>
      </c>
      <c r="D1363">
        <v>3</v>
      </c>
      <c r="E1363">
        <v>0.28999999999999998</v>
      </c>
      <c r="F1363">
        <v>5</v>
      </c>
      <c r="G1363">
        <v>207.8</v>
      </c>
      <c r="H1363" t="s">
        <v>397</v>
      </c>
      <c r="I1363" t="s">
        <v>397</v>
      </c>
      <c r="J1363">
        <v>838</v>
      </c>
      <c r="K1363">
        <v>1.24</v>
      </c>
      <c r="L1363">
        <v>0</v>
      </c>
      <c r="M1363">
        <v>0</v>
      </c>
    </row>
    <row r="1364" spans="1:13">
      <c r="A1364" s="28">
        <v>99750</v>
      </c>
      <c r="B1364" t="s">
        <v>1504</v>
      </c>
      <c r="C1364">
        <v>18080</v>
      </c>
      <c r="D1364">
        <v>-20</v>
      </c>
      <c r="E1364">
        <v>-0.11</v>
      </c>
      <c r="F1364" t="s">
        <v>397</v>
      </c>
      <c r="G1364" t="s">
        <v>397</v>
      </c>
      <c r="H1364" t="s">
        <v>397</v>
      </c>
      <c r="I1364" t="s">
        <v>397</v>
      </c>
      <c r="J1364">
        <v>5083</v>
      </c>
      <c r="K1364">
        <v>3.56</v>
      </c>
      <c r="L1364">
        <v>0</v>
      </c>
      <c r="M1364">
        <v>0</v>
      </c>
    </row>
    <row r="1365" spans="1:13">
      <c r="A1365" s="28">
        <v>181340</v>
      </c>
      <c r="B1365" t="s">
        <v>1505</v>
      </c>
      <c r="C1365">
        <v>2705</v>
      </c>
      <c r="D1365">
        <v>0</v>
      </c>
      <c r="E1365">
        <v>0</v>
      </c>
      <c r="F1365" t="s">
        <v>397</v>
      </c>
      <c r="G1365" t="s">
        <v>397</v>
      </c>
      <c r="H1365" t="s">
        <v>397</v>
      </c>
      <c r="I1365" t="s">
        <v>397</v>
      </c>
      <c r="J1365">
        <v>1416</v>
      </c>
      <c r="K1365">
        <v>1.91</v>
      </c>
      <c r="L1365">
        <v>0</v>
      </c>
      <c r="M1365">
        <v>0</v>
      </c>
    </row>
    <row r="1366" spans="1:13">
      <c r="A1366" s="28">
        <v>84680</v>
      </c>
      <c r="B1366" t="s">
        <v>1506</v>
      </c>
      <c r="C1366">
        <v>2030</v>
      </c>
      <c r="D1366">
        <v>-20</v>
      </c>
      <c r="E1366">
        <v>-0.98</v>
      </c>
      <c r="F1366">
        <v>40</v>
      </c>
      <c r="G1366">
        <v>50.75</v>
      </c>
      <c r="H1366" t="s">
        <v>397</v>
      </c>
      <c r="I1366" t="s">
        <v>397</v>
      </c>
      <c r="J1366">
        <v>1742</v>
      </c>
      <c r="K1366">
        <v>1.17</v>
      </c>
      <c r="L1366">
        <v>0</v>
      </c>
      <c r="M1366">
        <v>0</v>
      </c>
    </row>
    <row r="1367" spans="1:13">
      <c r="A1367" s="28">
        <v>88290</v>
      </c>
      <c r="B1367" t="s">
        <v>1507</v>
      </c>
      <c r="C1367">
        <v>1470</v>
      </c>
      <c r="D1367">
        <v>0</v>
      </c>
      <c r="E1367">
        <v>0</v>
      </c>
      <c r="F1367" t="s">
        <v>397</v>
      </c>
      <c r="G1367" t="s">
        <v>397</v>
      </c>
      <c r="H1367" t="s">
        <v>397</v>
      </c>
      <c r="I1367" t="s">
        <v>397</v>
      </c>
      <c r="J1367">
        <v>2085</v>
      </c>
      <c r="K1367">
        <v>0.71</v>
      </c>
      <c r="L1367">
        <v>0</v>
      </c>
      <c r="M1367">
        <v>0</v>
      </c>
    </row>
    <row r="1368" spans="1:13">
      <c r="A1368" s="28">
        <v>234920</v>
      </c>
      <c r="B1368" t="s">
        <v>1508</v>
      </c>
      <c r="C1368">
        <v>8450</v>
      </c>
      <c r="D1368">
        <v>-450</v>
      </c>
      <c r="E1368">
        <v>-5.0599999999999996</v>
      </c>
      <c r="F1368" t="s">
        <v>397</v>
      </c>
      <c r="G1368" t="s">
        <v>397</v>
      </c>
      <c r="H1368" t="s">
        <v>397</v>
      </c>
      <c r="I1368" t="s">
        <v>397</v>
      </c>
      <c r="J1368">
        <v>3107</v>
      </c>
      <c r="K1368">
        <v>2.72</v>
      </c>
      <c r="L1368">
        <v>0</v>
      </c>
      <c r="M1368">
        <v>0</v>
      </c>
    </row>
    <row r="1369" spans="1:13">
      <c r="A1369" s="28">
        <v>289220</v>
      </c>
      <c r="B1369" t="s">
        <v>1509</v>
      </c>
      <c r="C1369">
        <v>10640</v>
      </c>
      <c r="D1369">
        <v>-660</v>
      </c>
      <c r="E1369">
        <v>-5.84</v>
      </c>
      <c r="F1369" t="s">
        <v>397</v>
      </c>
      <c r="G1369" t="s">
        <v>397</v>
      </c>
      <c r="H1369" t="s">
        <v>397</v>
      </c>
      <c r="I1369" t="s">
        <v>397</v>
      </c>
      <c r="J1369">
        <v>5387</v>
      </c>
      <c r="K1369">
        <v>1.98</v>
      </c>
      <c r="L1369">
        <v>0</v>
      </c>
      <c r="M1369">
        <v>0</v>
      </c>
    </row>
    <row r="1370" spans="1:13">
      <c r="A1370" s="28">
        <v>294090</v>
      </c>
      <c r="B1370" t="s">
        <v>1510</v>
      </c>
      <c r="C1370">
        <v>4725</v>
      </c>
      <c r="D1370">
        <v>85</v>
      </c>
      <c r="E1370">
        <v>1.83</v>
      </c>
      <c r="F1370" t="s">
        <v>397</v>
      </c>
      <c r="G1370" t="s">
        <v>397</v>
      </c>
      <c r="H1370" t="s">
        <v>397</v>
      </c>
      <c r="I1370" t="s">
        <v>397</v>
      </c>
      <c r="J1370">
        <v>3253</v>
      </c>
      <c r="K1370">
        <v>1.45</v>
      </c>
      <c r="L1370">
        <v>0</v>
      </c>
      <c r="M1370">
        <v>0</v>
      </c>
    </row>
    <row r="1371" spans="1:13">
      <c r="A1371" s="28">
        <v>191410</v>
      </c>
      <c r="B1371" t="s">
        <v>1511</v>
      </c>
      <c r="C1371">
        <v>1987</v>
      </c>
      <c r="D1371">
        <v>-13</v>
      </c>
      <c r="E1371">
        <v>-0.65</v>
      </c>
      <c r="F1371">
        <v>60</v>
      </c>
      <c r="G1371">
        <v>33.119999999999997</v>
      </c>
      <c r="H1371" t="s">
        <v>397</v>
      </c>
      <c r="I1371" t="s">
        <v>397</v>
      </c>
      <c r="J1371">
        <v>2214</v>
      </c>
      <c r="K1371">
        <v>0.9</v>
      </c>
      <c r="L1371">
        <v>0</v>
      </c>
      <c r="M1371">
        <v>0</v>
      </c>
    </row>
    <row r="1372" spans="1:13">
      <c r="A1372" s="28">
        <v>80220</v>
      </c>
      <c r="B1372" t="s">
        <v>1512</v>
      </c>
      <c r="C1372">
        <v>25250</v>
      </c>
      <c r="D1372">
        <v>-150</v>
      </c>
      <c r="E1372">
        <v>-0.59</v>
      </c>
      <c r="F1372">
        <v>706</v>
      </c>
      <c r="G1372">
        <v>35.76</v>
      </c>
      <c r="H1372" t="s">
        <v>397</v>
      </c>
      <c r="I1372" t="s">
        <v>397</v>
      </c>
      <c r="J1372">
        <v>4234</v>
      </c>
      <c r="K1372">
        <v>5.96</v>
      </c>
      <c r="L1372">
        <v>0</v>
      </c>
      <c r="M1372">
        <v>0</v>
      </c>
    </row>
    <row r="1373" spans="1:13">
      <c r="A1373" s="28">
        <v>33240</v>
      </c>
      <c r="B1373" t="s">
        <v>1513</v>
      </c>
      <c r="C1373">
        <v>26100</v>
      </c>
      <c r="D1373">
        <v>250</v>
      </c>
      <c r="E1373">
        <v>0.97</v>
      </c>
      <c r="F1373" t="s">
        <v>397</v>
      </c>
      <c r="G1373" t="s">
        <v>397</v>
      </c>
      <c r="H1373">
        <v>2595</v>
      </c>
      <c r="I1373">
        <v>10.06</v>
      </c>
      <c r="J1373">
        <v>17892</v>
      </c>
      <c r="K1373">
        <v>1.46</v>
      </c>
      <c r="L1373">
        <v>0</v>
      </c>
      <c r="M1373">
        <v>0</v>
      </c>
    </row>
    <row r="1374" spans="1:13">
      <c r="A1374" s="28">
        <v>49630</v>
      </c>
      <c r="B1374" t="s">
        <v>1514</v>
      </c>
      <c r="C1374">
        <v>615</v>
      </c>
      <c r="D1374">
        <v>-3</v>
      </c>
      <c r="E1374">
        <v>-0.49</v>
      </c>
      <c r="F1374" t="s">
        <v>397</v>
      </c>
      <c r="G1374" t="s">
        <v>397</v>
      </c>
      <c r="H1374" t="s">
        <v>397</v>
      </c>
      <c r="I1374" t="s">
        <v>397</v>
      </c>
      <c r="J1374">
        <v>761</v>
      </c>
      <c r="K1374">
        <v>0.81</v>
      </c>
      <c r="L1374">
        <v>0</v>
      </c>
      <c r="M1374">
        <v>0</v>
      </c>
    </row>
    <row r="1375" spans="1:13">
      <c r="A1375" s="28">
        <v>52670</v>
      </c>
      <c r="B1375" t="s">
        <v>1515</v>
      </c>
      <c r="C1375">
        <v>2080</v>
      </c>
      <c r="D1375">
        <v>0</v>
      </c>
      <c r="E1375">
        <v>0</v>
      </c>
      <c r="F1375" t="s">
        <v>397</v>
      </c>
      <c r="G1375" t="s">
        <v>397</v>
      </c>
      <c r="H1375" t="s">
        <v>397</v>
      </c>
      <c r="I1375" t="s">
        <v>397</v>
      </c>
      <c r="J1375">
        <v>1223</v>
      </c>
      <c r="K1375">
        <v>1.7</v>
      </c>
      <c r="L1375">
        <v>0</v>
      </c>
      <c r="M1375">
        <v>0</v>
      </c>
    </row>
    <row r="1376" spans="1:13">
      <c r="A1376" s="28">
        <v>276730</v>
      </c>
      <c r="B1376" t="s">
        <v>1516</v>
      </c>
      <c r="C1376">
        <v>1344</v>
      </c>
      <c r="D1376">
        <v>135</v>
      </c>
      <c r="E1376">
        <v>11.17</v>
      </c>
      <c r="F1376" t="s">
        <v>397</v>
      </c>
      <c r="G1376" t="s">
        <v>397</v>
      </c>
      <c r="H1376" t="s">
        <v>397</v>
      </c>
      <c r="I1376" t="s">
        <v>397</v>
      </c>
      <c r="J1376">
        <v>524</v>
      </c>
      <c r="K1376">
        <v>2.56</v>
      </c>
      <c r="L1376">
        <v>0</v>
      </c>
      <c r="M1376">
        <v>0</v>
      </c>
    </row>
    <row r="1377" spans="1:13">
      <c r="A1377" s="28">
        <v>417840</v>
      </c>
      <c r="B1377" t="s">
        <v>1517</v>
      </c>
      <c r="C1377">
        <v>16120</v>
      </c>
      <c r="D1377">
        <v>-290</v>
      </c>
      <c r="E1377">
        <v>-1.77</v>
      </c>
      <c r="F1377">
        <v>1156</v>
      </c>
      <c r="G1377">
        <v>13.94</v>
      </c>
      <c r="H1377" t="s">
        <v>397</v>
      </c>
      <c r="I1377" t="s">
        <v>397</v>
      </c>
      <c r="J1377">
        <v>7262</v>
      </c>
      <c r="K1377">
        <v>2.2200000000000002</v>
      </c>
      <c r="L1377">
        <v>0</v>
      </c>
      <c r="M1377">
        <v>0</v>
      </c>
    </row>
    <row r="1378" spans="1:13">
      <c r="A1378" s="28">
        <v>95190</v>
      </c>
      <c r="B1378" t="s">
        <v>1518</v>
      </c>
      <c r="C1378">
        <v>2450</v>
      </c>
      <c r="D1378">
        <v>-50</v>
      </c>
      <c r="E1378">
        <v>-2</v>
      </c>
      <c r="F1378" t="s">
        <v>397</v>
      </c>
      <c r="G1378" t="s">
        <v>397</v>
      </c>
      <c r="H1378" t="s">
        <v>397</v>
      </c>
      <c r="I1378" t="s">
        <v>397</v>
      </c>
      <c r="J1378">
        <v>1889</v>
      </c>
      <c r="K1378">
        <v>1.3</v>
      </c>
      <c r="L1378">
        <v>0</v>
      </c>
      <c r="M1378">
        <v>0</v>
      </c>
    </row>
    <row r="1379" spans="1:13">
      <c r="A1379" s="28">
        <v>83470</v>
      </c>
      <c r="B1379" t="s">
        <v>1519</v>
      </c>
      <c r="C1379">
        <v>1909</v>
      </c>
      <c r="D1379">
        <v>55</v>
      </c>
      <c r="E1379">
        <v>2.97</v>
      </c>
      <c r="F1379" t="s">
        <v>397</v>
      </c>
      <c r="G1379" t="s">
        <v>397</v>
      </c>
      <c r="H1379" t="s">
        <v>397</v>
      </c>
      <c r="I1379" t="s">
        <v>397</v>
      </c>
      <c r="J1379">
        <v>602</v>
      </c>
      <c r="K1379">
        <v>3.17</v>
      </c>
      <c r="L1379">
        <v>0</v>
      </c>
      <c r="M1379">
        <v>0</v>
      </c>
    </row>
    <row r="1380" spans="1:13">
      <c r="A1380" s="28">
        <v>74610</v>
      </c>
      <c r="B1380" t="s">
        <v>1520</v>
      </c>
      <c r="C1380">
        <v>2890</v>
      </c>
      <c r="D1380">
        <v>-80</v>
      </c>
      <c r="E1380">
        <v>-2.69</v>
      </c>
      <c r="F1380" t="s">
        <v>397</v>
      </c>
      <c r="G1380" t="s">
        <v>397</v>
      </c>
      <c r="H1380" t="s">
        <v>397</v>
      </c>
      <c r="I1380" t="s">
        <v>397</v>
      </c>
      <c r="J1380">
        <v>1107</v>
      </c>
      <c r="K1380">
        <v>2.61</v>
      </c>
      <c r="L1380">
        <v>0</v>
      </c>
      <c r="M1380">
        <v>0</v>
      </c>
    </row>
    <row r="1381" spans="1:13">
      <c r="A1381" s="28">
        <v>146060</v>
      </c>
      <c r="B1381" t="s">
        <v>1521</v>
      </c>
      <c r="C1381">
        <v>1830</v>
      </c>
      <c r="D1381">
        <v>12</v>
      </c>
      <c r="E1381">
        <v>0.66</v>
      </c>
      <c r="F1381" t="s">
        <v>397</v>
      </c>
      <c r="G1381" t="s">
        <v>397</v>
      </c>
      <c r="H1381" t="s">
        <v>397</v>
      </c>
      <c r="I1381" t="s">
        <v>397</v>
      </c>
      <c r="J1381" t="s">
        <v>397</v>
      </c>
      <c r="K1381" t="s">
        <v>397</v>
      </c>
      <c r="L1381">
        <v>0</v>
      </c>
      <c r="M1381">
        <v>0</v>
      </c>
    </row>
    <row r="1382" spans="1:13">
      <c r="A1382" s="28">
        <v>110020</v>
      </c>
      <c r="B1382" t="s">
        <v>1522</v>
      </c>
      <c r="C1382">
        <v>8010</v>
      </c>
      <c r="D1382">
        <v>10</v>
      </c>
      <c r="E1382">
        <v>0.13</v>
      </c>
      <c r="F1382" t="s">
        <v>397</v>
      </c>
      <c r="G1382" t="s">
        <v>397</v>
      </c>
      <c r="H1382" t="s">
        <v>397</v>
      </c>
      <c r="I1382" t="s">
        <v>397</v>
      </c>
      <c r="J1382">
        <v>1390</v>
      </c>
      <c r="K1382">
        <v>5.76</v>
      </c>
      <c r="L1382">
        <v>0</v>
      </c>
      <c r="M1382">
        <v>0</v>
      </c>
    </row>
    <row r="1383" spans="1:13">
      <c r="A1383" s="28">
        <v>72770</v>
      </c>
      <c r="B1383" t="s">
        <v>1523</v>
      </c>
      <c r="C1383">
        <v>2140</v>
      </c>
      <c r="D1383">
        <v>5</v>
      </c>
      <c r="E1383">
        <v>0.23</v>
      </c>
      <c r="F1383" t="s">
        <v>397</v>
      </c>
      <c r="G1383" t="s">
        <v>397</v>
      </c>
      <c r="H1383" t="s">
        <v>397</v>
      </c>
      <c r="I1383" t="s">
        <v>397</v>
      </c>
      <c r="J1383">
        <v>1001</v>
      </c>
      <c r="K1383">
        <v>2.14</v>
      </c>
      <c r="L1383">
        <v>0</v>
      </c>
      <c r="M1383">
        <v>0</v>
      </c>
    </row>
    <row r="1384" spans="1:13">
      <c r="A1384" s="28">
        <v>418620</v>
      </c>
      <c r="B1384" t="s">
        <v>1524</v>
      </c>
      <c r="C1384">
        <v>23000</v>
      </c>
      <c r="D1384">
        <v>300</v>
      </c>
      <c r="E1384">
        <v>1.32</v>
      </c>
      <c r="F1384" t="s">
        <v>397</v>
      </c>
      <c r="G1384" t="s">
        <v>397</v>
      </c>
      <c r="H1384" t="s">
        <v>397</v>
      </c>
      <c r="I1384" t="s">
        <v>397</v>
      </c>
      <c r="J1384" t="s">
        <v>397</v>
      </c>
      <c r="K1384" t="s">
        <v>397</v>
      </c>
      <c r="L1384">
        <v>0</v>
      </c>
      <c r="M1384">
        <v>0</v>
      </c>
    </row>
    <row r="1385" spans="1:13">
      <c r="A1385" s="28">
        <v>93230</v>
      </c>
      <c r="B1385" t="s">
        <v>1525</v>
      </c>
      <c r="C1385">
        <v>1392</v>
      </c>
      <c r="D1385">
        <v>0</v>
      </c>
      <c r="E1385">
        <v>0</v>
      </c>
      <c r="F1385" t="s">
        <v>397</v>
      </c>
      <c r="G1385" t="s">
        <v>397</v>
      </c>
      <c r="H1385" t="s">
        <v>397</v>
      </c>
      <c r="I1385" t="s">
        <v>397</v>
      </c>
      <c r="J1385">
        <v>1584</v>
      </c>
      <c r="K1385">
        <v>0.88</v>
      </c>
      <c r="L1385">
        <v>0</v>
      </c>
      <c r="M1385">
        <v>0</v>
      </c>
    </row>
    <row r="1386" spans="1:13">
      <c r="A1386" s="28">
        <v>45510</v>
      </c>
      <c r="B1386" t="s">
        <v>1526</v>
      </c>
      <c r="C1386">
        <v>1284</v>
      </c>
      <c r="D1386">
        <v>-2</v>
      </c>
      <c r="E1386">
        <v>-0.16</v>
      </c>
      <c r="F1386">
        <v>38</v>
      </c>
      <c r="G1386">
        <v>33.79</v>
      </c>
      <c r="H1386" t="s">
        <v>397</v>
      </c>
      <c r="I1386" t="s">
        <v>397</v>
      </c>
      <c r="J1386">
        <v>1313</v>
      </c>
      <c r="K1386">
        <v>0.98</v>
      </c>
      <c r="L1386">
        <v>0</v>
      </c>
      <c r="M1386">
        <v>0</v>
      </c>
    </row>
    <row r="1387" spans="1:13">
      <c r="A1387" s="28">
        <v>47560</v>
      </c>
      <c r="B1387" t="s">
        <v>1527</v>
      </c>
      <c r="C1387">
        <v>28600</v>
      </c>
      <c r="D1387">
        <v>-2500</v>
      </c>
      <c r="E1387">
        <v>-8.0399999999999991</v>
      </c>
      <c r="F1387" t="s">
        <v>397</v>
      </c>
      <c r="G1387" t="s">
        <v>397</v>
      </c>
      <c r="H1387" t="s">
        <v>397</v>
      </c>
      <c r="I1387" t="s">
        <v>397</v>
      </c>
      <c r="J1387">
        <v>5228</v>
      </c>
      <c r="K1387">
        <v>5.47</v>
      </c>
      <c r="L1387">
        <v>0</v>
      </c>
      <c r="M1387">
        <v>0</v>
      </c>
    </row>
    <row r="1388" spans="1:13">
      <c r="A1388" s="28">
        <v>15020</v>
      </c>
      <c r="B1388" t="s">
        <v>1528</v>
      </c>
      <c r="C1388">
        <v>706</v>
      </c>
      <c r="D1388">
        <v>1</v>
      </c>
      <c r="E1388">
        <v>0.14000000000000001</v>
      </c>
      <c r="F1388" t="s">
        <v>397</v>
      </c>
      <c r="G1388" t="s">
        <v>397</v>
      </c>
      <c r="H1388" t="s">
        <v>397</v>
      </c>
      <c r="I1388" t="s">
        <v>397</v>
      </c>
      <c r="J1388">
        <v>1165</v>
      </c>
      <c r="K1388">
        <v>0.61</v>
      </c>
      <c r="L1388">
        <v>0</v>
      </c>
      <c r="M1388">
        <v>0</v>
      </c>
    </row>
    <row r="1389" spans="1:13">
      <c r="A1389" s="28">
        <v>33340</v>
      </c>
      <c r="B1389" t="s">
        <v>1529</v>
      </c>
      <c r="C1389">
        <v>2110</v>
      </c>
      <c r="D1389">
        <v>0</v>
      </c>
      <c r="E1389">
        <v>0</v>
      </c>
      <c r="F1389" t="s">
        <v>397</v>
      </c>
      <c r="G1389" t="s">
        <v>397</v>
      </c>
      <c r="H1389" t="s">
        <v>397</v>
      </c>
      <c r="I1389" t="s">
        <v>397</v>
      </c>
      <c r="J1389">
        <v>553</v>
      </c>
      <c r="K1389">
        <v>3.82</v>
      </c>
      <c r="L1389">
        <v>0</v>
      </c>
      <c r="M1389">
        <v>0</v>
      </c>
    </row>
    <row r="1390" spans="1:13">
      <c r="A1390" s="28">
        <v>60310</v>
      </c>
      <c r="B1390" t="s">
        <v>1530</v>
      </c>
      <c r="C1390">
        <v>2885</v>
      </c>
      <c r="D1390">
        <v>95</v>
      </c>
      <c r="E1390">
        <v>3.41</v>
      </c>
      <c r="F1390">
        <v>30</v>
      </c>
      <c r="G1390">
        <v>96.17</v>
      </c>
      <c r="H1390" t="s">
        <v>397</v>
      </c>
      <c r="I1390" t="s">
        <v>397</v>
      </c>
      <c r="J1390">
        <v>947</v>
      </c>
      <c r="K1390">
        <v>3.05</v>
      </c>
      <c r="L1390">
        <v>0</v>
      </c>
      <c r="M1390">
        <v>0</v>
      </c>
    </row>
    <row r="1391" spans="1:13">
      <c r="A1391" s="28">
        <v>109070</v>
      </c>
      <c r="B1391" t="s">
        <v>1531</v>
      </c>
      <c r="C1391">
        <v>4100</v>
      </c>
      <c r="D1391">
        <v>0</v>
      </c>
      <c r="E1391">
        <v>0</v>
      </c>
      <c r="F1391" t="s">
        <v>397</v>
      </c>
      <c r="G1391" t="s">
        <v>397</v>
      </c>
      <c r="H1391" t="s">
        <v>397</v>
      </c>
      <c r="I1391" t="s">
        <v>397</v>
      </c>
      <c r="J1391">
        <v>402</v>
      </c>
      <c r="K1391">
        <v>10.199999999999999</v>
      </c>
      <c r="L1391">
        <v>0</v>
      </c>
      <c r="M1391">
        <v>0</v>
      </c>
    </row>
    <row r="1392" spans="1:13">
      <c r="A1392" s="28">
        <v>147760</v>
      </c>
      <c r="B1392" t="s">
        <v>1532</v>
      </c>
      <c r="C1392">
        <v>6680</v>
      </c>
      <c r="D1392">
        <v>0</v>
      </c>
      <c r="E1392">
        <v>0</v>
      </c>
      <c r="F1392" t="s">
        <v>397</v>
      </c>
      <c r="G1392" t="s">
        <v>397</v>
      </c>
      <c r="H1392" t="s">
        <v>397</v>
      </c>
      <c r="I1392" t="s">
        <v>397</v>
      </c>
      <c r="J1392">
        <v>4896</v>
      </c>
      <c r="K1392">
        <v>1.36</v>
      </c>
      <c r="L1392">
        <v>0</v>
      </c>
      <c r="M1392">
        <v>0</v>
      </c>
    </row>
    <row r="1393" spans="1:13">
      <c r="A1393" s="28">
        <v>446750</v>
      </c>
      <c r="B1393" t="s">
        <v>1533</v>
      </c>
      <c r="C1393">
        <v>2135</v>
      </c>
      <c r="D1393">
        <v>5</v>
      </c>
      <c r="E1393">
        <v>0.23</v>
      </c>
      <c r="F1393" t="s">
        <v>397</v>
      </c>
      <c r="G1393" t="s">
        <v>397</v>
      </c>
      <c r="H1393" t="s">
        <v>397</v>
      </c>
      <c r="I1393" t="s">
        <v>397</v>
      </c>
      <c r="J1393" t="s">
        <v>397</v>
      </c>
      <c r="K1393" t="s">
        <v>397</v>
      </c>
      <c r="L1393">
        <v>0</v>
      </c>
      <c r="M1393">
        <v>0</v>
      </c>
    </row>
    <row r="1394" spans="1:13">
      <c r="A1394" s="28">
        <v>417180</v>
      </c>
      <c r="B1394" t="s">
        <v>1534</v>
      </c>
      <c r="C1394">
        <v>3735</v>
      </c>
      <c r="D1394">
        <v>85</v>
      </c>
      <c r="E1394">
        <v>2.33</v>
      </c>
      <c r="F1394" t="s">
        <v>397</v>
      </c>
      <c r="G1394" t="s">
        <v>397</v>
      </c>
      <c r="H1394" t="s">
        <v>397</v>
      </c>
      <c r="I1394" t="s">
        <v>397</v>
      </c>
      <c r="J1394">
        <v>1083</v>
      </c>
      <c r="K1394">
        <v>3.45</v>
      </c>
      <c r="L1394">
        <v>0</v>
      </c>
      <c r="M1394">
        <v>0</v>
      </c>
    </row>
    <row r="1395" spans="1:13">
      <c r="A1395" s="28">
        <v>347770</v>
      </c>
      <c r="B1395" t="s">
        <v>1535</v>
      </c>
      <c r="C1395">
        <v>3965</v>
      </c>
      <c r="D1395">
        <v>-75</v>
      </c>
      <c r="E1395">
        <v>-1.86</v>
      </c>
      <c r="F1395">
        <v>82</v>
      </c>
      <c r="G1395">
        <v>48.35</v>
      </c>
      <c r="H1395" t="s">
        <v>397</v>
      </c>
      <c r="I1395" t="s">
        <v>397</v>
      </c>
      <c r="J1395">
        <v>2476</v>
      </c>
      <c r="K1395">
        <v>1.6</v>
      </c>
      <c r="L1395">
        <v>0</v>
      </c>
      <c r="M1395">
        <v>0</v>
      </c>
    </row>
    <row r="1396" spans="1:13">
      <c r="A1396" s="28">
        <v>378340</v>
      </c>
      <c r="B1396" t="s">
        <v>1536</v>
      </c>
      <c r="C1396">
        <v>28400</v>
      </c>
      <c r="D1396">
        <v>-400</v>
      </c>
      <c r="E1396">
        <v>-1.39</v>
      </c>
      <c r="F1396">
        <v>248</v>
      </c>
      <c r="G1396">
        <v>114.52</v>
      </c>
      <c r="H1396" t="s">
        <v>397</v>
      </c>
      <c r="I1396" t="s">
        <v>397</v>
      </c>
      <c r="J1396">
        <v>1637</v>
      </c>
      <c r="K1396">
        <v>17.350000000000001</v>
      </c>
      <c r="L1396">
        <v>0</v>
      </c>
      <c r="M1396">
        <v>0</v>
      </c>
    </row>
    <row r="1397" spans="1:13">
      <c r="A1397" s="28">
        <v>291810</v>
      </c>
      <c r="B1397" t="s">
        <v>1537</v>
      </c>
      <c r="C1397">
        <v>3595</v>
      </c>
      <c r="D1397">
        <v>-20</v>
      </c>
      <c r="E1397">
        <v>-0.55000000000000004</v>
      </c>
      <c r="F1397" t="s">
        <v>397</v>
      </c>
      <c r="G1397" t="s">
        <v>397</v>
      </c>
      <c r="H1397" t="s">
        <v>397</v>
      </c>
      <c r="I1397" t="s">
        <v>397</v>
      </c>
      <c r="J1397">
        <v>1915</v>
      </c>
      <c r="K1397">
        <v>1.88</v>
      </c>
      <c r="L1397">
        <v>0</v>
      </c>
      <c r="M1397">
        <v>0</v>
      </c>
    </row>
    <row r="1398" spans="1:13">
      <c r="A1398" s="28">
        <v>62970</v>
      </c>
      <c r="B1398" t="s">
        <v>1538</v>
      </c>
      <c r="C1398">
        <v>1757</v>
      </c>
      <c r="D1398">
        <v>-248</v>
      </c>
      <c r="E1398">
        <v>-12.37</v>
      </c>
      <c r="F1398">
        <v>54</v>
      </c>
      <c r="G1398">
        <v>32.54</v>
      </c>
      <c r="H1398" t="s">
        <v>397</v>
      </c>
      <c r="I1398" t="s">
        <v>397</v>
      </c>
      <c r="J1398">
        <v>513</v>
      </c>
      <c r="K1398">
        <v>3.42</v>
      </c>
      <c r="L1398">
        <v>0</v>
      </c>
      <c r="M1398">
        <v>0</v>
      </c>
    </row>
    <row r="1399" spans="1:13">
      <c r="A1399" s="28">
        <v>304840</v>
      </c>
      <c r="B1399" t="s">
        <v>1539</v>
      </c>
      <c r="C1399">
        <v>2945</v>
      </c>
      <c r="D1399">
        <v>-15</v>
      </c>
      <c r="E1399">
        <v>-0.51</v>
      </c>
      <c r="F1399" t="s">
        <v>397</v>
      </c>
      <c r="G1399" t="s">
        <v>397</v>
      </c>
      <c r="H1399" t="s">
        <v>397</v>
      </c>
      <c r="I1399" t="s">
        <v>397</v>
      </c>
      <c r="J1399">
        <v>264</v>
      </c>
      <c r="K1399">
        <v>11.16</v>
      </c>
      <c r="L1399">
        <v>0</v>
      </c>
      <c r="M1399">
        <v>0</v>
      </c>
    </row>
    <row r="1400" spans="1:13">
      <c r="A1400" s="28">
        <v>376180</v>
      </c>
      <c r="B1400" t="s">
        <v>1540</v>
      </c>
      <c r="C1400">
        <v>4000</v>
      </c>
      <c r="D1400">
        <v>-25</v>
      </c>
      <c r="E1400">
        <v>-0.62</v>
      </c>
      <c r="F1400">
        <v>176</v>
      </c>
      <c r="G1400">
        <v>22.73</v>
      </c>
      <c r="H1400" t="s">
        <v>397</v>
      </c>
      <c r="I1400" t="s">
        <v>397</v>
      </c>
      <c r="J1400">
        <v>1716</v>
      </c>
      <c r="K1400">
        <v>2.33</v>
      </c>
      <c r="L1400">
        <v>0</v>
      </c>
      <c r="M1400">
        <v>0</v>
      </c>
    </row>
    <row r="1401" spans="1:13">
      <c r="A1401" s="28">
        <v>257370</v>
      </c>
      <c r="B1401" t="s">
        <v>1541</v>
      </c>
      <c r="C1401">
        <v>9210</v>
      </c>
      <c r="D1401">
        <v>0</v>
      </c>
      <c r="E1401">
        <v>0</v>
      </c>
      <c r="F1401" t="s">
        <v>397</v>
      </c>
      <c r="G1401" t="s">
        <v>397</v>
      </c>
      <c r="H1401" t="s">
        <v>397</v>
      </c>
      <c r="I1401" t="s">
        <v>397</v>
      </c>
      <c r="J1401">
        <v>2120</v>
      </c>
      <c r="K1401">
        <v>4.34</v>
      </c>
      <c r="L1401">
        <v>0</v>
      </c>
      <c r="M1401">
        <v>0</v>
      </c>
    </row>
    <row r="1402" spans="1:13">
      <c r="A1402" s="28">
        <v>454750</v>
      </c>
      <c r="B1402" t="s">
        <v>1542</v>
      </c>
      <c r="C1402">
        <v>2110</v>
      </c>
      <c r="D1402">
        <v>5</v>
      </c>
      <c r="E1402">
        <v>0.24</v>
      </c>
      <c r="F1402" t="s">
        <v>397</v>
      </c>
      <c r="G1402" t="s">
        <v>397</v>
      </c>
      <c r="H1402" t="s">
        <v>397</v>
      </c>
      <c r="I1402" t="s">
        <v>397</v>
      </c>
      <c r="J1402" t="s">
        <v>397</v>
      </c>
      <c r="K1402" t="s">
        <v>397</v>
      </c>
      <c r="L1402">
        <v>0</v>
      </c>
      <c r="M1402">
        <v>0</v>
      </c>
    </row>
    <row r="1403" spans="1:13">
      <c r="A1403" s="28">
        <v>239890</v>
      </c>
      <c r="B1403" t="s">
        <v>1543</v>
      </c>
      <c r="C1403">
        <v>19090</v>
      </c>
      <c r="D1403">
        <v>-330</v>
      </c>
      <c r="E1403">
        <v>-1.7</v>
      </c>
      <c r="F1403">
        <v>822</v>
      </c>
      <c r="G1403">
        <v>23.22</v>
      </c>
      <c r="H1403">
        <v>1084</v>
      </c>
      <c r="I1403">
        <v>17.61</v>
      </c>
      <c r="J1403">
        <v>3090</v>
      </c>
      <c r="K1403">
        <v>6.18</v>
      </c>
      <c r="L1403">
        <v>0</v>
      </c>
      <c r="M1403">
        <v>0</v>
      </c>
    </row>
    <row r="1404" spans="1:13">
      <c r="A1404" s="28">
        <v>57880</v>
      </c>
      <c r="B1404" t="s">
        <v>1544</v>
      </c>
      <c r="C1404">
        <v>17570</v>
      </c>
      <c r="D1404">
        <v>0</v>
      </c>
      <c r="E1404">
        <v>0</v>
      </c>
      <c r="F1404" t="s">
        <v>397</v>
      </c>
      <c r="G1404" t="s">
        <v>397</v>
      </c>
      <c r="H1404" t="s">
        <v>397</v>
      </c>
      <c r="I1404" t="s">
        <v>397</v>
      </c>
      <c r="J1404">
        <v>1616</v>
      </c>
      <c r="K1404">
        <v>10.87</v>
      </c>
      <c r="L1404">
        <v>0</v>
      </c>
      <c r="M1404">
        <v>0</v>
      </c>
    </row>
    <row r="1405" spans="1:13">
      <c r="A1405" s="28">
        <v>237750</v>
      </c>
      <c r="B1405" t="s">
        <v>1545</v>
      </c>
      <c r="C1405">
        <v>5430</v>
      </c>
      <c r="D1405">
        <v>10</v>
      </c>
      <c r="E1405">
        <v>0.18</v>
      </c>
      <c r="F1405">
        <v>453</v>
      </c>
      <c r="G1405">
        <v>11.99</v>
      </c>
      <c r="H1405" t="s">
        <v>397</v>
      </c>
      <c r="I1405" t="s">
        <v>397</v>
      </c>
      <c r="J1405">
        <v>10577</v>
      </c>
      <c r="K1405">
        <v>0.51</v>
      </c>
      <c r="L1405">
        <v>0</v>
      </c>
      <c r="M1405">
        <v>0</v>
      </c>
    </row>
    <row r="1406" spans="1:13">
      <c r="A1406" s="28">
        <v>241820</v>
      </c>
      <c r="B1406" t="s">
        <v>1546</v>
      </c>
      <c r="C1406">
        <v>1324</v>
      </c>
      <c r="D1406">
        <v>-31</v>
      </c>
      <c r="E1406">
        <v>-2.29</v>
      </c>
      <c r="F1406" t="s">
        <v>397</v>
      </c>
      <c r="G1406" t="s">
        <v>397</v>
      </c>
      <c r="H1406" t="s">
        <v>397</v>
      </c>
      <c r="I1406" t="s">
        <v>397</v>
      </c>
      <c r="J1406">
        <v>786</v>
      </c>
      <c r="K1406">
        <v>1.68</v>
      </c>
      <c r="L1406">
        <v>0</v>
      </c>
      <c r="M1406">
        <v>0</v>
      </c>
    </row>
    <row r="1407" spans="1:13">
      <c r="A1407" s="28">
        <v>32580</v>
      </c>
      <c r="B1407" t="s">
        <v>1547</v>
      </c>
      <c r="C1407">
        <v>1574</v>
      </c>
      <c r="D1407">
        <v>14</v>
      </c>
      <c r="E1407">
        <v>0.9</v>
      </c>
      <c r="F1407">
        <v>249</v>
      </c>
      <c r="G1407">
        <v>6.32</v>
      </c>
      <c r="H1407" t="s">
        <v>397</v>
      </c>
      <c r="I1407" t="s">
        <v>397</v>
      </c>
      <c r="J1407">
        <v>1482</v>
      </c>
      <c r="K1407">
        <v>1.06</v>
      </c>
      <c r="L1407">
        <v>0</v>
      </c>
      <c r="M1407">
        <v>0</v>
      </c>
    </row>
    <row r="1408" spans="1:13">
      <c r="A1408" s="28">
        <v>300080</v>
      </c>
      <c r="B1408" t="s">
        <v>1548</v>
      </c>
      <c r="C1408">
        <v>27500</v>
      </c>
      <c r="D1408">
        <v>-700</v>
      </c>
      <c r="E1408">
        <v>-2.48</v>
      </c>
      <c r="F1408" t="s">
        <v>397</v>
      </c>
      <c r="G1408" t="s">
        <v>397</v>
      </c>
      <c r="H1408">
        <v>797</v>
      </c>
      <c r="I1408">
        <v>34.5</v>
      </c>
      <c r="J1408">
        <v>2305</v>
      </c>
      <c r="K1408">
        <v>11.93</v>
      </c>
      <c r="L1408">
        <v>0</v>
      </c>
      <c r="M1408">
        <v>0</v>
      </c>
    </row>
    <row r="1409" spans="1:13">
      <c r="A1409" s="28">
        <v>23770</v>
      </c>
      <c r="B1409" t="s">
        <v>1549</v>
      </c>
      <c r="C1409">
        <v>5810</v>
      </c>
      <c r="D1409">
        <v>80</v>
      </c>
      <c r="E1409">
        <v>1.4</v>
      </c>
      <c r="F1409" t="s">
        <v>397</v>
      </c>
      <c r="G1409" t="s">
        <v>397</v>
      </c>
      <c r="H1409" t="s">
        <v>397</v>
      </c>
      <c r="I1409" t="s">
        <v>397</v>
      </c>
      <c r="J1409">
        <v>3213</v>
      </c>
      <c r="K1409">
        <v>1.81</v>
      </c>
      <c r="L1409">
        <v>0</v>
      </c>
      <c r="M1409">
        <v>0</v>
      </c>
    </row>
    <row r="1410" spans="1:13">
      <c r="A1410" s="28">
        <v>237820</v>
      </c>
      <c r="B1410" t="s">
        <v>1550</v>
      </c>
      <c r="C1410">
        <v>7380</v>
      </c>
      <c r="D1410">
        <v>-420</v>
      </c>
      <c r="E1410">
        <v>-5.38</v>
      </c>
      <c r="F1410">
        <v>386</v>
      </c>
      <c r="G1410">
        <v>19.12</v>
      </c>
      <c r="H1410" t="s">
        <v>397</v>
      </c>
      <c r="I1410" t="s">
        <v>397</v>
      </c>
      <c r="J1410">
        <v>6161</v>
      </c>
      <c r="K1410">
        <v>1.2</v>
      </c>
      <c r="L1410">
        <v>0</v>
      </c>
      <c r="M1410">
        <v>0</v>
      </c>
    </row>
    <row r="1411" spans="1:13">
      <c r="A1411" s="28">
        <v>448370</v>
      </c>
      <c r="B1411" t="s">
        <v>1551</v>
      </c>
      <c r="C1411">
        <v>2150</v>
      </c>
      <c r="D1411">
        <v>5</v>
      </c>
      <c r="E1411">
        <v>0.23</v>
      </c>
      <c r="F1411" t="s">
        <v>397</v>
      </c>
      <c r="G1411" t="s">
        <v>397</v>
      </c>
      <c r="H1411" t="s">
        <v>397</v>
      </c>
      <c r="I1411" t="s">
        <v>397</v>
      </c>
      <c r="J1411" t="s">
        <v>397</v>
      </c>
      <c r="K1411" t="s">
        <v>397</v>
      </c>
      <c r="L1411">
        <v>0</v>
      </c>
      <c r="M1411">
        <v>0</v>
      </c>
    </row>
    <row r="1412" spans="1:13">
      <c r="A1412" s="28">
        <v>454640</v>
      </c>
      <c r="B1412" t="s">
        <v>1552</v>
      </c>
      <c r="C1412">
        <v>2180</v>
      </c>
      <c r="D1412">
        <v>5</v>
      </c>
      <c r="E1412">
        <v>0.23</v>
      </c>
      <c r="F1412" t="s">
        <v>397</v>
      </c>
      <c r="G1412" t="s">
        <v>397</v>
      </c>
      <c r="H1412" t="s">
        <v>397</v>
      </c>
      <c r="I1412" t="s">
        <v>397</v>
      </c>
      <c r="J1412" t="s">
        <v>397</v>
      </c>
      <c r="K1412" t="s">
        <v>397</v>
      </c>
      <c r="L1412">
        <v>0</v>
      </c>
      <c r="M1412">
        <v>0</v>
      </c>
    </row>
    <row r="1413" spans="1:13">
      <c r="A1413" s="28">
        <v>367000</v>
      </c>
      <c r="B1413" t="s">
        <v>1553</v>
      </c>
      <c r="C1413">
        <v>7810</v>
      </c>
      <c r="D1413">
        <v>40</v>
      </c>
      <c r="E1413">
        <v>0.51</v>
      </c>
      <c r="F1413">
        <v>479</v>
      </c>
      <c r="G1413">
        <v>16.3</v>
      </c>
      <c r="H1413" t="s">
        <v>397</v>
      </c>
      <c r="I1413" t="s">
        <v>397</v>
      </c>
      <c r="J1413">
        <v>5752</v>
      </c>
      <c r="K1413">
        <v>1.36</v>
      </c>
      <c r="L1413">
        <v>0</v>
      </c>
      <c r="M1413">
        <v>0</v>
      </c>
    </row>
    <row r="1414" spans="1:13">
      <c r="A1414" s="28">
        <v>149980</v>
      </c>
      <c r="B1414" t="s">
        <v>1554</v>
      </c>
      <c r="C1414">
        <v>7350</v>
      </c>
      <c r="D1414">
        <v>-240</v>
      </c>
      <c r="E1414">
        <v>-3.16</v>
      </c>
      <c r="F1414">
        <v>181</v>
      </c>
      <c r="G1414">
        <v>40.61</v>
      </c>
      <c r="H1414" t="s">
        <v>397</v>
      </c>
      <c r="I1414" t="s">
        <v>397</v>
      </c>
      <c r="J1414">
        <v>3715</v>
      </c>
      <c r="K1414">
        <v>1.98</v>
      </c>
      <c r="L1414">
        <v>0</v>
      </c>
      <c r="M1414">
        <v>0</v>
      </c>
    </row>
    <row r="1415" spans="1:13">
      <c r="A1415" s="28">
        <v>5430</v>
      </c>
      <c r="B1415" t="s">
        <v>1555</v>
      </c>
      <c r="C1415">
        <v>51900</v>
      </c>
      <c r="D1415">
        <v>-900</v>
      </c>
      <c r="E1415">
        <v>-1.7</v>
      </c>
      <c r="F1415">
        <v>1888</v>
      </c>
      <c r="G1415">
        <v>27.49</v>
      </c>
      <c r="H1415" t="s">
        <v>397</v>
      </c>
      <c r="I1415" t="s">
        <v>397</v>
      </c>
      <c r="J1415">
        <v>110940</v>
      </c>
      <c r="K1415">
        <v>0.47</v>
      </c>
      <c r="L1415">
        <v>0</v>
      </c>
      <c r="M1415">
        <v>0</v>
      </c>
    </row>
    <row r="1416" spans="1:13">
      <c r="A1416" s="28">
        <v>36460</v>
      </c>
      <c r="B1416" t="s">
        <v>1556</v>
      </c>
      <c r="C1416">
        <v>28850</v>
      </c>
      <c r="D1416">
        <v>-300</v>
      </c>
      <c r="E1416">
        <v>-1.03</v>
      </c>
      <c r="F1416">
        <v>17317</v>
      </c>
      <c r="G1416">
        <v>1.67</v>
      </c>
      <c r="H1416">
        <v>7158</v>
      </c>
      <c r="I1416">
        <v>4.03</v>
      </c>
      <c r="J1416">
        <v>118693</v>
      </c>
      <c r="K1416">
        <v>0.24</v>
      </c>
      <c r="L1416">
        <v>0</v>
      </c>
      <c r="M1416">
        <v>0</v>
      </c>
    </row>
    <row r="1417" spans="1:13">
      <c r="A1417" s="28">
        <v>19490</v>
      </c>
      <c r="B1417" t="s">
        <v>1557</v>
      </c>
      <c r="C1417">
        <v>981</v>
      </c>
      <c r="D1417">
        <v>10</v>
      </c>
      <c r="E1417">
        <v>1.03</v>
      </c>
      <c r="F1417" t="s">
        <v>397</v>
      </c>
      <c r="G1417" t="s">
        <v>397</v>
      </c>
      <c r="H1417" t="s">
        <v>397</v>
      </c>
      <c r="I1417" t="s">
        <v>397</v>
      </c>
      <c r="J1417">
        <v>1353</v>
      </c>
      <c r="K1417">
        <v>0.73</v>
      </c>
      <c r="L1417">
        <v>0</v>
      </c>
      <c r="M1417">
        <v>0</v>
      </c>
    </row>
    <row r="1418" spans="1:13">
      <c r="A1418" s="28">
        <v>221840</v>
      </c>
      <c r="B1418" t="s">
        <v>1558</v>
      </c>
      <c r="C1418">
        <v>2310</v>
      </c>
      <c r="D1418">
        <v>0</v>
      </c>
      <c r="E1418">
        <v>0</v>
      </c>
      <c r="F1418" t="s">
        <v>397</v>
      </c>
      <c r="G1418" t="s">
        <v>397</v>
      </c>
      <c r="H1418" t="s">
        <v>397</v>
      </c>
      <c r="I1418" t="s">
        <v>397</v>
      </c>
      <c r="J1418">
        <v>3108</v>
      </c>
      <c r="K1418">
        <v>0.74</v>
      </c>
      <c r="L1418">
        <v>0</v>
      </c>
      <c r="M1418">
        <v>0</v>
      </c>
    </row>
    <row r="1419" spans="1:13">
      <c r="A1419" s="28">
        <v>450050</v>
      </c>
      <c r="B1419" t="s">
        <v>1559</v>
      </c>
      <c r="C1419">
        <v>2145</v>
      </c>
      <c r="D1419">
        <v>0</v>
      </c>
      <c r="E1419">
        <v>0</v>
      </c>
      <c r="F1419" t="s">
        <v>397</v>
      </c>
      <c r="G1419" t="s">
        <v>397</v>
      </c>
      <c r="H1419" t="s">
        <v>397</v>
      </c>
      <c r="I1419" t="s">
        <v>397</v>
      </c>
      <c r="J1419" t="s">
        <v>397</v>
      </c>
      <c r="K1419" t="s">
        <v>397</v>
      </c>
      <c r="L1419">
        <v>0</v>
      </c>
      <c r="M1419">
        <v>0</v>
      </c>
    </row>
    <row r="1420" spans="1:13">
      <c r="A1420" s="28">
        <v>400840</v>
      </c>
      <c r="B1420" t="s">
        <v>1560</v>
      </c>
      <c r="C1420">
        <v>2100</v>
      </c>
      <c r="D1420">
        <v>5</v>
      </c>
      <c r="E1420">
        <v>0.24</v>
      </c>
      <c r="F1420" t="s">
        <v>397</v>
      </c>
      <c r="G1420" t="s">
        <v>397</v>
      </c>
      <c r="H1420" t="s">
        <v>397</v>
      </c>
      <c r="I1420" t="s">
        <v>397</v>
      </c>
      <c r="J1420" t="s">
        <v>397</v>
      </c>
      <c r="K1420" t="s">
        <v>397</v>
      </c>
      <c r="L1420">
        <v>0</v>
      </c>
      <c r="M1420">
        <v>0</v>
      </c>
    </row>
    <row r="1421" spans="1:13">
      <c r="A1421" s="28">
        <v>106080</v>
      </c>
      <c r="B1421" t="s">
        <v>1561</v>
      </c>
      <c r="C1421">
        <v>5070</v>
      </c>
      <c r="D1421">
        <v>-30</v>
      </c>
      <c r="E1421">
        <v>-0.59</v>
      </c>
      <c r="F1421">
        <v>61</v>
      </c>
      <c r="G1421">
        <v>83.11</v>
      </c>
      <c r="H1421" t="s">
        <v>397</v>
      </c>
      <c r="I1421" t="s">
        <v>397</v>
      </c>
      <c r="J1421">
        <v>1109</v>
      </c>
      <c r="K1421">
        <v>4.57</v>
      </c>
      <c r="L1421">
        <v>0</v>
      </c>
      <c r="M1421">
        <v>0</v>
      </c>
    </row>
    <row r="1422" spans="1:13">
      <c r="A1422" s="28">
        <v>352820</v>
      </c>
      <c r="B1422" t="s">
        <v>1562</v>
      </c>
      <c r="C1422">
        <v>199000</v>
      </c>
      <c r="D1422">
        <v>-1000</v>
      </c>
      <c r="E1422">
        <v>-0.5</v>
      </c>
      <c r="F1422">
        <v>1265</v>
      </c>
      <c r="G1422">
        <v>157.31</v>
      </c>
      <c r="H1422">
        <v>7478</v>
      </c>
      <c r="I1422">
        <v>26.61</v>
      </c>
      <c r="J1422">
        <v>66995</v>
      </c>
      <c r="K1422">
        <v>2.97</v>
      </c>
      <c r="L1422">
        <v>0</v>
      </c>
      <c r="M1422">
        <v>0</v>
      </c>
    </row>
    <row r="1423" spans="1:13">
      <c r="A1423" s="28">
        <v>365590</v>
      </c>
      <c r="B1423" t="s">
        <v>1563</v>
      </c>
      <c r="C1423">
        <v>1423</v>
      </c>
      <c r="D1423">
        <v>-18</v>
      </c>
      <c r="E1423">
        <v>-1.25</v>
      </c>
      <c r="F1423" t="s">
        <v>397</v>
      </c>
      <c r="G1423" t="s">
        <v>397</v>
      </c>
      <c r="H1423">
        <v>35</v>
      </c>
      <c r="I1423">
        <v>40.64</v>
      </c>
      <c r="J1423">
        <v>133</v>
      </c>
      <c r="K1423">
        <v>10.7</v>
      </c>
      <c r="L1423">
        <v>0</v>
      </c>
      <c r="M1423">
        <v>0</v>
      </c>
    </row>
    <row r="1424" spans="1:13">
      <c r="A1424" s="28">
        <v>469880</v>
      </c>
      <c r="B1424" t="s">
        <v>1564</v>
      </c>
      <c r="C1424">
        <v>2065</v>
      </c>
      <c r="D1424">
        <v>10</v>
      </c>
      <c r="E1424">
        <v>0.49</v>
      </c>
      <c r="F1424" t="s">
        <v>397</v>
      </c>
      <c r="G1424" t="s">
        <v>397</v>
      </c>
      <c r="H1424" t="s">
        <v>397</v>
      </c>
      <c r="I1424" t="s">
        <v>397</v>
      </c>
      <c r="J1424" t="s">
        <v>397</v>
      </c>
      <c r="K1424" t="s">
        <v>397</v>
      </c>
      <c r="L1424">
        <v>0</v>
      </c>
      <c r="M1424">
        <v>0</v>
      </c>
    </row>
    <row r="1425" spans="1:13">
      <c r="A1425" s="28">
        <v>101670</v>
      </c>
      <c r="B1425" t="s">
        <v>1565</v>
      </c>
      <c r="C1425">
        <v>6190</v>
      </c>
      <c r="D1425">
        <v>-80</v>
      </c>
      <c r="E1425">
        <v>-1.28</v>
      </c>
      <c r="F1425" t="s">
        <v>397</v>
      </c>
      <c r="G1425" t="s">
        <v>397</v>
      </c>
      <c r="H1425" t="s">
        <v>397</v>
      </c>
      <c r="I1425" t="s">
        <v>397</v>
      </c>
      <c r="J1425">
        <v>2675</v>
      </c>
      <c r="K1425">
        <v>2.31</v>
      </c>
      <c r="L1425">
        <v>0</v>
      </c>
      <c r="M1425">
        <v>0</v>
      </c>
    </row>
    <row r="1426" spans="1:13">
      <c r="A1426" s="28">
        <v>39130</v>
      </c>
      <c r="B1426" t="s">
        <v>1566</v>
      </c>
      <c r="C1426">
        <v>67500</v>
      </c>
      <c r="D1426">
        <v>1100</v>
      </c>
      <c r="E1426">
        <v>1.66</v>
      </c>
      <c r="F1426" t="s">
        <v>397</v>
      </c>
      <c r="G1426" t="s">
        <v>397</v>
      </c>
      <c r="H1426">
        <v>4083</v>
      </c>
      <c r="I1426">
        <v>16.53</v>
      </c>
      <c r="J1426">
        <v>7960</v>
      </c>
      <c r="K1426">
        <v>8.48</v>
      </c>
      <c r="L1426">
        <v>0</v>
      </c>
      <c r="M1426">
        <v>0</v>
      </c>
    </row>
    <row r="1427" spans="1:13">
      <c r="A1427" s="28">
        <v>299030</v>
      </c>
      <c r="B1427" t="s">
        <v>1567</v>
      </c>
      <c r="C1427">
        <v>63500</v>
      </c>
      <c r="D1427">
        <v>-800</v>
      </c>
      <c r="E1427">
        <v>-1.24</v>
      </c>
      <c r="F1427">
        <v>208</v>
      </c>
      <c r="G1427">
        <v>305.29000000000002</v>
      </c>
      <c r="H1427" t="s">
        <v>397</v>
      </c>
      <c r="I1427" t="s">
        <v>397</v>
      </c>
      <c r="J1427">
        <v>9997</v>
      </c>
      <c r="K1427">
        <v>6.35</v>
      </c>
      <c r="L1427">
        <v>0</v>
      </c>
      <c r="M1427">
        <v>0</v>
      </c>
    </row>
    <row r="1428" spans="1:13">
      <c r="A1428" s="28">
        <v>435620</v>
      </c>
      <c r="B1428" t="s">
        <v>1568</v>
      </c>
      <c r="C1428">
        <v>9760</v>
      </c>
      <c r="D1428">
        <v>20</v>
      </c>
      <c r="E1428">
        <v>0.21</v>
      </c>
      <c r="F1428" t="s">
        <v>397</v>
      </c>
      <c r="G1428" t="s">
        <v>397</v>
      </c>
      <c r="H1428" t="s">
        <v>397</v>
      </c>
      <c r="I1428" t="s">
        <v>397</v>
      </c>
      <c r="J1428" t="s">
        <v>397</v>
      </c>
      <c r="K1428" t="s">
        <v>397</v>
      </c>
      <c r="L1428">
        <v>0</v>
      </c>
      <c r="M1428">
        <v>0</v>
      </c>
    </row>
    <row r="1429" spans="1:13">
      <c r="A1429" s="28">
        <v>430230</v>
      </c>
      <c r="B1429" t="s">
        <v>1569</v>
      </c>
      <c r="C1429">
        <v>2360</v>
      </c>
      <c r="D1429">
        <v>0</v>
      </c>
      <c r="E1429">
        <v>0</v>
      </c>
      <c r="F1429" t="s">
        <v>397</v>
      </c>
      <c r="G1429" t="s">
        <v>397</v>
      </c>
      <c r="H1429" t="s">
        <v>397</v>
      </c>
      <c r="I1429" t="s">
        <v>397</v>
      </c>
      <c r="J1429" t="s">
        <v>397</v>
      </c>
      <c r="K1429" t="s">
        <v>397</v>
      </c>
      <c r="L1429">
        <v>0</v>
      </c>
      <c r="M1429">
        <v>0</v>
      </c>
    </row>
    <row r="1430" spans="1:13">
      <c r="A1430" s="28">
        <v>418170</v>
      </c>
      <c r="B1430" t="s">
        <v>1570</v>
      </c>
      <c r="C1430">
        <v>2180</v>
      </c>
      <c r="D1430">
        <v>10</v>
      </c>
      <c r="E1430">
        <v>0.46</v>
      </c>
      <c r="F1430" t="s">
        <v>397</v>
      </c>
      <c r="G1430" t="s">
        <v>397</v>
      </c>
      <c r="H1430" t="s">
        <v>397</v>
      </c>
      <c r="I1430" t="s">
        <v>397</v>
      </c>
      <c r="J1430" t="s">
        <v>397</v>
      </c>
      <c r="K1430" t="s">
        <v>397</v>
      </c>
      <c r="L1430">
        <v>0</v>
      </c>
      <c r="M1430">
        <v>0</v>
      </c>
    </row>
    <row r="1431" spans="1:13">
      <c r="A1431" s="28">
        <v>406760</v>
      </c>
      <c r="B1431" t="s">
        <v>1571</v>
      </c>
      <c r="C1431">
        <v>2135</v>
      </c>
      <c r="D1431">
        <v>0</v>
      </c>
      <c r="E1431">
        <v>0</v>
      </c>
      <c r="F1431" t="s">
        <v>397</v>
      </c>
      <c r="G1431" t="s">
        <v>397</v>
      </c>
      <c r="H1431" t="s">
        <v>397</v>
      </c>
      <c r="I1431" t="s">
        <v>397</v>
      </c>
      <c r="J1431" t="s">
        <v>397</v>
      </c>
      <c r="K1431" t="s">
        <v>397</v>
      </c>
      <c r="L1431">
        <v>0</v>
      </c>
      <c r="M1431">
        <v>0</v>
      </c>
    </row>
    <row r="1432" spans="1:13">
      <c r="A1432" s="28">
        <v>469900</v>
      </c>
      <c r="B1432" t="s">
        <v>1572</v>
      </c>
      <c r="C1432">
        <v>2075</v>
      </c>
      <c r="D1432">
        <v>25</v>
      </c>
      <c r="E1432">
        <v>1.22</v>
      </c>
      <c r="F1432" t="s">
        <v>397</v>
      </c>
      <c r="G1432" t="s">
        <v>397</v>
      </c>
      <c r="H1432" t="s">
        <v>397</v>
      </c>
      <c r="I1432" t="s">
        <v>397</v>
      </c>
      <c r="J1432" t="s">
        <v>397</v>
      </c>
      <c r="K1432" t="s">
        <v>397</v>
      </c>
      <c r="L1432">
        <v>0</v>
      </c>
      <c r="M1432">
        <v>0</v>
      </c>
    </row>
    <row r="1433" spans="1:13">
      <c r="A1433" s="28">
        <v>9810</v>
      </c>
      <c r="B1433" t="s">
        <v>1573</v>
      </c>
      <c r="C1433">
        <v>568</v>
      </c>
      <c r="D1433">
        <v>5</v>
      </c>
      <c r="E1433">
        <v>0.89</v>
      </c>
      <c r="F1433">
        <v>14</v>
      </c>
      <c r="G1433">
        <v>40.57</v>
      </c>
      <c r="H1433" t="s">
        <v>397</v>
      </c>
      <c r="I1433" t="s">
        <v>397</v>
      </c>
      <c r="J1433">
        <v>685</v>
      </c>
      <c r="K1433">
        <v>0.83</v>
      </c>
      <c r="L1433">
        <v>0</v>
      </c>
      <c r="M1433">
        <v>0</v>
      </c>
    </row>
    <row r="1434" spans="1:13">
      <c r="A1434" s="28">
        <v>41590</v>
      </c>
      <c r="B1434" t="s">
        <v>1574</v>
      </c>
      <c r="C1434">
        <v>1128</v>
      </c>
      <c r="D1434">
        <v>-222</v>
      </c>
      <c r="E1434">
        <v>-16.440000000000001</v>
      </c>
      <c r="F1434" t="s">
        <v>397</v>
      </c>
      <c r="G1434" t="s">
        <v>397</v>
      </c>
      <c r="H1434" t="s">
        <v>397</v>
      </c>
      <c r="I1434" t="s">
        <v>397</v>
      </c>
      <c r="J1434">
        <v>555</v>
      </c>
      <c r="K1434">
        <v>2.0299999999999998</v>
      </c>
      <c r="L1434">
        <v>0</v>
      </c>
      <c r="M1434">
        <v>0</v>
      </c>
    </row>
    <row r="1435" spans="1:13">
      <c r="A1435" s="28">
        <v>256840</v>
      </c>
      <c r="B1435" t="s">
        <v>1575</v>
      </c>
      <c r="C1435">
        <v>7150</v>
      </c>
      <c r="D1435">
        <v>460</v>
      </c>
      <c r="E1435">
        <v>6.88</v>
      </c>
      <c r="F1435" t="s">
        <v>397</v>
      </c>
      <c r="G1435" t="s">
        <v>397</v>
      </c>
      <c r="H1435" t="s">
        <v>397</v>
      </c>
      <c r="I1435" t="s">
        <v>397</v>
      </c>
      <c r="J1435">
        <v>2786</v>
      </c>
      <c r="K1435">
        <v>2.57</v>
      </c>
      <c r="L1435">
        <v>0</v>
      </c>
      <c r="M1435">
        <v>0</v>
      </c>
    </row>
    <row r="1436" spans="1:13">
      <c r="A1436" s="28">
        <v>131760</v>
      </c>
      <c r="B1436" t="s">
        <v>1576</v>
      </c>
      <c r="C1436">
        <v>878</v>
      </c>
      <c r="D1436">
        <v>4</v>
      </c>
      <c r="E1436">
        <v>0.46</v>
      </c>
      <c r="F1436">
        <v>140</v>
      </c>
      <c r="G1436">
        <v>6.27</v>
      </c>
      <c r="H1436" t="s">
        <v>397</v>
      </c>
      <c r="I1436" t="s">
        <v>397</v>
      </c>
      <c r="J1436">
        <v>810</v>
      </c>
      <c r="K1436">
        <v>1.08</v>
      </c>
      <c r="L1436">
        <v>0</v>
      </c>
      <c r="M1436">
        <v>0</v>
      </c>
    </row>
    <row r="1437" spans="1:13">
      <c r="A1437" s="28">
        <v>271830</v>
      </c>
      <c r="B1437" t="s">
        <v>1577</v>
      </c>
      <c r="C1437">
        <v>3365</v>
      </c>
      <c r="D1437">
        <v>-35</v>
      </c>
      <c r="E1437">
        <v>-1.03</v>
      </c>
      <c r="F1437" t="s">
        <v>397</v>
      </c>
      <c r="G1437" t="s">
        <v>397</v>
      </c>
      <c r="H1437" t="s">
        <v>397</v>
      </c>
      <c r="I1437" t="s">
        <v>397</v>
      </c>
      <c r="J1437" t="s">
        <v>397</v>
      </c>
      <c r="K1437" t="s">
        <v>397</v>
      </c>
      <c r="L1437">
        <v>0</v>
      </c>
      <c r="M1437">
        <v>0</v>
      </c>
    </row>
    <row r="1438" spans="1:13">
      <c r="A1438" s="28">
        <v>222110</v>
      </c>
      <c r="B1438" t="s">
        <v>1578</v>
      </c>
      <c r="C1438">
        <v>6130</v>
      </c>
      <c r="D1438">
        <v>-80</v>
      </c>
      <c r="E1438">
        <v>-1.29</v>
      </c>
      <c r="F1438" t="s">
        <v>397</v>
      </c>
      <c r="G1438" t="s">
        <v>397</v>
      </c>
      <c r="H1438" t="s">
        <v>397</v>
      </c>
      <c r="I1438" t="s">
        <v>397</v>
      </c>
      <c r="J1438">
        <v>1613</v>
      </c>
      <c r="K1438">
        <v>3.8</v>
      </c>
      <c r="L1438">
        <v>0</v>
      </c>
      <c r="M1438">
        <v>0</v>
      </c>
    </row>
    <row r="1439" spans="1:13">
      <c r="A1439" s="28">
        <v>68050</v>
      </c>
      <c r="B1439" t="s">
        <v>1579</v>
      </c>
      <c r="C1439">
        <v>2975</v>
      </c>
      <c r="D1439">
        <v>-35</v>
      </c>
      <c r="E1439">
        <v>-1.1599999999999999</v>
      </c>
      <c r="F1439" t="s">
        <v>397</v>
      </c>
      <c r="G1439" t="s">
        <v>397</v>
      </c>
      <c r="H1439" t="s">
        <v>397</v>
      </c>
      <c r="I1439" t="s">
        <v>397</v>
      </c>
      <c r="J1439">
        <v>2656</v>
      </c>
      <c r="K1439">
        <v>1.1200000000000001</v>
      </c>
      <c r="L1439">
        <v>0</v>
      </c>
      <c r="M1439">
        <v>0</v>
      </c>
    </row>
    <row r="1440" spans="1:13">
      <c r="A1440" s="28">
        <v>54300</v>
      </c>
      <c r="B1440" t="s">
        <v>1580</v>
      </c>
      <c r="C1440">
        <v>687</v>
      </c>
      <c r="D1440">
        <v>-7</v>
      </c>
      <c r="E1440">
        <v>-1.01</v>
      </c>
      <c r="F1440">
        <v>9</v>
      </c>
      <c r="G1440">
        <v>76.33</v>
      </c>
      <c r="H1440" t="s">
        <v>397</v>
      </c>
      <c r="I1440" t="s">
        <v>397</v>
      </c>
      <c r="J1440">
        <v>804</v>
      </c>
      <c r="K1440">
        <v>0.85</v>
      </c>
      <c r="L1440">
        <v>0</v>
      </c>
      <c r="M1440">
        <v>0</v>
      </c>
    </row>
    <row r="1441" spans="1:13">
      <c r="A1441" s="28">
        <v>225590</v>
      </c>
      <c r="B1441" t="s">
        <v>1581</v>
      </c>
      <c r="C1441">
        <v>1070</v>
      </c>
      <c r="D1441">
        <v>-1</v>
      </c>
      <c r="E1441">
        <v>-0.09</v>
      </c>
      <c r="F1441">
        <v>378</v>
      </c>
      <c r="G1441">
        <v>2.83</v>
      </c>
      <c r="H1441" t="s">
        <v>397</v>
      </c>
      <c r="I1441" t="s">
        <v>397</v>
      </c>
      <c r="J1441">
        <v>2612</v>
      </c>
      <c r="K1441">
        <v>0.41</v>
      </c>
      <c r="L1441">
        <v>0</v>
      </c>
      <c r="M1441">
        <v>0</v>
      </c>
    </row>
    <row r="1442" spans="1:13">
      <c r="A1442" s="28">
        <v>4720</v>
      </c>
      <c r="B1442" t="s">
        <v>1582</v>
      </c>
      <c r="C1442">
        <v>5640</v>
      </c>
      <c r="D1442">
        <v>-50</v>
      </c>
      <c r="E1442">
        <v>-0.88</v>
      </c>
      <c r="F1442">
        <v>4498</v>
      </c>
      <c r="G1442">
        <v>1.25</v>
      </c>
      <c r="H1442" t="s">
        <v>397</v>
      </c>
      <c r="I1442" t="s">
        <v>397</v>
      </c>
      <c r="J1442">
        <v>13118</v>
      </c>
      <c r="K1442">
        <v>0.43</v>
      </c>
      <c r="L1442">
        <v>0</v>
      </c>
      <c r="M1442">
        <v>0</v>
      </c>
    </row>
    <row r="1443" spans="1:13">
      <c r="A1443" s="28">
        <v>32800</v>
      </c>
      <c r="B1443" t="s">
        <v>1583</v>
      </c>
      <c r="C1443">
        <v>331</v>
      </c>
      <c r="D1443">
        <v>-27</v>
      </c>
      <c r="E1443">
        <v>-7.54</v>
      </c>
      <c r="F1443" t="s">
        <v>397</v>
      </c>
      <c r="G1443" t="s">
        <v>397</v>
      </c>
      <c r="H1443" t="s">
        <v>397</v>
      </c>
      <c r="I1443" t="s">
        <v>397</v>
      </c>
      <c r="J1443">
        <v>301</v>
      </c>
      <c r="K1443">
        <v>1.1000000000000001</v>
      </c>
      <c r="L1443">
        <v>0</v>
      </c>
      <c r="M1443">
        <v>0</v>
      </c>
    </row>
    <row r="1444" spans="1:13">
      <c r="A1444" s="28">
        <v>65690</v>
      </c>
      <c r="B1444" t="s">
        <v>1584</v>
      </c>
      <c r="C1444">
        <v>1218</v>
      </c>
      <c r="D1444">
        <v>13</v>
      </c>
      <c r="E1444">
        <v>1.08</v>
      </c>
      <c r="F1444" t="s">
        <v>397</v>
      </c>
      <c r="G1444" t="s">
        <v>397</v>
      </c>
      <c r="H1444" t="s">
        <v>397</v>
      </c>
      <c r="I1444" t="s">
        <v>397</v>
      </c>
      <c r="J1444">
        <v>5017</v>
      </c>
      <c r="K1444">
        <v>0.24</v>
      </c>
      <c r="L1444">
        <v>0</v>
      </c>
      <c r="M1444">
        <v>0</v>
      </c>
    </row>
    <row r="1445" spans="1:13">
      <c r="A1445" s="28">
        <v>106240</v>
      </c>
      <c r="B1445" t="s">
        <v>1585</v>
      </c>
      <c r="C1445">
        <v>1483</v>
      </c>
      <c r="D1445">
        <v>19</v>
      </c>
      <c r="E1445">
        <v>1.3</v>
      </c>
      <c r="F1445">
        <v>7096</v>
      </c>
      <c r="G1445">
        <v>0.21</v>
      </c>
      <c r="H1445" t="s">
        <v>397</v>
      </c>
      <c r="I1445" t="s">
        <v>397</v>
      </c>
      <c r="J1445">
        <v>5583</v>
      </c>
      <c r="K1445">
        <v>0.27</v>
      </c>
      <c r="L1445">
        <v>0</v>
      </c>
      <c r="M1445">
        <v>0</v>
      </c>
    </row>
    <row r="1446" spans="1:13">
      <c r="A1446" s="28">
        <v>263750</v>
      </c>
      <c r="B1446" t="s">
        <v>1586</v>
      </c>
      <c r="C1446">
        <v>28850</v>
      </c>
      <c r="D1446">
        <v>-400</v>
      </c>
      <c r="E1446">
        <v>-1.37</v>
      </c>
      <c r="F1446" t="s">
        <v>397</v>
      </c>
      <c r="G1446" t="s">
        <v>397</v>
      </c>
      <c r="H1446">
        <v>502</v>
      </c>
      <c r="I1446">
        <v>57.43</v>
      </c>
      <c r="J1446">
        <v>11412</v>
      </c>
      <c r="K1446">
        <v>2.5299999999999998</v>
      </c>
      <c r="L1446">
        <v>0</v>
      </c>
      <c r="M1446">
        <v>0</v>
      </c>
    </row>
    <row r="1447" spans="1:13">
      <c r="A1447" s="28">
        <v>441270</v>
      </c>
      <c r="B1447" t="s">
        <v>1587</v>
      </c>
      <c r="C1447">
        <v>9290</v>
      </c>
      <c r="D1447">
        <v>-190</v>
      </c>
      <c r="E1447">
        <v>-2</v>
      </c>
      <c r="F1447" t="s">
        <v>397</v>
      </c>
      <c r="G1447" t="s">
        <v>397</v>
      </c>
      <c r="H1447">
        <v>1043</v>
      </c>
      <c r="I1447">
        <v>8.91</v>
      </c>
      <c r="J1447">
        <v>3448</v>
      </c>
      <c r="K1447">
        <v>2.69</v>
      </c>
      <c r="L1447">
        <v>0</v>
      </c>
      <c r="M1447">
        <v>0</v>
      </c>
    </row>
    <row r="1448" spans="1:13">
      <c r="A1448" s="28">
        <v>49120</v>
      </c>
      <c r="B1448" t="s">
        <v>1588</v>
      </c>
      <c r="C1448">
        <v>1326</v>
      </c>
      <c r="D1448">
        <v>14</v>
      </c>
      <c r="E1448">
        <v>1.07</v>
      </c>
      <c r="F1448" t="s">
        <v>397</v>
      </c>
      <c r="G1448" t="s">
        <v>397</v>
      </c>
      <c r="H1448" t="s">
        <v>397</v>
      </c>
      <c r="I1448" t="s">
        <v>397</v>
      </c>
      <c r="J1448">
        <v>905</v>
      </c>
      <c r="K1448">
        <v>1.47</v>
      </c>
      <c r="L1448">
        <v>0</v>
      </c>
      <c r="M1448">
        <v>0</v>
      </c>
    </row>
    <row r="1449" spans="1:13">
      <c r="A1449" s="28">
        <v>368770</v>
      </c>
      <c r="B1449" t="s">
        <v>1589</v>
      </c>
      <c r="C1449">
        <v>3275</v>
      </c>
      <c r="D1449">
        <v>10</v>
      </c>
      <c r="E1449">
        <v>0.31</v>
      </c>
      <c r="F1449" t="s">
        <v>397</v>
      </c>
      <c r="G1449" t="s">
        <v>397</v>
      </c>
      <c r="H1449" t="s">
        <v>397</v>
      </c>
      <c r="I1449" t="s">
        <v>397</v>
      </c>
      <c r="J1449">
        <v>898</v>
      </c>
      <c r="K1449">
        <v>3.65</v>
      </c>
      <c r="L1449">
        <v>0</v>
      </c>
      <c r="M1449">
        <v>0</v>
      </c>
    </row>
    <row r="1450" spans="1:13">
      <c r="A1450" s="28">
        <v>47310</v>
      </c>
      <c r="B1450" t="s">
        <v>1590</v>
      </c>
      <c r="C1450">
        <v>9270</v>
      </c>
      <c r="D1450">
        <v>-110</v>
      </c>
      <c r="E1450">
        <v>-1.17</v>
      </c>
      <c r="F1450" t="s">
        <v>397</v>
      </c>
      <c r="G1450" t="s">
        <v>397</v>
      </c>
      <c r="H1450" t="s">
        <v>397</v>
      </c>
      <c r="I1450" t="s">
        <v>397</v>
      </c>
      <c r="J1450">
        <v>4861</v>
      </c>
      <c r="K1450">
        <v>1.91</v>
      </c>
      <c r="L1450">
        <v>0</v>
      </c>
      <c r="M1450">
        <v>0</v>
      </c>
    </row>
    <row r="1451" spans="1:13">
      <c r="A1451" s="28">
        <v>37030</v>
      </c>
      <c r="B1451" t="s">
        <v>1591</v>
      </c>
      <c r="C1451">
        <v>2845</v>
      </c>
      <c r="D1451">
        <v>10</v>
      </c>
      <c r="E1451">
        <v>0.35</v>
      </c>
      <c r="F1451">
        <v>93</v>
      </c>
      <c r="G1451">
        <v>30.59</v>
      </c>
      <c r="H1451" t="s">
        <v>397</v>
      </c>
      <c r="I1451" t="s">
        <v>397</v>
      </c>
      <c r="J1451">
        <v>4665</v>
      </c>
      <c r="K1451">
        <v>0.61</v>
      </c>
      <c r="L1451">
        <v>0</v>
      </c>
      <c r="M1451">
        <v>0</v>
      </c>
    </row>
    <row r="1452" spans="1:13">
      <c r="A1452" s="28">
        <v>5690</v>
      </c>
      <c r="B1452" t="s">
        <v>1592</v>
      </c>
      <c r="C1452">
        <v>5890</v>
      </c>
      <c r="D1452">
        <v>-230</v>
      </c>
      <c r="E1452">
        <v>-3.76</v>
      </c>
      <c r="F1452">
        <v>182</v>
      </c>
      <c r="G1452">
        <v>32.36</v>
      </c>
      <c r="H1452" t="s">
        <v>397</v>
      </c>
      <c r="I1452" t="s">
        <v>397</v>
      </c>
      <c r="J1452">
        <v>1328</v>
      </c>
      <c r="K1452">
        <v>4.4400000000000004</v>
      </c>
      <c r="L1452">
        <v>0</v>
      </c>
      <c r="M1452">
        <v>0</v>
      </c>
    </row>
    <row r="1453" spans="1:13">
      <c r="A1453" s="28">
        <v>208340</v>
      </c>
      <c r="B1453" t="s">
        <v>1593</v>
      </c>
      <c r="C1453">
        <v>2915</v>
      </c>
      <c r="D1453">
        <v>0</v>
      </c>
      <c r="E1453">
        <v>0</v>
      </c>
      <c r="F1453" t="s">
        <v>397</v>
      </c>
      <c r="G1453" t="s">
        <v>397</v>
      </c>
      <c r="H1453" t="s">
        <v>397</v>
      </c>
      <c r="I1453" t="s">
        <v>397</v>
      </c>
      <c r="J1453">
        <v>966</v>
      </c>
      <c r="K1453">
        <v>3.02</v>
      </c>
      <c r="L1453">
        <v>0</v>
      </c>
      <c r="M1453">
        <v>0</v>
      </c>
    </row>
    <row r="1454" spans="1:13">
      <c r="A1454" s="28">
        <v>43200</v>
      </c>
      <c r="B1454" t="s">
        <v>1594</v>
      </c>
      <c r="C1454">
        <v>642</v>
      </c>
      <c r="D1454">
        <v>31</v>
      </c>
      <c r="E1454">
        <v>5.07</v>
      </c>
      <c r="F1454" t="s">
        <v>397</v>
      </c>
      <c r="G1454" t="s">
        <v>397</v>
      </c>
      <c r="H1454" t="s">
        <v>397</v>
      </c>
      <c r="I1454" t="s">
        <v>397</v>
      </c>
      <c r="J1454">
        <v>564</v>
      </c>
      <c r="K1454">
        <v>1.1399999999999999</v>
      </c>
      <c r="L1454">
        <v>0</v>
      </c>
      <c r="M1454">
        <v>0</v>
      </c>
    </row>
    <row r="1455" spans="1:13">
      <c r="A1455" s="28">
        <v>10820</v>
      </c>
      <c r="B1455" t="s">
        <v>1595</v>
      </c>
      <c r="C1455">
        <v>3295</v>
      </c>
      <c r="D1455">
        <v>-15</v>
      </c>
      <c r="E1455">
        <v>-0.45</v>
      </c>
      <c r="F1455">
        <v>37</v>
      </c>
      <c r="G1455">
        <v>89.05</v>
      </c>
      <c r="H1455" t="s">
        <v>397</v>
      </c>
      <c r="I1455" t="s">
        <v>397</v>
      </c>
      <c r="J1455">
        <v>1183</v>
      </c>
      <c r="K1455">
        <v>2.79</v>
      </c>
      <c r="L1455">
        <v>0</v>
      </c>
      <c r="M1455">
        <v>0</v>
      </c>
    </row>
    <row r="1456" spans="1:13">
      <c r="A1456" s="28">
        <v>1020</v>
      </c>
      <c r="B1456" t="s">
        <v>1596</v>
      </c>
      <c r="C1456">
        <v>888</v>
      </c>
      <c r="D1456">
        <v>-12</v>
      </c>
      <c r="E1456">
        <v>-1.33</v>
      </c>
      <c r="F1456" t="s">
        <v>397</v>
      </c>
      <c r="G1456" t="s">
        <v>397</v>
      </c>
      <c r="H1456" t="s">
        <v>397</v>
      </c>
      <c r="I1456" t="s">
        <v>397</v>
      </c>
      <c r="J1456">
        <v>1297</v>
      </c>
      <c r="K1456">
        <v>0.68</v>
      </c>
      <c r="L1456">
        <v>0</v>
      </c>
      <c r="M1456">
        <v>0</v>
      </c>
    </row>
    <row r="1457" spans="1:13">
      <c r="A1457" s="28">
        <v>405000</v>
      </c>
      <c r="B1457" t="s">
        <v>1597</v>
      </c>
      <c r="C1457">
        <v>2650</v>
      </c>
      <c r="D1457">
        <v>-120</v>
      </c>
      <c r="E1457">
        <v>-4.33</v>
      </c>
      <c r="F1457" t="s">
        <v>397</v>
      </c>
      <c r="G1457" t="s">
        <v>397</v>
      </c>
      <c r="H1457" t="s">
        <v>397</v>
      </c>
      <c r="I1457" t="s">
        <v>397</v>
      </c>
      <c r="J1457">
        <v>529</v>
      </c>
      <c r="K1457">
        <v>5.01</v>
      </c>
      <c r="L1457">
        <v>0</v>
      </c>
      <c r="M1457">
        <v>0</v>
      </c>
    </row>
    <row r="1458" spans="1:13">
      <c r="A1458" s="28">
        <v>114630</v>
      </c>
      <c r="B1458" t="s">
        <v>1598</v>
      </c>
      <c r="C1458">
        <v>730</v>
      </c>
      <c r="D1458">
        <v>-1</v>
      </c>
      <c r="E1458">
        <v>-0.14000000000000001</v>
      </c>
      <c r="F1458">
        <v>67</v>
      </c>
      <c r="G1458">
        <v>10.9</v>
      </c>
      <c r="H1458" t="s">
        <v>397</v>
      </c>
      <c r="I1458" t="s">
        <v>397</v>
      </c>
      <c r="J1458">
        <v>1470</v>
      </c>
      <c r="K1458">
        <v>0.5</v>
      </c>
      <c r="L1458">
        <v>0</v>
      </c>
      <c r="M1458">
        <v>0</v>
      </c>
    </row>
    <row r="1459" spans="1:13">
      <c r="A1459" s="28">
        <v>335810</v>
      </c>
      <c r="B1459" t="s">
        <v>1599</v>
      </c>
      <c r="C1459">
        <v>4875</v>
      </c>
      <c r="D1459">
        <v>-55</v>
      </c>
      <c r="E1459">
        <v>-1.1200000000000001</v>
      </c>
      <c r="F1459" t="s">
        <v>397</v>
      </c>
      <c r="G1459" t="s">
        <v>397</v>
      </c>
      <c r="H1459" t="s">
        <v>397</v>
      </c>
      <c r="I1459" t="s">
        <v>397</v>
      </c>
      <c r="J1459">
        <v>2879</v>
      </c>
      <c r="K1459">
        <v>1.69</v>
      </c>
      <c r="L1459">
        <v>0</v>
      </c>
      <c r="M1459">
        <v>0</v>
      </c>
    </row>
    <row r="1460" spans="1:13">
      <c r="A1460" s="28">
        <v>377220</v>
      </c>
      <c r="B1460" t="s">
        <v>1600</v>
      </c>
      <c r="C1460">
        <v>2830</v>
      </c>
      <c r="D1460">
        <v>55</v>
      </c>
      <c r="E1460">
        <v>1.98</v>
      </c>
      <c r="F1460">
        <v>115</v>
      </c>
      <c r="G1460">
        <v>24.61</v>
      </c>
      <c r="H1460" t="s">
        <v>397</v>
      </c>
      <c r="I1460" t="s">
        <v>397</v>
      </c>
      <c r="J1460">
        <v>3107</v>
      </c>
      <c r="K1460">
        <v>0.91</v>
      </c>
      <c r="L1460">
        <v>0</v>
      </c>
      <c r="M1460">
        <v>0</v>
      </c>
    </row>
    <row r="1461" spans="1:13">
      <c r="A1461" s="28">
        <v>303360</v>
      </c>
      <c r="B1461" t="s">
        <v>1601</v>
      </c>
      <c r="C1461">
        <v>2700</v>
      </c>
      <c r="D1461">
        <v>35</v>
      </c>
      <c r="E1461">
        <v>1.31</v>
      </c>
      <c r="F1461">
        <v>112</v>
      </c>
      <c r="G1461">
        <v>24.11</v>
      </c>
      <c r="H1461" t="s">
        <v>397</v>
      </c>
      <c r="I1461" t="s">
        <v>397</v>
      </c>
      <c r="J1461">
        <v>1424</v>
      </c>
      <c r="K1461">
        <v>1.9</v>
      </c>
      <c r="L1461">
        <v>0</v>
      </c>
      <c r="M1461">
        <v>0</v>
      </c>
    </row>
    <row r="1462" spans="1:13">
      <c r="A1462" s="28">
        <v>334970</v>
      </c>
      <c r="B1462" t="s">
        <v>1602</v>
      </c>
      <c r="C1462">
        <v>4675</v>
      </c>
      <c r="D1462">
        <v>-115</v>
      </c>
      <c r="E1462">
        <v>-2.4</v>
      </c>
      <c r="F1462" t="s">
        <v>397</v>
      </c>
      <c r="G1462" t="s">
        <v>397</v>
      </c>
      <c r="H1462" t="s">
        <v>397</v>
      </c>
      <c r="I1462" t="s">
        <v>397</v>
      </c>
      <c r="J1462">
        <v>1633</v>
      </c>
      <c r="K1462">
        <v>2.86</v>
      </c>
      <c r="L1462">
        <v>0</v>
      </c>
      <c r="M1462">
        <v>0</v>
      </c>
    </row>
    <row r="1463" spans="1:13">
      <c r="A1463" s="28">
        <v>220100</v>
      </c>
      <c r="B1463" t="s">
        <v>1603</v>
      </c>
      <c r="C1463">
        <v>9540</v>
      </c>
      <c r="D1463">
        <v>-450</v>
      </c>
      <c r="E1463">
        <v>-4.5</v>
      </c>
      <c r="F1463" t="s">
        <v>397</v>
      </c>
      <c r="G1463" t="s">
        <v>397</v>
      </c>
      <c r="H1463" t="s">
        <v>397</v>
      </c>
      <c r="I1463" t="s">
        <v>397</v>
      </c>
      <c r="J1463">
        <v>3174</v>
      </c>
      <c r="K1463">
        <v>3.01</v>
      </c>
      <c r="L1463">
        <v>0</v>
      </c>
      <c r="M1463">
        <v>0</v>
      </c>
    </row>
    <row r="1464" spans="1:13">
      <c r="A1464" s="28">
        <v>445180</v>
      </c>
      <c r="B1464" t="s">
        <v>1604</v>
      </c>
      <c r="C1464">
        <v>12270</v>
      </c>
      <c r="D1464">
        <v>-60</v>
      </c>
      <c r="E1464">
        <v>-0.49</v>
      </c>
      <c r="F1464">
        <v>838</v>
      </c>
      <c r="G1464">
        <v>14.64</v>
      </c>
      <c r="H1464">
        <v>938</v>
      </c>
      <c r="I1464">
        <v>13.08</v>
      </c>
      <c r="J1464">
        <v>2808</v>
      </c>
      <c r="K1464">
        <v>4.37</v>
      </c>
      <c r="L1464">
        <v>0</v>
      </c>
      <c r="M1464">
        <v>0</v>
      </c>
    </row>
    <row r="1465" spans="1:13">
      <c r="A1465" s="28">
        <v>370090</v>
      </c>
      <c r="B1465" t="s">
        <v>1605</v>
      </c>
      <c r="C1465">
        <v>23850</v>
      </c>
      <c r="D1465">
        <v>-950</v>
      </c>
      <c r="E1465">
        <v>-3.83</v>
      </c>
      <c r="F1465">
        <v>256</v>
      </c>
      <c r="G1465">
        <v>93.16</v>
      </c>
      <c r="H1465">
        <v>797</v>
      </c>
      <c r="I1465">
        <v>29.91</v>
      </c>
      <c r="J1465">
        <v>4827</v>
      </c>
      <c r="K1465">
        <v>4.9400000000000004</v>
      </c>
      <c r="L1465">
        <v>0</v>
      </c>
      <c r="M1465">
        <v>0</v>
      </c>
    </row>
    <row r="1466" spans="1:13">
      <c r="A1466" s="28">
        <v>371950</v>
      </c>
      <c r="B1466" t="s">
        <v>1606</v>
      </c>
      <c r="C1466">
        <v>5980</v>
      </c>
      <c r="D1466">
        <v>-90</v>
      </c>
      <c r="E1466">
        <v>-1.48</v>
      </c>
      <c r="F1466">
        <v>317</v>
      </c>
      <c r="G1466">
        <v>18.86</v>
      </c>
      <c r="H1466" t="s">
        <v>397</v>
      </c>
      <c r="I1466" t="s">
        <v>397</v>
      </c>
      <c r="J1466">
        <v>3790</v>
      </c>
      <c r="K1466">
        <v>1.58</v>
      </c>
      <c r="L1466">
        <v>0</v>
      </c>
      <c r="M1466">
        <v>0</v>
      </c>
    </row>
    <row r="1467" spans="1:13">
      <c r="A1467" s="28">
        <v>41020</v>
      </c>
      <c r="B1467" t="s">
        <v>1607</v>
      </c>
      <c r="C1467">
        <v>7210</v>
      </c>
      <c r="D1467">
        <v>-120</v>
      </c>
      <c r="E1467">
        <v>-1.64</v>
      </c>
      <c r="F1467">
        <v>295</v>
      </c>
      <c r="G1467">
        <v>24.44</v>
      </c>
      <c r="H1467" t="s">
        <v>397</v>
      </c>
      <c r="I1467" t="s">
        <v>397</v>
      </c>
      <c r="J1467">
        <v>1338</v>
      </c>
      <c r="K1467">
        <v>5.39</v>
      </c>
      <c r="L1467">
        <v>0</v>
      </c>
      <c r="M1467">
        <v>0</v>
      </c>
    </row>
    <row r="1468" spans="1:13">
      <c r="A1468" s="28">
        <v>168360</v>
      </c>
      <c r="B1468" t="s">
        <v>1608</v>
      </c>
      <c r="C1468">
        <v>10960</v>
      </c>
      <c r="D1468">
        <v>-10</v>
      </c>
      <c r="E1468">
        <v>-0.09</v>
      </c>
      <c r="F1468">
        <v>272</v>
      </c>
      <c r="G1468">
        <v>40.29</v>
      </c>
      <c r="H1468">
        <v>699</v>
      </c>
      <c r="I1468">
        <v>15.67</v>
      </c>
      <c r="J1468">
        <v>1226</v>
      </c>
      <c r="K1468">
        <v>8.94</v>
      </c>
      <c r="L1468">
        <v>0</v>
      </c>
      <c r="M1468">
        <v>0</v>
      </c>
    </row>
    <row r="1469" spans="1:13">
      <c r="A1469" s="28">
        <v>234100</v>
      </c>
      <c r="B1469" t="s">
        <v>1609</v>
      </c>
      <c r="C1469">
        <v>2040</v>
      </c>
      <c r="D1469">
        <v>25</v>
      </c>
      <c r="E1469">
        <v>1.24</v>
      </c>
      <c r="F1469">
        <v>47</v>
      </c>
      <c r="G1469">
        <v>43.4</v>
      </c>
      <c r="H1469" t="s">
        <v>397</v>
      </c>
      <c r="I1469" t="s">
        <v>397</v>
      </c>
      <c r="J1469">
        <v>2807</v>
      </c>
      <c r="K1469">
        <v>0.73</v>
      </c>
      <c r="L1469">
        <v>0</v>
      </c>
      <c r="M1469">
        <v>0</v>
      </c>
    </row>
    <row r="1470" spans="1:13">
      <c r="A1470" s="28">
        <v>39980</v>
      </c>
      <c r="B1470" t="s">
        <v>1610</v>
      </c>
      <c r="C1470">
        <v>2745</v>
      </c>
      <c r="D1470">
        <v>120</v>
      </c>
      <c r="E1470">
        <v>4.57</v>
      </c>
      <c r="F1470" t="s">
        <v>397</v>
      </c>
      <c r="G1470" t="s">
        <v>397</v>
      </c>
      <c r="H1470" t="s">
        <v>397</v>
      </c>
      <c r="I1470" t="s">
        <v>397</v>
      </c>
      <c r="J1470">
        <v>1554</v>
      </c>
      <c r="K1470">
        <v>1.77</v>
      </c>
      <c r="L1470">
        <v>0</v>
      </c>
      <c r="M1470">
        <v>0</v>
      </c>
    </row>
    <row r="1471" spans="1:13">
      <c r="A1471" s="28">
        <v>472850</v>
      </c>
      <c r="B1471" t="s">
        <v>1611</v>
      </c>
      <c r="C1471">
        <v>6220</v>
      </c>
      <c r="D1471">
        <v>-140</v>
      </c>
      <c r="E1471">
        <v>-2.2000000000000002</v>
      </c>
      <c r="F1471" t="s">
        <v>397</v>
      </c>
      <c r="G1471" t="s">
        <v>397</v>
      </c>
      <c r="H1471" t="s">
        <v>397</v>
      </c>
      <c r="I1471" t="s">
        <v>397</v>
      </c>
      <c r="J1471" t="s">
        <v>397</v>
      </c>
      <c r="K1471" t="s">
        <v>397</v>
      </c>
      <c r="L1471">
        <v>0</v>
      </c>
      <c r="M1471">
        <v>0</v>
      </c>
    </row>
    <row r="1472" spans="1:13">
      <c r="A1472" s="28">
        <v>318020</v>
      </c>
      <c r="B1472" t="s">
        <v>1612</v>
      </c>
      <c r="C1472">
        <v>18100</v>
      </c>
      <c r="D1472">
        <v>0</v>
      </c>
      <c r="E1472">
        <v>0</v>
      </c>
      <c r="F1472">
        <v>479</v>
      </c>
      <c r="G1472">
        <v>37.79</v>
      </c>
      <c r="H1472" t="s">
        <v>397</v>
      </c>
      <c r="I1472" t="s">
        <v>397</v>
      </c>
      <c r="J1472">
        <v>3760</v>
      </c>
      <c r="K1472">
        <v>4.8099999999999996</v>
      </c>
      <c r="L1472">
        <v>0</v>
      </c>
      <c r="M1472">
        <v>0</v>
      </c>
    </row>
    <row r="1473" spans="1:13">
      <c r="A1473" s="28">
        <v>105760</v>
      </c>
      <c r="B1473" t="s">
        <v>1613</v>
      </c>
      <c r="C1473">
        <v>14000</v>
      </c>
      <c r="D1473">
        <v>-250</v>
      </c>
      <c r="E1473">
        <v>-1.75</v>
      </c>
      <c r="F1473">
        <v>1056</v>
      </c>
      <c r="G1473">
        <v>13.26</v>
      </c>
      <c r="H1473" t="s">
        <v>397</v>
      </c>
      <c r="I1473" t="s">
        <v>397</v>
      </c>
      <c r="J1473">
        <v>4223</v>
      </c>
      <c r="K1473">
        <v>3.32</v>
      </c>
      <c r="L1473">
        <v>0</v>
      </c>
      <c r="M1473">
        <v>0</v>
      </c>
    </row>
    <row r="1474" spans="1:13">
      <c r="A1474" s="28">
        <v>389140</v>
      </c>
      <c r="B1474" t="s">
        <v>1614</v>
      </c>
      <c r="C1474">
        <v>13860</v>
      </c>
      <c r="D1474">
        <v>-630</v>
      </c>
      <c r="E1474">
        <v>-4.3499999999999996</v>
      </c>
      <c r="F1474" t="s">
        <v>397</v>
      </c>
      <c r="G1474" t="s">
        <v>397</v>
      </c>
      <c r="H1474" t="s">
        <v>397</v>
      </c>
      <c r="I1474" t="s">
        <v>397</v>
      </c>
      <c r="J1474">
        <v>5491</v>
      </c>
      <c r="K1474">
        <v>2.52</v>
      </c>
      <c r="L1474">
        <v>0</v>
      </c>
      <c r="M1474">
        <v>0</v>
      </c>
    </row>
    <row r="1475" spans="1:13">
      <c r="A1475" s="28">
        <v>90080</v>
      </c>
      <c r="B1475" t="s">
        <v>1615</v>
      </c>
      <c r="C1475">
        <v>1204</v>
      </c>
      <c r="D1475">
        <v>-11</v>
      </c>
      <c r="E1475">
        <v>-0.91</v>
      </c>
      <c r="F1475">
        <v>111</v>
      </c>
      <c r="G1475">
        <v>10.85</v>
      </c>
      <c r="H1475" t="s">
        <v>397</v>
      </c>
      <c r="I1475" t="s">
        <v>397</v>
      </c>
      <c r="J1475">
        <v>755</v>
      </c>
      <c r="K1475">
        <v>1.59</v>
      </c>
      <c r="L1475">
        <v>0</v>
      </c>
      <c r="M1475">
        <v>0</v>
      </c>
    </row>
    <row r="1476" spans="1:13">
      <c r="A1476" s="28">
        <v>87010</v>
      </c>
      <c r="B1476" t="s">
        <v>1616</v>
      </c>
      <c r="C1476">
        <v>24700</v>
      </c>
      <c r="D1476">
        <v>-300</v>
      </c>
      <c r="E1476">
        <v>-1.2</v>
      </c>
      <c r="F1476" t="s">
        <v>397</v>
      </c>
      <c r="G1476" t="s">
        <v>397</v>
      </c>
      <c r="H1476" t="s">
        <v>397</v>
      </c>
      <c r="I1476" t="s">
        <v>397</v>
      </c>
      <c r="J1476">
        <v>2575</v>
      </c>
      <c r="K1476">
        <v>9.59</v>
      </c>
      <c r="L1476">
        <v>0</v>
      </c>
      <c r="M1476">
        <v>0</v>
      </c>
    </row>
    <row r="1477" spans="1:13">
      <c r="A1477" s="28">
        <v>222980</v>
      </c>
      <c r="B1477" t="s">
        <v>1617</v>
      </c>
      <c r="C1477">
        <v>4235</v>
      </c>
      <c r="D1477">
        <v>70</v>
      </c>
      <c r="E1477">
        <v>1.68</v>
      </c>
      <c r="F1477" t="s">
        <v>397</v>
      </c>
      <c r="G1477" t="s">
        <v>397</v>
      </c>
      <c r="H1477" t="s">
        <v>397</v>
      </c>
      <c r="I1477" t="s">
        <v>397</v>
      </c>
      <c r="J1477">
        <v>3401</v>
      </c>
      <c r="K1477">
        <v>1.25</v>
      </c>
      <c r="L1477">
        <v>0</v>
      </c>
      <c r="M1477">
        <v>0</v>
      </c>
    </row>
    <row r="1478" spans="1:13">
      <c r="A1478" s="28">
        <v>80720</v>
      </c>
      <c r="B1478" t="s">
        <v>1618</v>
      </c>
      <c r="C1478">
        <v>5210</v>
      </c>
      <c r="D1478">
        <v>-40</v>
      </c>
      <c r="E1478">
        <v>-0.76</v>
      </c>
      <c r="F1478" t="s">
        <v>397</v>
      </c>
      <c r="G1478" t="s">
        <v>397</v>
      </c>
      <c r="H1478" t="s">
        <v>397</v>
      </c>
      <c r="I1478" t="s">
        <v>397</v>
      </c>
      <c r="J1478">
        <v>6733</v>
      </c>
      <c r="K1478">
        <v>0.77</v>
      </c>
      <c r="L1478">
        <v>0</v>
      </c>
      <c r="M1478">
        <v>0</v>
      </c>
    </row>
    <row r="1479" spans="1:13">
      <c r="A1479" s="28">
        <v>44380</v>
      </c>
      <c r="B1479" t="s">
        <v>1619</v>
      </c>
      <c r="C1479">
        <v>495</v>
      </c>
      <c r="D1479">
        <v>-10</v>
      </c>
      <c r="E1479">
        <v>-1.98</v>
      </c>
      <c r="F1479" t="s">
        <v>397</v>
      </c>
      <c r="G1479" t="s">
        <v>397</v>
      </c>
      <c r="H1479" t="s">
        <v>397</v>
      </c>
      <c r="I1479" t="s">
        <v>397</v>
      </c>
      <c r="J1479">
        <v>730</v>
      </c>
      <c r="K1479">
        <v>0.68</v>
      </c>
      <c r="L1479">
        <v>0</v>
      </c>
      <c r="M1479">
        <v>0</v>
      </c>
    </row>
    <row r="1480" spans="1:13">
      <c r="A1480" s="28">
        <v>453340</v>
      </c>
      <c r="B1480" t="s">
        <v>1620</v>
      </c>
      <c r="C1480">
        <v>11850</v>
      </c>
      <c r="D1480">
        <v>140</v>
      </c>
      <c r="E1480">
        <v>1.2</v>
      </c>
      <c r="F1480" t="s">
        <v>397</v>
      </c>
      <c r="G1480" t="s">
        <v>397</v>
      </c>
      <c r="H1480">
        <v>2590</v>
      </c>
      <c r="I1480">
        <v>4.58</v>
      </c>
      <c r="J1480" t="s">
        <v>397</v>
      </c>
      <c r="K1480" t="s">
        <v>397</v>
      </c>
      <c r="L1480">
        <v>0</v>
      </c>
      <c r="M1480">
        <v>0</v>
      </c>
    </row>
    <row r="1481" spans="1:13">
      <c r="A1481" s="28">
        <v>93240</v>
      </c>
      <c r="B1481" t="s">
        <v>1621</v>
      </c>
      <c r="C1481">
        <v>1226</v>
      </c>
      <c r="D1481">
        <v>-7</v>
      </c>
      <c r="E1481">
        <v>-0.56999999999999995</v>
      </c>
      <c r="F1481">
        <v>65</v>
      </c>
      <c r="G1481">
        <v>18.86</v>
      </c>
      <c r="H1481" t="s">
        <v>397</v>
      </c>
      <c r="I1481" t="s">
        <v>397</v>
      </c>
      <c r="J1481">
        <v>2270</v>
      </c>
      <c r="K1481">
        <v>0.54</v>
      </c>
      <c r="L1481">
        <v>0</v>
      </c>
      <c r="M1481">
        <v>0</v>
      </c>
    </row>
    <row r="1482" spans="1:13">
      <c r="A1482" s="28">
        <v>11080</v>
      </c>
      <c r="B1482" t="s">
        <v>1622</v>
      </c>
      <c r="C1482">
        <v>814</v>
      </c>
      <c r="D1482">
        <v>-2</v>
      </c>
      <c r="E1482">
        <v>-0.25</v>
      </c>
      <c r="F1482" t="s">
        <v>397</v>
      </c>
      <c r="G1482" t="s">
        <v>397</v>
      </c>
      <c r="H1482" t="s">
        <v>397</v>
      </c>
      <c r="I1482" t="s">
        <v>397</v>
      </c>
      <c r="J1482">
        <v>1140</v>
      </c>
      <c r="K1482">
        <v>0.71</v>
      </c>
      <c r="L1482">
        <v>0</v>
      </c>
      <c r="M1482">
        <v>0</v>
      </c>
    </row>
    <row r="1483" spans="1:13">
      <c r="A1483" s="28">
        <v>138360</v>
      </c>
      <c r="B1483" t="s">
        <v>1623</v>
      </c>
      <c r="C1483">
        <v>911</v>
      </c>
      <c r="D1483">
        <v>55</v>
      </c>
      <c r="E1483">
        <v>6.43</v>
      </c>
      <c r="F1483" t="s">
        <v>397</v>
      </c>
      <c r="G1483" t="s">
        <v>397</v>
      </c>
      <c r="H1483" t="s">
        <v>397</v>
      </c>
      <c r="I1483" t="s">
        <v>397</v>
      </c>
      <c r="J1483">
        <v>1139</v>
      </c>
      <c r="K1483">
        <v>0.8</v>
      </c>
      <c r="L1483">
        <v>0</v>
      </c>
      <c r="M1483">
        <v>0</v>
      </c>
    </row>
    <row r="1484" spans="1:13">
      <c r="A1484" s="28">
        <v>460930</v>
      </c>
      <c r="B1484" t="s">
        <v>1624</v>
      </c>
      <c r="C1484">
        <v>18380</v>
      </c>
      <c r="D1484">
        <v>550</v>
      </c>
      <c r="E1484">
        <v>3.08</v>
      </c>
      <c r="F1484">
        <v>148</v>
      </c>
      <c r="G1484">
        <v>124.19</v>
      </c>
      <c r="H1484" t="s">
        <v>397</v>
      </c>
      <c r="I1484" t="s">
        <v>397</v>
      </c>
      <c r="J1484">
        <v>5664</v>
      </c>
      <c r="K1484">
        <v>3.25</v>
      </c>
      <c r="L1484">
        <v>0</v>
      </c>
      <c r="M1484">
        <v>0</v>
      </c>
    </row>
    <row r="1485" spans="1:13">
      <c r="A1485" s="28">
        <v>48410</v>
      </c>
      <c r="B1485" t="s">
        <v>1625</v>
      </c>
      <c r="C1485">
        <v>19280</v>
      </c>
      <c r="D1485">
        <v>-580</v>
      </c>
      <c r="E1485">
        <v>-2.92</v>
      </c>
      <c r="F1485" t="s">
        <v>397</v>
      </c>
      <c r="G1485" t="s">
        <v>397</v>
      </c>
      <c r="H1485" t="s">
        <v>397</v>
      </c>
      <c r="I1485" t="s">
        <v>397</v>
      </c>
      <c r="J1485">
        <v>1468</v>
      </c>
      <c r="K1485">
        <v>13.13</v>
      </c>
      <c r="L1485">
        <v>0</v>
      </c>
      <c r="M1485">
        <v>0</v>
      </c>
    </row>
    <row r="1486" spans="1:13">
      <c r="A1486" s="28">
        <v>10620</v>
      </c>
      <c r="B1486" t="s">
        <v>1626</v>
      </c>
      <c r="C1486">
        <v>64900</v>
      </c>
      <c r="D1486">
        <v>-100</v>
      </c>
      <c r="E1486">
        <v>-0.15</v>
      </c>
      <c r="F1486" t="s">
        <v>397</v>
      </c>
      <c r="G1486" t="s">
        <v>397</v>
      </c>
      <c r="H1486">
        <v>1838</v>
      </c>
      <c r="I1486">
        <v>35.299999999999997</v>
      </c>
      <c r="J1486">
        <v>53525</v>
      </c>
      <c r="K1486">
        <v>1.21</v>
      </c>
      <c r="L1486">
        <v>0</v>
      </c>
      <c r="M1486">
        <v>0</v>
      </c>
    </row>
    <row r="1487" spans="1:13">
      <c r="A1487" s="28">
        <v>79430</v>
      </c>
      <c r="B1487" t="s">
        <v>1627</v>
      </c>
      <c r="C1487">
        <v>7390</v>
      </c>
      <c r="D1487">
        <v>-50</v>
      </c>
      <c r="E1487">
        <v>-0.67</v>
      </c>
      <c r="F1487" t="s">
        <v>397</v>
      </c>
      <c r="G1487" t="s">
        <v>397</v>
      </c>
      <c r="H1487">
        <v>365</v>
      </c>
      <c r="I1487">
        <v>20.23</v>
      </c>
      <c r="J1487">
        <v>21802</v>
      </c>
      <c r="K1487">
        <v>0.34</v>
      </c>
      <c r="L1487">
        <v>0</v>
      </c>
      <c r="M1487">
        <v>0</v>
      </c>
    </row>
    <row r="1488" spans="1:13">
      <c r="A1488" s="28">
        <v>64350</v>
      </c>
      <c r="B1488" t="s">
        <v>1628</v>
      </c>
      <c r="C1488">
        <v>30400</v>
      </c>
      <c r="D1488">
        <v>50</v>
      </c>
      <c r="E1488">
        <v>0.16</v>
      </c>
      <c r="F1488">
        <v>1812</v>
      </c>
      <c r="G1488">
        <v>16.78</v>
      </c>
      <c r="H1488">
        <v>2216</v>
      </c>
      <c r="I1488">
        <v>13.72</v>
      </c>
      <c r="J1488">
        <v>13930</v>
      </c>
      <c r="K1488">
        <v>2.1800000000000002</v>
      </c>
      <c r="L1488">
        <v>0</v>
      </c>
      <c r="M1488">
        <v>0</v>
      </c>
    </row>
    <row r="1489" spans="1:13">
      <c r="A1489" s="28">
        <v>84990</v>
      </c>
      <c r="B1489" t="s">
        <v>1629</v>
      </c>
      <c r="C1489">
        <v>4170</v>
      </c>
      <c r="D1489">
        <v>80</v>
      </c>
      <c r="E1489">
        <v>1.96</v>
      </c>
      <c r="F1489" t="s">
        <v>397</v>
      </c>
      <c r="G1489" t="s">
        <v>397</v>
      </c>
      <c r="H1489" t="s">
        <v>397</v>
      </c>
      <c r="I1489" t="s">
        <v>397</v>
      </c>
      <c r="J1489">
        <v>5338</v>
      </c>
      <c r="K1489">
        <v>0.78</v>
      </c>
      <c r="L1489">
        <v>0</v>
      </c>
      <c r="M1489">
        <v>0</v>
      </c>
    </row>
    <row r="1490" spans="1:13">
      <c r="A1490" s="28">
        <v>39610</v>
      </c>
      <c r="B1490" t="s">
        <v>1630</v>
      </c>
      <c r="C1490">
        <v>5680</v>
      </c>
      <c r="D1490">
        <v>-30</v>
      </c>
      <c r="E1490">
        <v>-0.53</v>
      </c>
      <c r="F1490">
        <v>286</v>
      </c>
      <c r="G1490">
        <v>19.86</v>
      </c>
      <c r="H1490" t="s">
        <v>397</v>
      </c>
      <c r="I1490" t="s">
        <v>397</v>
      </c>
      <c r="J1490">
        <v>7732</v>
      </c>
      <c r="K1490">
        <v>0.73</v>
      </c>
      <c r="L1490">
        <v>0</v>
      </c>
      <c r="M1490">
        <v>0</v>
      </c>
    </row>
    <row r="1491" spans="1:13">
      <c r="A1491" s="28">
        <v>143210</v>
      </c>
      <c r="B1491" t="s">
        <v>1631</v>
      </c>
      <c r="C1491">
        <v>2615</v>
      </c>
      <c r="D1491">
        <v>-45</v>
      </c>
      <c r="E1491">
        <v>-1.69</v>
      </c>
      <c r="F1491" t="s">
        <v>397</v>
      </c>
      <c r="G1491" t="s">
        <v>397</v>
      </c>
      <c r="H1491" t="s">
        <v>397</v>
      </c>
      <c r="I1491" t="s">
        <v>397</v>
      </c>
      <c r="J1491">
        <v>9053</v>
      </c>
      <c r="K1491">
        <v>0.28999999999999998</v>
      </c>
      <c r="L1491">
        <v>0</v>
      </c>
      <c r="M1491">
        <v>0</v>
      </c>
    </row>
    <row r="1492" spans="1:13">
      <c r="A1492" s="28">
        <v>220180</v>
      </c>
      <c r="B1492" t="s">
        <v>1632</v>
      </c>
      <c r="C1492">
        <v>3875</v>
      </c>
      <c r="D1492">
        <v>110</v>
      </c>
      <c r="E1492">
        <v>2.92</v>
      </c>
      <c r="F1492">
        <v>54</v>
      </c>
      <c r="G1492">
        <v>71.760000000000005</v>
      </c>
      <c r="H1492" t="s">
        <v>397</v>
      </c>
      <c r="I1492" t="s">
        <v>397</v>
      </c>
      <c r="J1492">
        <v>3291</v>
      </c>
      <c r="K1492">
        <v>1.18</v>
      </c>
      <c r="L1492">
        <v>0</v>
      </c>
      <c r="M1492">
        <v>0</v>
      </c>
    </row>
    <row r="1493" spans="1:13">
      <c r="A1493" s="28">
        <v>59270</v>
      </c>
      <c r="B1493" t="s">
        <v>1633</v>
      </c>
      <c r="C1493">
        <v>14100</v>
      </c>
      <c r="D1493">
        <v>530</v>
      </c>
      <c r="E1493">
        <v>3.91</v>
      </c>
      <c r="F1493" t="s">
        <v>397</v>
      </c>
      <c r="G1493" t="s">
        <v>397</v>
      </c>
      <c r="H1493" t="s">
        <v>397</v>
      </c>
      <c r="I1493" t="s">
        <v>397</v>
      </c>
      <c r="J1493">
        <v>4230</v>
      </c>
      <c r="K1493">
        <v>3.33</v>
      </c>
      <c r="L1493">
        <v>0</v>
      </c>
      <c r="M1493">
        <v>0</v>
      </c>
    </row>
    <row r="1494" spans="1:13">
      <c r="A1494" s="28">
        <v>76610</v>
      </c>
      <c r="B1494" t="s">
        <v>1634</v>
      </c>
      <c r="C1494">
        <v>1426</v>
      </c>
      <c r="D1494">
        <v>-2</v>
      </c>
      <c r="E1494">
        <v>-0.14000000000000001</v>
      </c>
      <c r="F1494" t="s">
        <v>397</v>
      </c>
      <c r="G1494" t="s">
        <v>397</v>
      </c>
      <c r="H1494" t="s">
        <v>397</v>
      </c>
      <c r="I1494" t="s">
        <v>397</v>
      </c>
      <c r="J1494">
        <v>1560</v>
      </c>
      <c r="K1494">
        <v>0.91</v>
      </c>
      <c r="L1494">
        <v>0</v>
      </c>
      <c r="M1494">
        <v>0</v>
      </c>
    </row>
    <row r="1495" spans="1:13">
      <c r="A1495" s="28">
        <v>455310</v>
      </c>
      <c r="B1495" t="s">
        <v>1635</v>
      </c>
      <c r="C1495">
        <v>2060</v>
      </c>
      <c r="D1495">
        <v>-10</v>
      </c>
      <c r="E1495">
        <v>-0.48</v>
      </c>
      <c r="F1495" t="s">
        <v>397</v>
      </c>
      <c r="G1495" t="s">
        <v>397</v>
      </c>
      <c r="H1495" t="s">
        <v>397</v>
      </c>
      <c r="I1495" t="s">
        <v>397</v>
      </c>
      <c r="J1495" t="s">
        <v>397</v>
      </c>
      <c r="K1495" t="s">
        <v>397</v>
      </c>
      <c r="L1495">
        <v>0</v>
      </c>
      <c r="M1495">
        <v>0</v>
      </c>
    </row>
    <row r="1496" spans="1:13">
      <c r="A1496" s="28">
        <v>430460</v>
      </c>
      <c r="B1496" t="s">
        <v>1636</v>
      </c>
      <c r="C1496">
        <v>2175</v>
      </c>
      <c r="D1496">
        <v>5</v>
      </c>
      <c r="E1496">
        <v>0.23</v>
      </c>
      <c r="F1496" t="s">
        <v>397</v>
      </c>
      <c r="G1496" t="s">
        <v>397</v>
      </c>
      <c r="H1496" t="s">
        <v>397</v>
      </c>
      <c r="I1496" t="s">
        <v>397</v>
      </c>
      <c r="J1496" t="s">
        <v>397</v>
      </c>
      <c r="K1496" t="s">
        <v>397</v>
      </c>
      <c r="L1496">
        <v>0</v>
      </c>
      <c r="M1496">
        <v>0</v>
      </c>
    </row>
    <row r="1497" spans="1:13">
      <c r="A1497" s="28">
        <v>386580</v>
      </c>
      <c r="B1497" t="s">
        <v>1637</v>
      </c>
      <c r="C1497">
        <v>2040</v>
      </c>
      <c r="D1497">
        <v>0</v>
      </c>
      <c r="E1497">
        <v>0</v>
      </c>
      <c r="F1497" t="s">
        <v>397</v>
      </c>
      <c r="G1497" t="s">
        <v>397</v>
      </c>
      <c r="H1497" t="s">
        <v>397</v>
      </c>
      <c r="I1497" t="s">
        <v>397</v>
      </c>
      <c r="J1497" t="s">
        <v>397</v>
      </c>
      <c r="K1497" t="s">
        <v>397</v>
      </c>
      <c r="L1497">
        <v>0</v>
      </c>
      <c r="M1497">
        <v>0</v>
      </c>
    </row>
    <row r="1498" spans="1:13">
      <c r="A1498" s="28">
        <v>3535</v>
      </c>
      <c r="B1498" t="s">
        <v>1638</v>
      </c>
      <c r="C1498">
        <v>8950</v>
      </c>
      <c r="D1498">
        <v>-550</v>
      </c>
      <c r="E1498">
        <v>-5.79</v>
      </c>
      <c r="F1498" t="s">
        <v>397</v>
      </c>
      <c r="G1498" t="s">
        <v>397</v>
      </c>
      <c r="H1498" t="s">
        <v>397</v>
      </c>
      <c r="I1498" t="s">
        <v>397</v>
      </c>
      <c r="J1498" t="s">
        <v>397</v>
      </c>
      <c r="K1498" t="s">
        <v>397</v>
      </c>
      <c r="L1498">
        <v>0</v>
      </c>
      <c r="M1498">
        <v>0</v>
      </c>
    </row>
    <row r="1499" spans="1:13">
      <c r="A1499" s="28">
        <v>64240</v>
      </c>
      <c r="B1499" t="s">
        <v>1639</v>
      </c>
      <c r="C1499">
        <v>2680</v>
      </c>
      <c r="D1499">
        <v>-95</v>
      </c>
      <c r="E1499">
        <v>-3.42</v>
      </c>
      <c r="F1499" t="s">
        <v>397</v>
      </c>
      <c r="G1499" t="s">
        <v>397</v>
      </c>
      <c r="H1499" t="s">
        <v>397</v>
      </c>
      <c r="I1499" t="s">
        <v>397</v>
      </c>
      <c r="J1499">
        <v>2748</v>
      </c>
      <c r="K1499">
        <v>0.98</v>
      </c>
      <c r="L1499">
        <v>0</v>
      </c>
      <c r="M1499">
        <v>0</v>
      </c>
    </row>
    <row r="1500" spans="1:13">
      <c r="A1500" s="28">
        <v>133820</v>
      </c>
      <c r="B1500" t="s">
        <v>1640</v>
      </c>
      <c r="C1500">
        <v>1322</v>
      </c>
      <c r="D1500">
        <v>39</v>
      </c>
      <c r="E1500">
        <v>3.04</v>
      </c>
      <c r="F1500" t="s">
        <v>397</v>
      </c>
      <c r="G1500" t="s">
        <v>397</v>
      </c>
      <c r="H1500" t="s">
        <v>397</v>
      </c>
      <c r="I1500" t="s">
        <v>397</v>
      </c>
      <c r="J1500">
        <v>2628</v>
      </c>
      <c r="K1500">
        <v>0.5</v>
      </c>
      <c r="L1500">
        <v>0</v>
      </c>
      <c r="M1500">
        <v>0</v>
      </c>
    </row>
    <row r="1501" spans="1:13">
      <c r="A1501" s="28">
        <v>42660</v>
      </c>
      <c r="B1501" t="s">
        <v>1641</v>
      </c>
      <c r="C1501">
        <v>27000</v>
      </c>
      <c r="D1501">
        <v>0</v>
      </c>
      <c r="E1501">
        <v>0</v>
      </c>
      <c r="F1501" t="s">
        <v>397</v>
      </c>
      <c r="G1501" t="s">
        <v>397</v>
      </c>
      <c r="H1501">
        <v>795</v>
      </c>
      <c r="I1501">
        <v>33.97</v>
      </c>
      <c r="J1501">
        <v>6170</v>
      </c>
      <c r="K1501">
        <v>4.38</v>
      </c>
      <c r="L1501">
        <v>0</v>
      </c>
      <c r="M1501">
        <v>0</v>
      </c>
    </row>
    <row r="1502" spans="1:13">
      <c r="A1502" s="28">
        <v>115160</v>
      </c>
      <c r="B1502" t="s">
        <v>1642</v>
      </c>
      <c r="C1502">
        <v>2845</v>
      </c>
      <c r="D1502">
        <v>-25</v>
      </c>
      <c r="E1502">
        <v>-0.87</v>
      </c>
      <c r="F1502" t="s">
        <v>397</v>
      </c>
      <c r="G1502" t="s">
        <v>397</v>
      </c>
      <c r="H1502" t="s">
        <v>397</v>
      </c>
      <c r="I1502" t="s">
        <v>397</v>
      </c>
      <c r="J1502">
        <v>6428</v>
      </c>
      <c r="K1502">
        <v>0.44</v>
      </c>
      <c r="L1502">
        <v>0</v>
      </c>
      <c r="M1502">
        <v>0</v>
      </c>
    </row>
    <row r="1503" spans="1:13">
      <c r="A1503" s="28">
        <v>3280</v>
      </c>
      <c r="B1503" t="s">
        <v>1643</v>
      </c>
      <c r="C1503">
        <v>2620</v>
      </c>
      <c r="D1503">
        <v>-85</v>
      </c>
      <c r="E1503">
        <v>-3.14</v>
      </c>
      <c r="F1503">
        <v>94</v>
      </c>
      <c r="G1503">
        <v>27.87</v>
      </c>
      <c r="H1503" t="s">
        <v>397</v>
      </c>
      <c r="I1503" t="s">
        <v>397</v>
      </c>
      <c r="J1503">
        <v>544</v>
      </c>
      <c r="K1503">
        <v>4.82</v>
      </c>
      <c r="L1503">
        <v>0</v>
      </c>
      <c r="M1503">
        <v>0</v>
      </c>
    </row>
    <row r="1504" spans="1:13">
      <c r="A1504" s="28">
        <v>545</v>
      </c>
      <c r="B1504" t="s">
        <v>1644</v>
      </c>
      <c r="C1504">
        <v>6060</v>
      </c>
      <c r="D1504">
        <v>60</v>
      </c>
      <c r="E1504">
        <v>1</v>
      </c>
      <c r="F1504" t="s">
        <v>397</v>
      </c>
      <c r="G1504" t="s">
        <v>397</v>
      </c>
      <c r="H1504" t="s">
        <v>397</v>
      </c>
      <c r="I1504" t="s">
        <v>397</v>
      </c>
      <c r="J1504" t="s">
        <v>397</v>
      </c>
      <c r="K1504" t="s">
        <v>397</v>
      </c>
      <c r="L1504">
        <v>0</v>
      </c>
      <c r="M1504">
        <v>0</v>
      </c>
    </row>
    <row r="1505" spans="1:13">
      <c r="A1505" s="28">
        <v>540</v>
      </c>
      <c r="B1505" t="s">
        <v>1645</v>
      </c>
      <c r="C1505">
        <v>4625</v>
      </c>
      <c r="D1505">
        <v>-175</v>
      </c>
      <c r="E1505">
        <v>-3.65</v>
      </c>
      <c r="F1505">
        <v>2142</v>
      </c>
      <c r="G1505">
        <v>2.16</v>
      </c>
      <c r="H1505" t="s">
        <v>397</v>
      </c>
      <c r="I1505" t="s">
        <v>397</v>
      </c>
      <c r="J1505">
        <v>11208</v>
      </c>
      <c r="K1505">
        <v>0.41</v>
      </c>
      <c r="L1505">
        <v>0</v>
      </c>
      <c r="M1505">
        <v>0</v>
      </c>
    </row>
    <row r="1506" spans="1:13">
      <c r="A1506" s="28">
        <v>145020</v>
      </c>
      <c r="B1506" t="s">
        <v>1646</v>
      </c>
      <c r="C1506">
        <v>190800</v>
      </c>
      <c r="D1506">
        <v>-1400</v>
      </c>
      <c r="E1506">
        <v>-0.73</v>
      </c>
      <c r="F1506">
        <v>4811</v>
      </c>
      <c r="G1506">
        <v>39.659999999999997</v>
      </c>
      <c r="H1506">
        <v>8864</v>
      </c>
      <c r="I1506">
        <v>21.53</v>
      </c>
      <c r="J1506">
        <v>67095</v>
      </c>
      <c r="K1506">
        <v>2.84</v>
      </c>
      <c r="L1506">
        <v>0</v>
      </c>
      <c r="M1506">
        <v>0</v>
      </c>
    </row>
    <row r="1507" spans="1:13">
      <c r="A1507" s="28">
        <v>263920</v>
      </c>
      <c r="B1507" t="s">
        <v>1647</v>
      </c>
      <c r="C1507">
        <v>1049</v>
      </c>
      <c r="D1507">
        <v>7</v>
      </c>
      <c r="E1507">
        <v>0.67</v>
      </c>
      <c r="F1507">
        <v>16</v>
      </c>
      <c r="G1507">
        <v>65.56</v>
      </c>
      <c r="H1507" t="s">
        <v>397</v>
      </c>
      <c r="I1507" t="s">
        <v>397</v>
      </c>
      <c r="J1507">
        <v>617</v>
      </c>
      <c r="K1507">
        <v>1.7</v>
      </c>
      <c r="L1507">
        <v>0</v>
      </c>
      <c r="M1507">
        <v>0</v>
      </c>
    </row>
    <row r="1508" spans="1:13">
      <c r="A1508" s="28">
        <v>215090</v>
      </c>
      <c r="B1508" t="s">
        <v>1648</v>
      </c>
      <c r="C1508">
        <v>1505</v>
      </c>
      <c r="D1508">
        <v>0</v>
      </c>
      <c r="E1508">
        <v>0</v>
      </c>
      <c r="F1508">
        <v>177</v>
      </c>
      <c r="G1508">
        <v>8.5</v>
      </c>
      <c r="H1508" t="s">
        <v>397</v>
      </c>
      <c r="I1508" t="s">
        <v>397</v>
      </c>
      <c r="J1508">
        <v>511</v>
      </c>
      <c r="K1508">
        <v>2.95</v>
      </c>
      <c r="L1508">
        <v>0</v>
      </c>
      <c r="M1508">
        <v>0</v>
      </c>
    </row>
    <row r="1509" spans="1:13">
      <c r="A1509" s="28">
        <v>79980</v>
      </c>
      <c r="B1509" t="s">
        <v>1649</v>
      </c>
      <c r="C1509">
        <v>3975</v>
      </c>
      <c r="D1509">
        <v>-25</v>
      </c>
      <c r="E1509">
        <v>-0.63</v>
      </c>
      <c r="F1509" t="s">
        <v>397</v>
      </c>
      <c r="G1509" t="s">
        <v>397</v>
      </c>
      <c r="H1509" t="s">
        <v>397</v>
      </c>
      <c r="I1509" t="s">
        <v>397</v>
      </c>
      <c r="J1509">
        <v>11585</v>
      </c>
      <c r="K1509">
        <v>0.34</v>
      </c>
      <c r="L1509">
        <v>0</v>
      </c>
      <c r="M1509">
        <v>0</v>
      </c>
    </row>
    <row r="1510" spans="1:13">
      <c r="A1510" s="28">
        <v>28080</v>
      </c>
      <c r="B1510" t="s">
        <v>1650</v>
      </c>
      <c r="C1510">
        <v>4140</v>
      </c>
      <c r="D1510">
        <v>0</v>
      </c>
      <c r="E1510">
        <v>0</v>
      </c>
      <c r="F1510" t="s">
        <v>397</v>
      </c>
      <c r="G1510" t="s">
        <v>397</v>
      </c>
      <c r="H1510" t="s">
        <v>397</v>
      </c>
      <c r="I1510" t="s">
        <v>397</v>
      </c>
      <c r="J1510">
        <v>9328</v>
      </c>
      <c r="K1510">
        <v>0.44</v>
      </c>
      <c r="L1510">
        <v>0</v>
      </c>
      <c r="M1510">
        <v>0</v>
      </c>
    </row>
    <row r="1511" spans="1:13">
      <c r="A1511" s="28">
        <v>205470</v>
      </c>
      <c r="B1511" t="s">
        <v>1651</v>
      </c>
      <c r="C1511">
        <v>1711</v>
      </c>
      <c r="D1511">
        <v>2</v>
      </c>
      <c r="E1511">
        <v>0.12</v>
      </c>
      <c r="F1511">
        <v>1463</v>
      </c>
      <c r="G1511">
        <v>1.17</v>
      </c>
      <c r="H1511" t="s">
        <v>397</v>
      </c>
      <c r="I1511" t="s">
        <v>397</v>
      </c>
      <c r="J1511">
        <v>2838</v>
      </c>
      <c r="K1511">
        <v>0.6</v>
      </c>
      <c r="L1511">
        <v>0</v>
      </c>
      <c r="M1511">
        <v>0</v>
      </c>
    </row>
    <row r="1512" spans="1:13">
      <c r="A1512" s="28">
        <v>61250</v>
      </c>
      <c r="B1512" t="s">
        <v>1652</v>
      </c>
      <c r="C1512">
        <v>1637</v>
      </c>
      <c r="D1512">
        <v>0</v>
      </c>
      <c r="E1512">
        <v>0</v>
      </c>
      <c r="F1512" t="s">
        <v>397</v>
      </c>
      <c r="G1512" t="s">
        <v>397</v>
      </c>
      <c r="H1512" t="s">
        <v>397</v>
      </c>
      <c r="I1512" t="s">
        <v>397</v>
      </c>
      <c r="J1512">
        <v>2639</v>
      </c>
      <c r="K1512">
        <v>0.62</v>
      </c>
      <c r="L1512">
        <v>0</v>
      </c>
      <c r="M1512">
        <v>0</v>
      </c>
    </row>
    <row r="1513" spans="1:13">
      <c r="A1513" s="28">
        <v>78590</v>
      </c>
      <c r="B1513" t="s">
        <v>1653</v>
      </c>
      <c r="C1513">
        <v>923</v>
      </c>
      <c r="D1513">
        <v>2</v>
      </c>
      <c r="E1513">
        <v>0.22</v>
      </c>
      <c r="F1513">
        <v>212</v>
      </c>
      <c r="G1513">
        <v>4.3499999999999996</v>
      </c>
      <c r="H1513" t="s">
        <v>397</v>
      </c>
      <c r="I1513" t="s">
        <v>397</v>
      </c>
      <c r="J1513">
        <v>652</v>
      </c>
      <c r="K1513">
        <v>1.42</v>
      </c>
      <c r="L1513">
        <v>0</v>
      </c>
      <c r="M1513">
        <v>0</v>
      </c>
    </row>
    <row r="1514" spans="1:13">
      <c r="A1514" s="28">
        <v>90710</v>
      </c>
      <c r="B1514" t="s">
        <v>1654</v>
      </c>
      <c r="C1514">
        <v>2350</v>
      </c>
      <c r="D1514">
        <v>20</v>
      </c>
      <c r="E1514">
        <v>0.86</v>
      </c>
      <c r="F1514" t="s">
        <v>397</v>
      </c>
      <c r="G1514" t="s">
        <v>397</v>
      </c>
      <c r="H1514" t="s">
        <v>397</v>
      </c>
      <c r="I1514" t="s">
        <v>397</v>
      </c>
      <c r="J1514">
        <v>865</v>
      </c>
      <c r="K1514">
        <v>2.72</v>
      </c>
      <c r="L1514">
        <v>0</v>
      </c>
      <c r="M1514">
        <v>0</v>
      </c>
    </row>
    <row r="1515" spans="1:13">
      <c r="A1515" s="28">
        <v>192410</v>
      </c>
      <c r="B1515" t="s">
        <v>1655</v>
      </c>
      <c r="C1515">
        <v>424</v>
      </c>
      <c r="D1515">
        <v>-5</v>
      </c>
      <c r="E1515">
        <v>-1.17</v>
      </c>
      <c r="F1515" t="s">
        <v>397</v>
      </c>
      <c r="G1515" t="s">
        <v>397</v>
      </c>
      <c r="H1515" t="s">
        <v>397</v>
      </c>
      <c r="I1515" t="s">
        <v>397</v>
      </c>
      <c r="J1515">
        <v>1340</v>
      </c>
      <c r="K1515">
        <v>0.32</v>
      </c>
      <c r="L1515">
        <v>0</v>
      </c>
      <c r="M1515">
        <v>0</v>
      </c>
    </row>
    <row r="1516" spans="1:13">
      <c r="A1516" s="28">
        <v>353190</v>
      </c>
      <c r="B1516" t="s">
        <v>1656</v>
      </c>
      <c r="C1516">
        <v>1095</v>
      </c>
      <c r="D1516">
        <v>-27</v>
      </c>
      <c r="E1516">
        <v>-2.41</v>
      </c>
      <c r="F1516" t="s">
        <v>397</v>
      </c>
      <c r="G1516" t="s">
        <v>397</v>
      </c>
      <c r="H1516" t="s">
        <v>397</v>
      </c>
      <c r="I1516" t="s">
        <v>397</v>
      </c>
      <c r="J1516">
        <v>894</v>
      </c>
      <c r="K1516">
        <v>1.22</v>
      </c>
      <c r="L1516">
        <v>0</v>
      </c>
      <c r="M1516">
        <v>0</v>
      </c>
    </row>
    <row r="1517" spans="1:13">
      <c r="A1517" s="28">
        <v>5870</v>
      </c>
      <c r="B1517" t="s">
        <v>1657</v>
      </c>
      <c r="C1517">
        <v>6630</v>
      </c>
      <c r="D1517">
        <v>-130</v>
      </c>
      <c r="E1517">
        <v>-1.92</v>
      </c>
      <c r="F1517">
        <v>707</v>
      </c>
      <c r="G1517">
        <v>9.3800000000000008</v>
      </c>
      <c r="H1517" t="s">
        <v>397</v>
      </c>
      <c r="I1517" t="s">
        <v>397</v>
      </c>
      <c r="J1517">
        <v>11026</v>
      </c>
      <c r="K1517">
        <v>0.6</v>
      </c>
      <c r="L1517">
        <v>0</v>
      </c>
      <c r="M1517">
        <v>0</v>
      </c>
    </row>
    <row r="1518" spans="1:13">
      <c r="A1518" s="28">
        <v>298000</v>
      </c>
      <c r="B1518" t="s">
        <v>1658</v>
      </c>
      <c r="C1518">
        <v>64000</v>
      </c>
      <c r="D1518">
        <v>-2400</v>
      </c>
      <c r="E1518">
        <v>-3.61</v>
      </c>
      <c r="F1518" t="s">
        <v>397</v>
      </c>
      <c r="G1518" t="s">
        <v>397</v>
      </c>
      <c r="H1518">
        <v>13516</v>
      </c>
      <c r="I1518">
        <v>4.74</v>
      </c>
      <c r="J1518">
        <v>36068</v>
      </c>
      <c r="K1518">
        <v>1.77</v>
      </c>
      <c r="L1518">
        <v>0</v>
      </c>
      <c r="M1518">
        <v>0</v>
      </c>
    </row>
    <row r="1519" spans="1:13">
      <c r="A1519" s="28">
        <v>298040</v>
      </c>
      <c r="B1519" t="s">
        <v>1659</v>
      </c>
      <c r="C1519">
        <v>229500</v>
      </c>
      <c r="D1519">
        <v>-7500</v>
      </c>
      <c r="E1519">
        <v>-3.16</v>
      </c>
      <c r="F1519">
        <v>1097</v>
      </c>
      <c r="G1519">
        <v>209.21</v>
      </c>
      <c r="H1519">
        <v>28788</v>
      </c>
      <c r="I1519">
        <v>7.97</v>
      </c>
      <c r="J1519">
        <v>104660</v>
      </c>
      <c r="K1519">
        <v>2.19</v>
      </c>
      <c r="L1519">
        <v>0</v>
      </c>
      <c r="M1519">
        <v>0</v>
      </c>
    </row>
    <row r="1520" spans="1:13">
      <c r="A1520" s="28">
        <v>97870</v>
      </c>
      <c r="B1520" t="s">
        <v>1660</v>
      </c>
      <c r="C1520">
        <v>7380</v>
      </c>
      <c r="D1520">
        <v>-30</v>
      </c>
      <c r="E1520">
        <v>-0.4</v>
      </c>
      <c r="F1520">
        <v>155</v>
      </c>
      <c r="G1520">
        <v>47.61</v>
      </c>
      <c r="H1520" t="s">
        <v>397</v>
      </c>
      <c r="I1520" t="s">
        <v>397</v>
      </c>
      <c r="J1520">
        <v>8899</v>
      </c>
      <c r="K1520">
        <v>0.83</v>
      </c>
      <c r="L1520">
        <v>0</v>
      </c>
      <c r="M1520">
        <v>0</v>
      </c>
    </row>
    <row r="1521" spans="1:13">
      <c r="A1521" s="28">
        <v>3530</v>
      </c>
      <c r="B1521" t="s">
        <v>1661</v>
      </c>
      <c r="C1521">
        <v>4060</v>
      </c>
      <c r="D1521">
        <v>-410</v>
      </c>
      <c r="E1521">
        <v>-9.17</v>
      </c>
      <c r="F1521" t="s">
        <v>397</v>
      </c>
      <c r="G1521" t="s">
        <v>397</v>
      </c>
      <c r="H1521" t="s">
        <v>397</v>
      </c>
      <c r="I1521" t="s">
        <v>397</v>
      </c>
      <c r="J1521">
        <v>7273</v>
      </c>
      <c r="K1521">
        <v>0.56000000000000005</v>
      </c>
      <c r="L1521">
        <v>0</v>
      </c>
      <c r="M1521">
        <v>0</v>
      </c>
    </row>
    <row r="1522" spans="1:13">
      <c r="A1522" s="28">
        <v>82740</v>
      </c>
      <c r="B1522" t="s">
        <v>1662</v>
      </c>
      <c r="C1522">
        <v>9500</v>
      </c>
      <c r="D1522">
        <v>-70</v>
      </c>
      <c r="E1522">
        <v>-0.73</v>
      </c>
      <c r="F1522" t="s">
        <v>397</v>
      </c>
      <c r="G1522" t="s">
        <v>397</v>
      </c>
      <c r="H1522">
        <v>421</v>
      </c>
      <c r="I1522">
        <v>22.55</v>
      </c>
      <c r="J1522">
        <v>3099</v>
      </c>
      <c r="K1522">
        <v>3.07</v>
      </c>
      <c r="L1522">
        <v>0</v>
      </c>
      <c r="M1522">
        <v>0</v>
      </c>
    </row>
    <row r="1523" spans="1:13">
      <c r="A1523" s="28">
        <v>15760</v>
      </c>
      <c r="B1523" t="s">
        <v>1663</v>
      </c>
      <c r="C1523">
        <v>24850</v>
      </c>
      <c r="D1523">
        <v>50</v>
      </c>
      <c r="E1523">
        <v>0.2</v>
      </c>
      <c r="F1523" t="s">
        <v>397</v>
      </c>
      <c r="G1523" t="s">
        <v>397</v>
      </c>
      <c r="H1523">
        <v>8058</v>
      </c>
      <c r="I1523">
        <v>3.08</v>
      </c>
      <c r="J1523">
        <v>63158</v>
      </c>
      <c r="K1523">
        <v>0.39</v>
      </c>
      <c r="L1523">
        <v>0</v>
      </c>
      <c r="M1523">
        <v>0</v>
      </c>
    </row>
    <row r="1524" spans="1:13">
      <c r="A1524" s="28">
        <v>7280</v>
      </c>
      <c r="B1524" t="s">
        <v>1664</v>
      </c>
      <c r="C1524">
        <v>1743</v>
      </c>
      <c r="D1524">
        <v>4</v>
      </c>
      <c r="E1524">
        <v>0.23</v>
      </c>
      <c r="F1524">
        <v>687</v>
      </c>
      <c r="G1524">
        <v>2.54</v>
      </c>
      <c r="H1524" t="s">
        <v>397</v>
      </c>
      <c r="I1524" t="s">
        <v>397</v>
      </c>
      <c r="J1524">
        <v>3322</v>
      </c>
      <c r="K1524">
        <v>0.52</v>
      </c>
      <c r="L1524">
        <v>0</v>
      </c>
      <c r="M1524">
        <v>0</v>
      </c>
    </row>
    <row r="1525" spans="1:13">
      <c r="A1525" s="28">
        <v>69640</v>
      </c>
      <c r="B1525" t="s">
        <v>1665</v>
      </c>
      <c r="C1525">
        <v>1966</v>
      </c>
      <c r="D1525">
        <v>-6</v>
      </c>
      <c r="E1525">
        <v>-0.3</v>
      </c>
      <c r="F1525" t="s">
        <v>397</v>
      </c>
      <c r="G1525" t="s">
        <v>397</v>
      </c>
      <c r="H1525" t="s">
        <v>397</v>
      </c>
      <c r="I1525" t="s">
        <v>397</v>
      </c>
      <c r="J1525">
        <v>1408</v>
      </c>
      <c r="K1525">
        <v>1.4</v>
      </c>
      <c r="L1525">
        <v>0</v>
      </c>
      <c r="M1525">
        <v>0</v>
      </c>
    </row>
    <row r="1526" spans="1:13">
      <c r="A1526" s="28">
        <v>66980</v>
      </c>
      <c r="B1526" t="s">
        <v>1666</v>
      </c>
      <c r="C1526">
        <v>3645</v>
      </c>
      <c r="D1526">
        <v>195</v>
      </c>
      <c r="E1526">
        <v>5.65</v>
      </c>
      <c r="F1526" t="s">
        <v>397</v>
      </c>
      <c r="G1526" t="s">
        <v>397</v>
      </c>
      <c r="H1526" t="s">
        <v>397</v>
      </c>
      <c r="I1526" t="s">
        <v>397</v>
      </c>
      <c r="J1526">
        <v>2546</v>
      </c>
      <c r="K1526">
        <v>1.43</v>
      </c>
      <c r="L1526">
        <v>0</v>
      </c>
      <c r="M1526">
        <v>0</v>
      </c>
    </row>
    <row r="1527" spans="1:13">
      <c r="A1527" s="28">
        <v>3680</v>
      </c>
      <c r="B1527" t="s">
        <v>1667</v>
      </c>
      <c r="C1527">
        <v>5250</v>
      </c>
      <c r="D1527">
        <v>10</v>
      </c>
      <c r="E1527">
        <v>0.19</v>
      </c>
      <c r="F1527">
        <v>250</v>
      </c>
      <c r="G1527">
        <v>21</v>
      </c>
      <c r="H1527" t="s">
        <v>397</v>
      </c>
      <c r="I1527" t="s">
        <v>397</v>
      </c>
      <c r="J1527">
        <v>9257</v>
      </c>
      <c r="K1527">
        <v>0.56999999999999995</v>
      </c>
      <c r="L1527">
        <v>0</v>
      </c>
      <c r="M1527">
        <v>0</v>
      </c>
    </row>
    <row r="1528" spans="1:13">
      <c r="A1528" s="28">
        <v>452280</v>
      </c>
      <c r="B1528" t="s">
        <v>1668</v>
      </c>
      <c r="C1528">
        <v>6700</v>
      </c>
      <c r="D1528">
        <v>-160</v>
      </c>
      <c r="E1528">
        <v>-2.33</v>
      </c>
      <c r="F1528">
        <v>436</v>
      </c>
      <c r="G1528">
        <v>15.37</v>
      </c>
      <c r="H1528" t="s">
        <v>397</v>
      </c>
      <c r="I1528" t="s">
        <v>397</v>
      </c>
      <c r="J1528">
        <v>1627</v>
      </c>
      <c r="K1528">
        <v>4.12</v>
      </c>
      <c r="L1528">
        <v>0</v>
      </c>
      <c r="M1528">
        <v>0</v>
      </c>
    </row>
    <row r="1529" spans="1:13">
      <c r="A1529" s="28">
        <v>47080</v>
      </c>
      <c r="B1529" t="s">
        <v>1669</v>
      </c>
      <c r="C1529">
        <v>2260</v>
      </c>
      <c r="D1529">
        <v>-25</v>
      </c>
      <c r="E1529">
        <v>-1.0900000000000001</v>
      </c>
      <c r="F1529">
        <v>82</v>
      </c>
      <c r="G1529">
        <v>27.56</v>
      </c>
      <c r="H1529" t="s">
        <v>397</v>
      </c>
      <c r="I1529" t="s">
        <v>397</v>
      </c>
      <c r="J1529">
        <v>774</v>
      </c>
      <c r="K1529">
        <v>2.92</v>
      </c>
      <c r="L1529">
        <v>0</v>
      </c>
      <c r="M1529">
        <v>0</v>
      </c>
    </row>
    <row r="1530" spans="1:13">
      <c r="A1530" s="28">
        <v>452190</v>
      </c>
      <c r="B1530" t="s">
        <v>1670</v>
      </c>
      <c r="C1530">
        <v>8580</v>
      </c>
      <c r="D1530">
        <v>-410</v>
      </c>
      <c r="E1530">
        <v>-4.5599999999999996</v>
      </c>
      <c r="F1530" t="s">
        <v>397</v>
      </c>
      <c r="G1530" t="s">
        <v>397</v>
      </c>
      <c r="H1530" t="s">
        <v>397</v>
      </c>
      <c r="I1530" t="s">
        <v>397</v>
      </c>
      <c r="J1530" t="s">
        <v>397</v>
      </c>
      <c r="K1530" t="s">
        <v>397</v>
      </c>
      <c r="L1530">
        <v>0</v>
      </c>
      <c r="M1530">
        <v>0</v>
      </c>
    </row>
    <row r="1531" spans="1:13">
      <c r="A1531" s="28">
        <v>30520</v>
      </c>
      <c r="B1531" t="s">
        <v>1671</v>
      </c>
      <c r="C1531">
        <v>21700</v>
      </c>
      <c r="D1531">
        <v>300</v>
      </c>
      <c r="E1531">
        <v>1.4</v>
      </c>
      <c r="F1531">
        <v>1969</v>
      </c>
      <c r="G1531">
        <v>11.02</v>
      </c>
      <c r="H1531">
        <v>1853</v>
      </c>
      <c r="I1531">
        <v>11.71</v>
      </c>
      <c r="J1531">
        <v>13442</v>
      </c>
      <c r="K1531">
        <v>1.61</v>
      </c>
      <c r="L1531">
        <v>0</v>
      </c>
      <c r="M1531">
        <v>0</v>
      </c>
    </row>
    <row r="1532" spans="1:13">
      <c r="A1532" s="28">
        <v>123690</v>
      </c>
      <c r="B1532" t="s">
        <v>1672</v>
      </c>
      <c r="C1532">
        <v>5970</v>
      </c>
      <c r="D1532">
        <v>-50</v>
      </c>
      <c r="E1532">
        <v>-0.83</v>
      </c>
      <c r="F1532">
        <v>37</v>
      </c>
      <c r="G1532">
        <v>161.35</v>
      </c>
      <c r="H1532" t="s">
        <v>397</v>
      </c>
      <c r="I1532" t="s">
        <v>397</v>
      </c>
      <c r="J1532">
        <v>1409</v>
      </c>
      <c r="K1532">
        <v>4.24</v>
      </c>
      <c r="L1532">
        <v>0</v>
      </c>
      <c r="M1532">
        <v>0</v>
      </c>
    </row>
    <row r="1533" spans="1:13">
      <c r="A1533" s="28">
        <v>53590</v>
      </c>
      <c r="B1533" t="s">
        <v>1673</v>
      </c>
      <c r="C1533">
        <v>334</v>
      </c>
      <c r="D1533">
        <v>0</v>
      </c>
      <c r="E1533">
        <v>0</v>
      </c>
      <c r="F1533" t="s">
        <v>397</v>
      </c>
      <c r="G1533" t="s">
        <v>397</v>
      </c>
      <c r="H1533" t="s">
        <v>397</v>
      </c>
      <c r="I1533" t="s">
        <v>397</v>
      </c>
      <c r="J1533">
        <v>285</v>
      </c>
      <c r="K1533">
        <v>1.17</v>
      </c>
      <c r="L1533">
        <v>0</v>
      </c>
      <c r="M1533">
        <v>0</v>
      </c>
    </row>
    <row r="1534" spans="1:13">
      <c r="A1534" s="28">
        <v>70590</v>
      </c>
      <c r="B1534" t="s">
        <v>1674</v>
      </c>
      <c r="C1534">
        <v>1694</v>
      </c>
      <c r="D1534">
        <v>-12</v>
      </c>
      <c r="E1534">
        <v>-0.7</v>
      </c>
      <c r="F1534" t="s">
        <v>397</v>
      </c>
      <c r="G1534" t="s">
        <v>397</v>
      </c>
      <c r="H1534" t="s">
        <v>397</v>
      </c>
      <c r="I1534" t="s">
        <v>397</v>
      </c>
      <c r="J1534">
        <v>1605</v>
      </c>
      <c r="K1534">
        <v>1.06</v>
      </c>
      <c r="L1534">
        <v>0</v>
      </c>
      <c r="M1534">
        <v>0</v>
      </c>
    </row>
    <row r="1535" spans="1:13">
      <c r="A1535" s="28">
        <v>25890</v>
      </c>
      <c r="B1535" t="s">
        <v>1675</v>
      </c>
      <c r="C1535">
        <v>2520</v>
      </c>
      <c r="D1535">
        <v>15</v>
      </c>
      <c r="E1535">
        <v>0.6</v>
      </c>
      <c r="F1535">
        <v>154</v>
      </c>
      <c r="G1535">
        <v>16.36</v>
      </c>
      <c r="H1535" t="s">
        <v>397</v>
      </c>
      <c r="I1535" t="s">
        <v>397</v>
      </c>
      <c r="J1535">
        <v>2671</v>
      </c>
      <c r="K1535">
        <v>0.94</v>
      </c>
      <c r="L1535">
        <v>0</v>
      </c>
      <c r="M1535">
        <v>0</v>
      </c>
    </row>
    <row r="1536" spans="1:13">
      <c r="A1536" s="28">
        <v>27970</v>
      </c>
      <c r="B1536" t="s">
        <v>1676</v>
      </c>
      <c r="C1536">
        <v>1028</v>
      </c>
      <c r="D1536">
        <v>2</v>
      </c>
      <c r="E1536">
        <v>0.19</v>
      </c>
      <c r="F1536">
        <v>39</v>
      </c>
      <c r="G1536">
        <v>26.36</v>
      </c>
      <c r="H1536" t="s">
        <v>397</v>
      </c>
      <c r="I1536" t="s">
        <v>397</v>
      </c>
      <c r="J1536">
        <v>1760</v>
      </c>
      <c r="K1536">
        <v>0.57999999999999996</v>
      </c>
      <c r="L1536">
        <v>0</v>
      </c>
      <c r="M1536">
        <v>0</v>
      </c>
    </row>
    <row r="1537" spans="1:13">
      <c r="A1537" s="28">
        <v>464440</v>
      </c>
      <c r="B1537" t="s">
        <v>1677</v>
      </c>
      <c r="C1537">
        <v>2205</v>
      </c>
      <c r="D1537">
        <v>0</v>
      </c>
      <c r="E1537">
        <v>0</v>
      </c>
      <c r="F1537" t="s">
        <v>397</v>
      </c>
      <c r="G1537" t="s">
        <v>397</v>
      </c>
      <c r="H1537" t="s">
        <v>397</v>
      </c>
      <c r="I1537" t="s">
        <v>397</v>
      </c>
      <c r="J1537" t="s">
        <v>397</v>
      </c>
      <c r="K1537" t="s">
        <v>397</v>
      </c>
      <c r="L1537">
        <v>0</v>
      </c>
      <c r="M1537">
        <v>0</v>
      </c>
    </row>
    <row r="1538" spans="1:13">
      <c r="A1538" s="28">
        <v>458610</v>
      </c>
      <c r="B1538" t="s">
        <v>1678</v>
      </c>
      <c r="C1538">
        <v>2195</v>
      </c>
      <c r="D1538">
        <v>0</v>
      </c>
      <c r="E1538">
        <v>0</v>
      </c>
      <c r="F1538" t="s">
        <v>397</v>
      </c>
      <c r="G1538" t="s">
        <v>397</v>
      </c>
      <c r="H1538" t="s">
        <v>397</v>
      </c>
      <c r="I1538" t="s">
        <v>397</v>
      </c>
      <c r="J1538" t="s">
        <v>397</v>
      </c>
      <c r="K1538" t="s">
        <v>397</v>
      </c>
      <c r="L1538">
        <v>0</v>
      </c>
      <c r="M1538">
        <v>0</v>
      </c>
    </row>
    <row r="1539" spans="1:13">
      <c r="A1539" s="28">
        <v>436610</v>
      </c>
      <c r="B1539" t="s">
        <v>1679</v>
      </c>
      <c r="C1539">
        <v>2280</v>
      </c>
      <c r="D1539">
        <v>0</v>
      </c>
      <c r="E1539">
        <v>0</v>
      </c>
      <c r="F1539" t="s">
        <v>397</v>
      </c>
      <c r="G1539" t="s">
        <v>397</v>
      </c>
      <c r="H1539" t="s">
        <v>397</v>
      </c>
      <c r="I1539" t="s">
        <v>397</v>
      </c>
      <c r="J1539" t="s">
        <v>397</v>
      </c>
      <c r="K1539" t="s">
        <v>397</v>
      </c>
      <c r="L1539">
        <v>0</v>
      </c>
      <c r="M1539">
        <v>0</v>
      </c>
    </row>
    <row r="1540" spans="1:13">
      <c r="A1540" s="28">
        <v>25770</v>
      </c>
      <c r="B1540" t="s">
        <v>1680</v>
      </c>
      <c r="C1540">
        <v>8800</v>
      </c>
      <c r="D1540">
        <v>-40</v>
      </c>
      <c r="E1540">
        <v>-0.45</v>
      </c>
      <c r="F1540">
        <v>604</v>
      </c>
      <c r="G1540">
        <v>14.57</v>
      </c>
      <c r="H1540" t="s">
        <v>397</v>
      </c>
      <c r="I1540" t="s">
        <v>397</v>
      </c>
      <c r="J1540">
        <v>6792</v>
      </c>
      <c r="K1540">
        <v>1.3</v>
      </c>
      <c r="L1540">
        <v>0</v>
      </c>
      <c r="M1540">
        <v>0</v>
      </c>
    </row>
    <row r="1541" spans="1:13">
      <c r="A1541" s="28">
        <v>39740</v>
      </c>
      <c r="B1541" t="s">
        <v>1681</v>
      </c>
      <c r="C1541">
        <v>3340</v>
      </c>
      <c r="D1541">
        <v>100</v>
      </c>
      <c r="E1541">
        <v>3.09</v>
      </c>
      <c r="F1541">
        <v>417</v>
      </c>
      <c r="G1541">
        <v>8.01</v>
      </c>
      <c r="H1541" t="s">
        <v>397</v>
      </c>
      <c r="I1541" t="s">
        <v>397</v>
      </c>
      <c r="J1541">
        <v>5496</v>
      </c>
      <c r="K1541">
        <v>0.61</v>
      </c>
      <c r="L1541">
        <v>0</v>
      </c>
      <c r="M1541">
        <v>0</v>
      </c>
    </row>
    <row r="1542" spans="1:13">
      <c r="A1542" s="28">
        <v>101680</v>
      </c>
      <c r="B1542" t="s">
        <v>1682</v>
      </c>
      <c r="C1542">
        <v>2730</v>
      </c>
      <c r="D1542">
        <v>5</v>
      </c>
      <c r="E1542">
        <v>0.18</v>
      </c>
      <c r="F1542">
        <v>61</v>
      </c>
      <c r="G1542">
        <v>44.75</v>
      </c>
      <c r="H1542" t="s">
        <v>397</v>
      </c>
      <c r="I1542" t="s">
        <v>397</v>
      </c>
      <c r="J1542">
        <v>5835</v>
      </c>
      <c r="K1542">
        <v>0.47</v>
      </c>
      <c r="L1542">
        <v>0</v>
      </c>
      <c r="M1542">
        <v>0</v>
      </c>
    </row>
    <row r="1543" spans="1:13">
      <c r="A1543" s="28">
        <v>114810</v>
      </c>
      <c r="B1543" t="s">
        <v>1683</v>
      </c>
      <c r="C1543">
        <v>13060</v>
      </c>
      <c r="D1543">
        <v>0</v>
      </c>
      <c r="E1543">
        <v>0</v>
      </c>
      <c r="F1543">
        <v>1086</v>
      </c>
      <c r="G1543">
        <v>12.03</v>
      </c>
      <c r="H1543" t="s">
        <v>397</v>
      </c>
      <c r="I1543" t="s">
        <v>397</v>
      </c>
      <c r="J1543">
        <v>5429</v>
      </c>
      <c r="K1543">
        <v>2.41</v>
      </c>
      <c r="L1543">
        <v>0</v>
      </c>
      <c r="M1543">
        <v>0</v>
      </c>
    </row>
    <row r="1544" spans="1:13">
      <c r="A1544" s="28">
        <v>25750</v>
      </c>
      <c r="B1544" t="s">
        <v>1684</v>
      </c>
      <c r="C1544">
        <v>795</v>
      </c>
      <c r="D1544">
        <v>-2</v>
      </c>
      <c r="E1544">
        <v>-0.25</v>
      </c>
      <c r="F1544" t="s">
        <v>397</v>
      </c>
      <c r="G1544" t="s">
        <v>397</v>
      </c>
      <c r="H1544" t="s">
        <v>397</v>
      </c>
      <c r="I1544" t="s">
        <v>397</v>
      </c>
      <c r="J1544">
        <v>1903</v>
      </c>
      <c r="K1544">
        <v>0.42</v>
      </c>
      <c r="L1544">
        <v>0</v>
      </c>
      <c r="M1544">
        <v>0</v>
      </c>
    </row>
    <row r="1545" spans="1:13">
      <c r="A1545" s="28">
        <v>9835</v>
      </c>
      <c r="B1545" t="s">
        <v>1685</v>
      </c>
      <c r="C1545">
        <v>21700</v>
      </c>
      <c r="D1545">
        <v>-250</v>
      </c>
      <c r="E1545">
        <v>-1.1399999999999999</v>
      </c>
      <c r="F1545" t="s">
        <v>397</v>
      </c>
      <c r="G1545" t="s">
        <v>397</v>
      </c>
      <c r="H1545" t="s">
        <v>397</v>
      </c>
      <c r="I1545" t="s">
        <v>397</v>
      </c>
      <c r="J1545" t="s">
        <v>397</v>
      </c>
      <c r="K1545" t="s">
        <v>397</v>
      </c>
      <c r="L1545">
        <v>0</v>
      </c>
      <c r="M1545">
        <v>0</v>
      </c>
    </row>
    <row r="1546" spans="1:13">
      <c r="A1546" s="28">
        <v>5110</v>
      </c>
      <c r="B1546" t="s">
        <v>1686</v>
      </c>
      <c r="C1546">
        <v>1166</v>
      </c>
      <c r="D1546">
        <v>-43</v>
      </c>
      <c r="E1546">
        <v>-3.56</v>
      </c>
      <c r="F1546" t="s">
        <v>397</v>
      </c>
      <c r="G1546" t="s">
        <v>397</v>
      </c>
      <c r="H1546" t="s">
        <v>397</v>
      </c>
      <c r="I1546" t="s">
        <v>397</v>
      </c>
      <c r="J1546">
        <v>1375</v>
      </c>
      <c r="K1546">
        <v>0.85</v>
      </c>
      <c r="L1546">
        <v>0</v>
      </c>
      <c r="M1546">
        <v>0</v>
      </c>
    </row>
    <row r="1547" spans="1:13">
      <c r="A1547" s="28">
        <v>9830</v>
      </c>
      <c r="B1547" t="s">
        <v>1687</v>
      </c>
      <c r="C1547">
        <v>27450</v>
      </c>
      <c r="D1547">
        <v>-350</v>
      </c>
      <c r="E1547">
        <v>-1.26</v>
      </c>
      <c r="F1547">
        <v>1873</v>
      </c>
      <c r="G1547">
        <v>14.66</v>
      </c>
      <c r="H1547">
        <v>1357</v>
      </c>
      <c r="I1547">
        <v>20.23</v>
      </c>
      <c r="J1547">
        <v>47292</v>
      </c>
      <c r="K1547">
        <v>0.57999999999999996</v>
      </c>
      <c r="L1547">
        <v>0</v>
      </c>
      <c r="M1547">
        <v>0</v>
      </c>
    </row>
    <row r="1548" spans="1:13">
      <c r="A1548" s="28">
        <v>370</v>
      </c>
      <c r="B1548" t="s">
        <v>1688</v>
      </c>
      <c r="C1548">
        <v>4945</v>
      </c>
      <c r="D1548">
        <v>-145</v>
      </c>
      <c r="E1548">
        <v>-2.85</v>
      </c>
      <c r="F1548">
        <v>1856</v>
      </c>
      <c r="G1548">
        <v>2.66</v>
      </c>
      <c r="H1548">
        <v>2110</v>
      </c>
      <c r="I1548">
        <v>2.34</v>
      </c>
      <c r="J1548">
        <v>1426</v>
      </c>
      <c r="K1548">
        <v>3.47</v>
      </c>
      <c r="L1548">
        <v>0</v>
      </c>
      <c r="M1548">
        <v>0</v>
      </c>
    </row>
    <row r="1549" spans="1:13">
      <c r="A1549" s="28">
        <v>88350</v>
      </c>
      <c r="B1549" t="s">
        <v>1689</v>
      </c>
      <c r="C1549">
        <v>3250</v>
      </c>
      <c r="D1549">
        <v>-15</v>
      </c>
      <c r="E1549">
        <v>-0.46</v>
      </c>
      <c r="F1549">
        <v>855</v>
      </c>
      <c r="G1549">
        <v>3.8</v>
      </c>
      <c r="H1549">
        <v>831</v>
      </c>
      <c r="I1549">
        <v>3.91</v>
      </c>
      <c r="J1549">
        <v>9020</v>
      </c>
      <c r="K1549">
        <v>0.36</v>
      </c>
      <c r="L1549">
        <v>0</v>
      </c>
      <c r="M1549">
        <v>0</v>
      </c>
    </row>
    <row r="1550" spans="1:13">
      <c r="A1550" s="28" t="s">
        <v>1690</v>
      </c>
      <c r="B1550" t="s">
        <v>1691</v>
      </c>
      <c r="C1550">
        <v>3540</v>
      </c>
      <c r="D1550">
        <v>15</v>
      </c>
      <c r="E1550">
        <v>0.43</v>
      </c>
      <c r="F1550" t="s">
        <v>397</v>
      </c>
      <c r="G1550" t="s">
        <v>397</v>
      </c>
      <c r="H1550" t="s">
        <v>397</v>
      </c>
      <c r="I1550" t="s">
        <v>397</v>
      </c>
      <c r="J1550" t="s">
        <v>397</v>
      </c>
      <c r="K1550" t="s">
        <v>397</v>
      </c>
      <c r="L1550">
        <v>0</v>
      </c>
      <c r="M1550">
        <v>0</v>
      </c>
    </row>
    <row r="1551" spans="1:13">
      <c r="A1551" s="28">
        <v>452260</v>
      </c>
      <c r="B1551" t="s">
        <v>1692</v>
      </c>
      <c r="C1551">
        <v>1445</v>
      </c>
      <c r="D1551">
        <v>-6</v>
      </c>
      <c r="E1551">
        <v>-0.41</v>
      </c>
      <c r="F1551" t="s">
        <v>397</v>
      </c>
      <c r="G1551" t="s">
        <v>397</v>
      </c>
      <c r="H1551" t="s">
        <v>397</v>
      </c>
      <c r="I1551" t="s">
        <v>397</v>
      </c>
      <c r="J1551" t="s">
        <v>397</v>
      </c>
      <c r="K1551" t="s">
        <v>397</v>
      </c>
      <c r="L1551">
        <v>0</v>
      </c>
      <c r="M1551">
        <v>0</v>
      </c>
    </row>
    <row r="1552" spans="1:13">
      <c r="A1552" s="28">
        <v>2680</v>
      </c>
      <c r="B1552" t="s">
        <v>1693</v>
      </c>
      <c r="C1552">
        <v>1097</v>
      </c>
      <c r="D1552">
        <v>3</v>
      </c>
      <c r="E1552">
        <v>0.27</v>
      </c>
      <c r="F1552" t="s">
        <v>397</v>
      </c>
      <c r="G1552" t="s">
        <v>397</v>
      </c>
      <c r="H1552" t="s">
        <v>397</v>
      </c>
      <c r="I1552" t="s">
        <v>397</v>
      </c>
      <c r="J1552">
        <v>1748</v>
      </c>
      <c r="K1552">
        <v>0.63</v>
      </c>
      <c r="L1552">
        <v>0</v>
      </c>
      <c r="M1552">
        <v>0</v>
      </c>
    </row>
    <row r="1553" spans="1:13">
      <c r="A1553" s="28">
        <v>54920</v>
      </c>
      <c r="B1553" t="s">
        <v>1694</v>
      </c>
      <c r="C1553">
        <v>3470</v>
      </c>
      <c r="D1553">
        <v>20</v>
      </c>
      <c r="E1553">
        <v>0.57999999999999996</v>
      </c>
      <c r="F1553">
        <v>274</v>
      </c>
      <c r="G1553">
        <v>12.66</v>
      </c>
      <c r="H1553" t="s">
        <v>397</v>
      </c>
      <c r="I1553" t="s">
        <v>397</v>
      </c>
      <c r="J1553">
        <v>5681</v>
      </c>
      <c r="K1553">
        <v>0.61</v>
      </c>
      <c r="L1553">
        <v>0</v>
      </c>
      <c r="M1553">
        <v>0</v>
      </c>
    </row>
    <row r="1554" spans="1:13">
      <c r="A1554" s="28">
        <v>372910</v>
      </c>
      <c r="B1554" t="s">
        <v>1695</v>
      </c>
      <c r="C1554">
        <v>4545</v>
      </c>
      <c r="D1554">
        <v>-30</v>
      </c>
      <c r="E1554">
        <v>-0.66</v>
      </c>
      <c r="F1554">
        <v>333</v>
      </c>
      <c r="G1554">
        <v>13.65</v>
      </c>
      <c r="H1554">
        <v>201</v>
      </c>
      <c r="I1554">
        <v>22.56</v>
      </c>
      <c r="J1554">
        <v>4596</v>
      </c>
      <c r="K1554">
        <v>0.99</v>
      </c>
      <c r="L1554">
        <v>0</v>
      </c>
      <c r="M1554">
        <v>0</v>
      </c>
    </row>
    <row r="1555" spans="1:13">
      <c r="A1555" s="28">
        <v>198940</v>
      </c>
      <c r="B1555" t="s">
        <v>1696</v>
      </c>
      <c r="C1555">
        <v>3055</v>
      </c>
      <c r="D1555">
        <v>-85</v>
      </c>
      <c r="E1555">
        <v>-2.71</v>
      </c>
      <c r="F1555">
        <v>6</v>
      </c>
      <c r="G1555">
        <v>509.17</v>
      </c>
      <c r="H1555" t="s">
        <v>397</v>
      </c>
      <c r="I1555" t="s">
        <v>397</v>
      </c>
      <c r="J1555">
        <v>2596</v>
      </c>
      <c r="K1555">
        <v>1.18</v>
      </c>
      <c r="L1555">
        <v>0</v>
      </c>
      <c r="M1555">
        <v>0</v>
      </c>
    </row>
    <row r="1556" spans="1:13">
      <c r="A1556" s="28">
        <v>226440</v>
      </c>
      <c r="B1556" t="s">
        <v>1697</v>
      </c>
      <c r="C1556">
        <v>1530</v>
      </c>
      <c r="D1556">
        <v>0</v>
      </c>
      <c r="E1556">
        <v>0</v>
      </c>
      <c r="F1556" t="s">
        <v>397</v>
      </c>
      <c r="G1556" t="s">
        <v>397</v>
      </c>
      <c r="H1556" t="s">
        <v>397</v>
      </c>
      <c r="I1556" t="s">
        <v>397</v>
      </c>
      <c r="J1556">
        <v>391</v>
      </c>
      <c r="K1556">
        <v>3.91</v>
      </c>
      <c r="L1556">
        <v>0</v>
      </c>
      <c r="M1556">
        <v>0</v>
      </c>
    </row>
    <row r="1557" spans="1:13">
      <c r="A1557" s="28">
        <v>123840</v>
      </c>
      <c r="B1557" t="s">
        <v>1698</v>
      </c>
      <c r="C1557">
        <v>578</v>
      </c>
      <c r="D1557">
        <v>38</v>
      </c>
      <c r="E1557">
        <v>7.04</v>
      </c>
      <c r="F1557" t="s">
        <v>397</v>
      </c>
      <c r="G1557" t="s">
        <v>397</v>
      </c>
      <c r="H1557" t="s">
        <v>397</v>
      </c>
      <c r="I1557" t="s">
        <v>397</v>
      </c>
      <c r="J1557">
        <v>473</v>
      </c>
      <c r="K1557">
        <v>1.22</v>
      </c>
      <c r="L1557">
        <v>0</v>
      </c>
      <c r="M1557">
        <v>0</v>
      </c>
    </row>
    <row r="1558" spans="1:13">
      <c r="A1558" s="28">
        <v>5860</v>
      </c>
      <c r="B1558" t="s">
        <v>1699</v>
      </c>
      <c r="C1558">
        <v>4490</v>
      </c>
      <c r="D1558">
        <v>-50</v>
      </c>
      <c r="E1558">
        <v>-1.1000000000000001</v>
      </c>
      <c r="F1558" t="s">
        <v>397</v>
      </c>
      <c r="G1558" t="s">
        <v>397</v>
      </c>
      <c r="H1558" t="s">
        <v>397</v>
      </c>
      <c r="I1558" t="s">
        <v>397</v>
      </c>
      <c r="J1558">
        <v>1371</v>
      </c>
      <c r="K1558">
        <v>3.27</v>
      </c>
      <c r="L1558">
        <v>0</v>
      </c>
      <c r="M1558">
        <v>0</v>
      </c>
    </row>
    <row r="1559" spans="1:13">
      <c r="A1559" s="28">
        <v>24740</v>
      </c>
      <c r="B1559" t="s">
        <v>1700</v>
      </c>
      <c r="C1559">
        <v>2405</v>
      </c>
      <c r="D1559">
        <v>0</v>
      </c>
      <c r="E1559">
        <v>0</v>
      </c>
      <c r="F1559">
        <v>232</v>
      </c>
      <c r="G1559">
        <v>10.37</v>
      </c>
      <c r="H1559" t="s">
        <v>397</v>
      </c>
      <c r="I1559" t="s">
        <v>397</v>
      </c>
      <c r="J1559">
        <v>3587</v>
      </c>
      <c r="K1559">
        <v>0.67</v>
      </c>
      <c r="L1559">
        <v>0</v>
      </c>
      <c r="M1559">
        <v>0</v>
      </c>
    </row>
    <row r="1560" spans="1:13">
      <c r="A1560" s="28">
        <v>91440</v>
      </c>
      <c r="B1560" t="s">
        <v>1701</v>
      </c>
      <c r="C1560">
        <v>13800</v>
      </c>
      <c r="D1560">
        <v>350</v>
      </c>
      <c r="E1560">
        <v>2.6</v>
      </c>
      <c r="F1560" t="s">
        <v>397</v>
      </c>
      <c r="G1560" t="s">
        <v>397</v>
      </c>
      <c r="H1560" t="s">
        <v>397</v>
      </c>
      <c r="I1560" t="s">
        <v>397</v>
      </c>
      <c r="J1560">
        <v>1709</v>
      </c>
      <c r="K1560">
        <v>8.07</v>
      </c>
      <c r="L1560">
        <v>0</v>
      </c>
      <c r="M1560">
        <v>0</v>
      </c>
    </row>
    <row r="1561" spans="1:13">
      <c r="A1561" s="28">
        <v>9420</v>
      </c>
      <c r="B1561" t="s">
        <v>1702</v>
      </c>
      <c r="C1561">
        <v>36000</v>
      </c>
      <c r="D1561">
        <v>-2550</v>
      </c>
      <c r="E1561">
        <v>-6.61</v>
      </c>
      <c r="F1561">
        <v>5</v>
      </c>
      <c r="G1561">
        <v>7200</v>
      </c>
      <c r="H1561">
        <v>195</v>
      </c>
      <c r="I1561">
        <v>184.98</v>
      </c>
      <c r="J1561">
        <v>3319</v>
      </c>
      <c r="K1561">
        <v>10.85</v>
      </c>
      <c r="L1561">
        <v>0</v>
      </c>
      <c r="M1561">
        <v>0</v>
      </c>
    </row>
    <row r="1562" spans="1:13">
      <c r="A1562" s="28">
        <v>78350</v>
      </c>
      <c r="B1562" t="s">
        <v>1703</v>
      </c>
      <c r="C1562">
        <v>15960</v>
      </c>
      <c r="D1562">
        <v>-110</v>
      </c>
      <c r="E1562">
        <v>-0.68</v>
      </c>
      <c r="F1562">
        <v>2492</v>
      </c>
      <c r="G1562">
        <v>6.4</v>
      </c>
      <c r="H1562" t="s">
        <v>397</v>
      </c>
      <c r="I1562" t="s">
        <v>397</v>
      </c>
      <c r="J1562">
        <v>8129</v>
      </c>
      <c r="K1562">
        <v>1.96</v>
      </c>
      <c r="L1562">
        <v>0</v>
      </c>
      <c r="M1562">
        <v>0</v>
      </c>
    </row>
    <row r="1563" spans="1:13">
      <c r="A1563" s="28">
        <v>430690</v>
      </c>
      <c r="B1563" t="s">
        <v>1704</v>
      </c>
      <c r="C1563">
        <v>14620</v>
      </c>
      <c r="D1563">
        <v>-270</v>
      </c>
      <c r="E1563">
        <v>-1.81</v>
      </c>
      <c r="F1563">
        <v>627</v>
      </c>
      <c r="G1563">
        <v>23.32</v>
      </c>
      <c r="H1563" t="s">
        <v>397</v>
      </c>
      <c r="I1563" t="s">
        <v>397</v>
      </c>
      <c r="J1563">
        <v>3458</v>
      </c>
      <c r="K1563">
        <v>4.2300000000000004</v>
      </c>
      <c r="L1563">
        <v>0</v>
      </c>
      <c r="M1563">
        <v>0</v>
      </c>
    </row>
    <row r="1564" spans="1:13">
      <c r="A1564" s="28">
        <v>42520</v>
      </c>
      <c r="B1564" t="s">
        <v>1705</v>
      </c>
      <c r="C1564">
        <v>15300</v>
      </c>
      <c r="D1564">
        <v>-270</v>
      </c>
      <c r="E1564">
        <v>-1.73</v>
      </c>
      <c r="F1564">
        <v>624</v>
      </c>
      <c r="G1564">
        <v>24.52</v>
      </c>
      <c r="H1564" t="s">
        <v>397</v>
      </c>
      <c r="I1564" t="s">
        <v>397</v>
      </c>
      <c r="J1564">
        <v>4732</v>
      </c>
      <c r="K1564">
        <v>3.23</v>
      </c>
      <c r="L1564">
        <v>0</v>
      </c>
      <c r="M1564">
        <v>0</v>
      </c>
    </row>
    <row r="1565" spans="1:13">
      <c r="A1565" s="28">
        <v>388870</v>
      </c>
      <c r="B1565" t="s">
        <v>1706</v>
      </c>
      <c r="C1565">
        <v>15030</v>
      </c>
      <c r="D1565">
        <v>-1050</v>
      </c>
      <c r="E1565">
        <v>-6.53</v>
      </c>
      <c r="F1565" t="s">
        <v>397</v>
      </c>
      <c r="G1565" t="s">
        <v>397</v>
      </c>
      <c r="H1565" t="s">
        <v>397</v>
      </c>
      <c r="I1565" t="s">
        <v>397</v>
      </c>
      <c r="J1565">
        <v>1539</v>
      </c>
      <c r="K1565">
        <v>9.77</v>
      </c>
      <c r="L1565">
        <v>0</v>
      </c>
      <c r="M1565">
        <v>0</v>
      </c>
    </row>
    <row r="1566" spans="1:13">
      <c r="A1566" s="28">
        <v>33540</v>
      </c>
      <c r="B1566" t="s">
        <v>1707</v>
      </c>
      <c r="C1566">
        <v>2345</v>
      </c>
      <c r="D1566">
        <v>-15</v>
      </c>
      <c r="E1566">
        <v>-0.64</v>
      </c>
      <c r="F1566" t="s">
        <v>397</v>
      </c>
      <c r="G1566" t="s">
        <v>397</v>
      </c>
      <c r="H1566" t="s">
        <v>397</v>
      </c>
      <c r="I1566" t="s">
        <v>397</v>
      </c>
      <c r="J1566">
        <v>3380</v>
      </c>
      <c r="K1566">
        <v>0.69</v>
      </c>
      <c r="L1566">
        <v>0</v>
      </c>
      <c r="M1566">
        <v>0</v>
      </c>
    </row>
    <row r="1567" spans="1:13">
      <c r="A1567" s="28">
        <v>34230</v>
      </c>
      <c r="B1567" t="s">
        <v>1708</v>
      </c>
      <c r="C1567">
        <v>13070</v>
      </c>
      <c r="D1567">
        <v>-250</v>
      </c>
      <c r="E1567">
        <v>-1.88</v>
      </c>
      <c r="F1567">
        <v>296</v>
      </c>
      <c r="G1567">
        <v>44.16</v>
      </c>
      <c r="H1567">
        <v>793</v>
      </c>
      <c r="I1567">
        <v>16.489999999999998</v>
      </c>
      <c r="J1567">
        <v>15915</v>
      </c>
      <c r="K1567">
        <v>0.82</v>
      </c>
      <c r="L1567">
        <v>0</v>
      </c>
      <c r="M1567">
        <v>0</v>
      </c>
    </row>
    <row r="1568" spans="1:13">
      <c r="A1568" s="28">
        <v>263700</v>
      </c>
      <c r="B1568" t="s">
        <v>1709</v>
      </c>
      <c r="C1568">
        <v>4800</v>
      </c>
      <c r="D1568">
        <v>25</v>
      </c>
      <c r="E1568">
        <v>0.52</v>
      </c>
      <c r="F1568" t="s">
        <v>397</v>
      </c>
      <c r="G1568" t="s">
        <v>397</v>
      </c>
      <c r="H1568" t="s">
        <v>397</v>
      </c>
      <c r="I1568" t="s">
        <v>397</v>
      </c>
      <c r="J1568">
        <v>4648</v>
      </c>
      <c r="K1568">
        <v>1.03</v>
      </c>
      <c r="L1568">
        <v>0</v>
      </c>
      <c r="M1568">
        <v>0</v>
      </c>
    </row>
    <row r="1569" spans="1:13">
      <c r="A1569" s="28">
        <v>199430</v>
      </c>
      <c r="B1569" t="s">
        <v>1710</v>
      </c>
      <c r="C1569">
        <v>25600</v>
      </c>
      <c r="D1569">
        <v>-1850</v>
      </c>
      <c r="E1569">
        <v>-6.74</v>
      </c>
      <c r="F1569">
        <v>90</v>
      </c>
      <c r="G1569">
        <v>284.44</v>
      </c>
      <c r="H1569" t="s">
        <v>397</v>
      </c>
      <c r="I1569" t="s">
        <v>397</v>
      </c>
      <c r="J1569">
        <v>235</v>
      </c>
      <c r="K1569">
        <v>108.94</v>
      </c>
      <c r="L1569">
        <v>0</v>
      </c>
      <c r="M1569">
        <v>0</v>
      </c>
    </row>
    <row r="1570" spans="1:13">
      <c r="A1570" s="28">
        <v>105330</v>
      </c>
      <c r="B1570" t="s">
        <v>1711</v>
      </c>
      <c r="C1570">
        <v>8130</v>
      </c>
      <c r="D1570">
        <v>90</v>
      </c>
      <c r="E1570">
        <v>1.1200000000000001</v>
      </c>
      <c r="F1570">
        <v>1512</v>
      </c>
      <c r="G1570">
        <v>5.38</v>
      </c>
      <c r="H1570" t="s">
        <v>397</v>
      </c>
      <c r="I1570" t="s">
        <v>397</v>
      </c>
      <c r="J1570">
        <v>6569</v>
      </c>
      <c r="K1570">
        <v>1.24</v>
      </c>
      <c r="L1570">
        <v>0</v>
      </c>
      <c r="M1570">
        <v>0</v>
      </c>
    </row>
    <row r="1571" spans="1:13">
      <c r="A1571" s="28">
        <v>73010</v>
      </c>
      <c r="B1571" t="s">
        <v>1712</v>
      </c>
      <c r="C1571">
        <v>3850</v>
      </c>
      <c r="D1571">
        <v>85</v>
      </c>
      <c r="E1571">
        <v>2.2599999999999998</v>
      </c>
      <c r="F1571">
        <v>108</v>
      </c>
      <c r="G1571">
        <v>35.65</v>
      </c>
      <c r="H1571" t="s">
        <v>397</v>
      </c>
      <c r="I1571" t="s">
        <v>397</v>
      </c>
      <c r="J1571">
        <v>929</v>
      </c>
      <c r="K1571">
        <v>4.1399999999999997</v>
      </c>
      <c r="L1571">
        <v>0</v>
      </c>
      <c r="M1571">
        <v>0</v>
      </c>
    </row>
    <row r="1572" spans="1:13">
      <c r="A1572" s="28">
        <v>93640</v>
      </c>
      <c r="B1572" t="s">
        <v>1713</v>
      </c>
      <c r="C1572">
        <v>8230</v>
      </c>
      <c r="D1572">
        <v>40</v>
      </c>
      <c r="E1572">
        <v>0.49</v>
      </c>
      <c r="F1572" t="s">
        <v>397</v>
      </c>
      <c r="G1572" t="s">
        <v>397</v>
      </c>
      <c r="H1572" t="s">
        <v>397</v>
      </c>
      <c r="I1572" t="s">
        <v>397</v>
      </c>
      <c r="J1572">
        <v>2402</v>
      </c>
      <c r="K1572">
        <v>3.43</v>
      </c>
      <c r="L1572">
        <v>0</v>
      </c>
      <c r="M1572">
        <v>0</v>
      </c>
    </row>
    <row r="1573" spans="1:13">
      <c r="A1573" s="28">
        <v>436530</v>
      </c>
      <c r="B1573" t="s">
        <v>1714</v>
      </c>
      <c r="C1573">
        <v>3950</v>
      </c>
      <c r="D1573">
        <v>-50</v>
      </c>
      <c r="E1573">
        <v>-1.25</v>
      </c>
      <c r="F1573" t="s">
        <v>397</v>
      </c>
      <c r="G1573" t="s">
        <v>397</v>
      </c>
      <c r="H1573" t="s">
        <v>397</v>
      </c>
      <c r="I1573" t="s">
        <v>397</v>
      </c>
      <c r="J1573" t="s">
        <v>397</v>
      </c>
      <c r="K1573" t="s">
        <v>397</v>
      </c>
      <c r="L1573">
        <v>0</v>
      </c>
      <c r="M1573">
        <v>0</v>
      </c>
    </row>
    <row r="1574" spans="1:13">
      <c r="A1574" s="28">
        <v>424140</v>
      </c>
      <c r="B1574" t="s">
        <v>1715</v>
      </c>
      <c r="C1574">
        <v>2090</v>
      </c>
      <c r="D1574">
        <v>20</v>
      </c>
      <c r="E1574">
        <v>0.97</v>
      </c>
      <c r="F1574" t="s">
        <v>397</v>
      </c>
      <c r="G1574" t="s">
        <v>397</v>
      </c>
      <c r="H1574" t="s">
        <v>397</v>
      </c>
      <c r="I1574" t="s">
        <v>397</v>
      </c>
      <c r="J1574" t="s">
        <v>397</v>
      </c>
      <c r="K1574" t="s">
        <v>397</v>
      </c>
      <c r="L1574">
        <v>0</v>
      </c>
      <c r="M1574">
        <v>0</v>
      </c>
    </row>
    <row r="1575" spans="1:13">
      <c r="A1575" s="28">
        <v>1620</v>
      </c>
      <c r="B1575" t="s">
        <v>1716</v>
      </c>
      <c r="C1575">
        <v>584</v>
      </c>
      <c r="D1575">
        <v>-5</v>
      </c>
      <c r="E1575">
        <v>-0.85</v>
      </c>
      <c r="F1575">
        <v>46</v>
      </c>
      <c r="G1575">
        <v>12.7</v>
      </c>
      <c r="H1575" t="s">
        <v>397</v>
      </c>
      <c r="I1575" t="s">
        <v>397</v>
      </c>
      <c r="J1575">
        <v>1765</v>
      </c>
      <c r="K1575">
        <v>0.33</v>
      </c>
      <c r="L1575">
        <v>0</v>
      </c>
      <c r="M1575">
        <v>0</v>
      </c>
    </row>
    <row r="1576" spans="1:13">
      <c r="A1576" s="28">
        <v>38530</v>
      </c>
      <c r="B1576" t="s">
        <v>1717</v>
      </c>
      <c r="C1576">
        <v>237</v>
      </c>
      <c r="D1576">
        <v>-6</v>
      </c>
      <c r="E1576">
        <v>-2.4700000000000002</v>
      </c>
      <c r="F1576" t="s">
        <v>397</v>
      </c>
      <c r="G1576" t="s">
        <v>397</v>
      </c>
      <c r="H1576" t="s">
        <v>397</v>
      </c>
      <c r="I1576" t="s">
        <v>397</v>
      </c>
      <c r="J1576">
        <v>728</v>
      </c>
      <c r="K1576">
        <v>0.33</v>
      </c>
      <c r="L1576">
        <v>0</v>
      </c>
      <c r="M1576">
        <v>0</v>
      </c>
    </row>
    <row r="1577" spans="1:13">
      <c r="A1577" s="28">
        <v>79190</v>
      </c>
      <c r="B1577" t="s">
        <v>1718</v>
      </c>
      <c r="C1577">
        <v>779</v>
      </c>
      <c r="D1577">
        <v>-14</v>
      </c>
      <c r="E1577">
        <v>-1.77</v>
      </c>
      <c r="F1577" t="s">
        <v>397</v>
      </c>
      <c r="G1577" t="s">
        <v>397</v>
      </c>
      <c r="H1577" t="s">
        <v>397</v>
      </c>
      <c r="I1577" t="s">
        <v>397</v>
      </c>
      <c r="J1577">
        <v>451</v>
      </c>
      <c r="K1577">
        <v>1.73</v>
      </c>
      <c r="L1577">
        <v>0</v>
      </c>
      <c r="M1577">
        <v>0</v>
      </c>
    </row>
    <row r="1578" spans="1:13">
      <c r="A1578" s="28">
        <v>272110</v>
      </c>
      <c r="B1578" t="s">
        <v>1719</v>
      </c>
      <c r="C1578">
        <v>16750</v>
      </c>
      <c r="D1578">
        <v>-150</v>
      </c>
      <c r="E1578">
        <v>-0.89</v>
      </c>
      <c r="F1578">
        <v>1255</v>
      </c>
      <c r="G1578">
        <v>13.35</v>
      </c>
      <c r="H1578" t="s">
        <v>397</v>
      </c>
      <c r="I1578" t="s">
        <v>397</v>
      </c>
      <c r="J1578">
        <v>6769</v>
      </c>
      <c r="K1578">
        <v>2.4700000000000002</v>
      </c>
      <c r="L1578">
        <v>0</v>
      </c>
      <c r="M1578">
        <v>0</v>
      </c>
    </row>
    <row r="1579" spans="1:13">
      <c r="A1579" s="28">
        <v>307930</v>
      </c>
      <c r="B1579" t="s">
        <v>1720</v>
      </c>
      <c r="C1579">
        <v>8090</v>
      </c>
      <c r="D1579">
        <v>480</v>
      </c>
      <c r="E1579">
        <v>6.31</v>
      </c>
      <c r="F1579">
        <v>415</v>
      </c>
      <c r="G1579">
        <v>19.489999999999998</v>
      </c>
      <c r="H1579" t="s">
        <v>397</v>
      </c>
      <c r="I1579" t="s">
        <v>397</v>
      </c>
      <c r="J1579">
        <v>4955</v>
      </c>
      <c r="K1579">
        <v>1.63</v>
      </c>
      <c r="L1579">
        <v>0</v>
      </c>
      <c r="M1579">
        <v>0</v>
      </c>
    </row>
    <row r="1580" spans="1:13">
      <c r="A1580" s="28">
        <v>63080</v>
      </c>
      <c r="B1580" t="s">
        <v>1721</v>
      </c>
      <c r="C1580">
        <v>37650</v>
      </c>
      <c r="D1580">
        <v>-1450</v>
      </c>
      <c r="E1580">
        <v>-3.71</v>
      </c>
      <c r="F1580" t="s">
        <v>397</v>
      </c>
      <c r="G1580" t="s">
        <v>397</v>
      </c>
      <c r="H1580" t="s">
        <v>397</v>
      </c>
      <c r="I1580" t="s">
        <v>397</v>
      </c>
      <c r="J1580">
        <v>45693</v>
      </c>
      <c r="K1580">
        <v>0.82</v>
      </c>
      <c r="L1580">
        <v>0</v>
      </c>
      <c r="M1580">
        <v>0</v>
      </c>
    </row>
    <row r="1581" spans="1:13">
      <c r="A1581" s="28">
        <v>451760</v>
      </c>
      <c r="B1581" t="s">
        <v>1722</v>
      </c>
      <c r="C1581">
        <v>15870</v>
      </c>
      <c r="D1581">
        <v>-680</v>
      </c>
      <c r="E1581">
        <v>-4.1100000000000003</v>
      </c>
      <c r="F1581" t="s">
        <v>397</v>
      </c>
      <c r="G1581" t="s">
        <v>397</v>
      </c>
      <c r="H1581" t="s">
        <v>397</v>
      </c>
      <c r="I1581" t="s">
        <v>397</v>
      </c>
      <c r="J1581" t="s">
        <v>397</v>
      </c>
      <c r="K1581" t="s">
        <v>397</v>
      </c>
      <c r="L1581">
        <v>0</v>
      </c>
      <c r="M1581">
        <v>0</v>
      </c>
    </row>
    <row r="1582" spans="1:13">
      <c r="A1582" s="28">
        <v>223310</v>
      </c>
      <c r="B1582" t="s">
        <v>1723</v>
      </c>
      <c r="C1582">
        <v>1426</v>
      </c>
      <c r="D1582">
        <v>-14</v>
      </c>
      <c r="E1582">
        <v>-0.97</v>
      </c>
      <c r="F1582" t="s">
        <v>397</v>
      </c>
      <c r="G1582" t="s">
        <v>397</v>
      </c>
      <c r="H1582" t="s">
        <v>397</v>
      </c>
      <c r="I1582" t="s">
        <v>397</v>
      </c>
      <c r="J1582">
        <v>1521</v>
      </c>
      <c r="K1582">
        <v>0.94</v>
      </c>
      <c r="L1582">
        <v>0</v>
      </c>
      <c r="M1582">
        <v>0</v>
      </c>
    </row>
    <row r="1583" spans="1:13">
      <c r="A1583" s="28">
        <v>119860</v>
      </c>
      <c r="B1583" t="s">
        <v>1724</v>
      </c>
      <c r="C1583">
        <v>15260</v>
      </c>
      <c r="D1583">
        <v>1860</v>
      </c>
      <c r="E1583">
        <v>13.88</v>
      </c>
      <c r="F1583">
        <v>229</v>
      </c>
      <c r="G1583">
        <v>66.64</v>
      </c>
      <c r="H1583">
        <v>733</v>
      </c>
      <c r="I1583">
        <v>20.83</v>
      </c>
      <c r="J1583">
        <v>14989</v>
      </c>
      <c r="K1583">
        <v>1.02</v>
      </c>
      <c r="L1583">
        <v>0</v>
      </c>
      <c r="M1583">
        <v>0</v>
      </c>
    </row>
    <row r="1584" spans="1:13">
      <c r="A1584" s="28">
        <v>50110</v>
      </c>
      <c r="B1584" t="s">
        <v>1725</v>
      </c>
      <c r="C1584">
        <v>1415</v>
      </c>
      <c r="D1584">
        <v>-22</v>
      </c>
      <c r="E1584">
        <v>-1.53</v>
      </c>
      <c r="F1584">
        <v>86</v>
      </c>
      <c r="G1584">
        <v>16.45</v>
      </c>
      <c r="H1584" t="s">
        <v>397</v>
      </c>
      <c r="I1584" t="s">
        <v>397</v>
      </c>
      <c r="J1584">
        <v>1422</v>
      </c>
      <c r="K1584">
        <v>1</v>
      </c>
      <c r="L1584">
        <v>0</v>
      </c>
      <c r="M1584">
        <v>0</v>
      </c>
    </row>
    <row r="1585" spans="1:13">
      <c r="A1585" s="28">
        <v>71850</v>
      </c>
      <c r="B1585" t="s">
        <v>1726</v>
      </c>
      <c r="C1585">
        <v>2565</v>
      </c>
      <c r="D1585">
        <v>130</v>
      </c>
      <c r="E1585">
        <v>5.34</v>
      </c>
      <c r="F1585" t="s">
        <v>397</v>
      </c>
      <c r="G1585" t="s">
        <v>397</v>
      </c>
      <c r="H1585" t="s">
        <v>397</v>
      </c>
      <c r="I1585" t="s">
        <v>397</v>
      </c>
      <c r="J1585">
        <v>5542</v>
      </c>
      <c r="K1585">
        <v>0.46</v>
      </c>
      <c r="L1585">
        <v>0</v>
      </c>
      <c r="M1585">
        <v>0</v>
      </c>
    </row>
    <row r="1586" spans="1:13">
      <c r="A1586" s="28">
        <v>317530</v>
      </c>
      <c r="B1586" t="s">
        <v>1727</v>
      </c>
      <c r="C1586">
        <v>4735</v>
      </c>
      <c r="D1586">
        <v>-155</v>
      </c>
      <c r="E1586">
        <v>-3.17</v>
      </c>
      <c r="F1586" t="s">
        <v>397</v>
      </c>
      <c r="G1586" t="s">
        <v>397</v>
      </c>
      <c r="H1586" t="s">
        <v>397</v>
      </c>
      <c r="I1586" t="s">
        <v>397</v>
      </c>
      <c r="J1586">
        <v>1614</v>
      </c>
      <c r="K1586">
        <v>2.93</v>
      </c>
      <c r="L1586">
        <v>0</v>
      </c>
      <c r="M1586">
        <v>0</v>
      </c>
    </row>
    <row r="1587" spans="1:13">
      <c r="A1587" s="28">
        <v>432470</v>
      </c>
      <c r="B1587" t="s">
        <v>1728</v>
      </c>
      <c r="C1587">
        <v>34950</v>
      </c>
      <c r="D1587">
        <v>-1850</v>
      </c>
      <c r="E1587">
        <v>-5.03</v>
      </c>
      <c r="F1587">
        <v>1584</v>
      </c>
      <c r="G1587">
        <v>22.06</v>
      </c>
      <c r="H1587" t="s">
        <v>397</v>
      </c>
      <c r="I1587" t="s">
        <v>397</v>
      </c>
      <c r="J1587">
        <v>6974</v>
      </c>
      <c r="K1587">
        <v>5.01</v>
      </c>
      <c r="L1587">
        <v>0</v>
      </c>
      <c r="M1587">
        <v>0</v>
      </c>
    </row>
    <row r="1588" spans="1:13">
      <c r="A1588" s="28">
        <v>32500</v>
      </c>
      <c r="B1588" t="s">
        <v>1729</v>
      </c>
      <c r="C1588">
        <v>12800</v>
      </c>
      <c r="D1588">
        <v>-360</v>
      </c>
      <c r="E1588">
        <v>-2.74</v>
      </c>
      <c r="F1588" t="s">
        <v>397</v>
      </c>
      <c r="G1588" t="s">
        <v>397</v>
      </c>
      <c r="H1588" t="s">
        <v>397</v>
      </c>
      <c r="I1588" t="s">
        <v>397</v>
      </c>
      <c r="J1588">
        <v>6034</v>
      </c>
      <c r="K1588">
        <v>2.12</v>
      </c>
      <c r="L1588">
        <v>0</v>
      </c>
      <c r="M1588">
        <v>0</v>
      </c>
    </row>
    <row r="1589" spans="1:13">
      <c r="A1589" s="28">
        <v>42000</v>
      </c>
      <c r="B1589" t="s">
        <v>1730</v>
      </c>
      <c r="C1589">
        <v>19700</v>
      </c>
      <c r="D1589">
        <v>-900</v>
      </c>
      <c r="E1589">
        <v>-4.37</v>
      </c>
      <c r="F1589" t="s">
        <v>397</v>
      </c>
      <c r="G1589" t="s">
        <v>397</v>
      </c>
      <c r="H1589">
        <v>535</v>
      </c>
      <c r="I1589">
        <v>36.86</v>
      </c>
      <c r="J1589">
        <v>6615</v>
      </c>
      <c r="K1589">
        <v>2.98</v>
      </c>
      <c r="L1589">
        <v>0</v>
      </c>
      <c r="M1589">
        <v>0</v>
      </c>
    </row>
    <row r="1590" spans="1:13">
      <c r="A1590" s="28">
        <v>402030</v>
      </c>
      <c r="B1590" t="s">
        <v>1731</v>
      </c>
      <c r="C1590">
        <v>30650</v>
      </c>
      <c r="D1590">
        <v>0</v>
      </c>
      <c r="E1590">
        <v>0</v>
      </c>
      <c r="F1590" t="s">
        <v>397</v>
      </c>
      <c r="G1590" t="s">
        <v>397</v>
      </c>
      <c r="H1590" t="s">
        <v>397</v>
      </c>
      <c r="I1590" t="s">
        <v>397</v>
      </c>
      <c r="J1590">
        <v>3574</v>
      </c>
      <c r="K1590">
        <v>8.58</v>
      </c>
      <c r="L1590">
        <v>0</v>
      </c>
      <c r="M1590">
        <v>0</v>
      </c>
    </row>
    <row r="1591" spans="1:13">
      <c r="A1591" s="28">
        <v>7810</v>
      </c>
      <c r="B1591" t="s">
        <v>1732</v>
      </c>
      <c r="C1591">
        <v>18240</v>
      </c>
      <c r="D1591">
        <v>180</v>
      </c>
      <c r="E1591">
        <v>1</v>
      </c>
      <c r="F1591">
        <v>2507</v>
      </c>
      <c r="G1591">
        <v>7.28</v>
      </c>
      <c r="H1591" t="s">
        <v>397</v>
      </c>
      <c r="I1591" t="s">
        <v>397</v>
      </c>
      <c r="J1591">
        <v>20204</v>
      </c>
      <c r="K1591">
        <v>0.9</v>
      </c>
      <c r="L1591">
        <v>0</v>
      </c>
      <c r="M1591">
        <v>0</v>
      </c>
    </row>
    <row r="1592" spans="1:13">
      <c r="A1592" s="28">
        <v>7815</v>
      </c>
      <c r="B1592" t="s">
        <v>1733</v>
      </c>
      <c r="C1592">
        <v>6610</v>
      </c>
      <c r="D1592">
        <v>-20</v>
      </c>
      <c r="E1592">
        <v>-0.3</v>
      </c>
      <c r="F1592" t="s">
        <v>397</v>
      </c>
      <c r="G1592" t="s">
        <v>397</v>
      </c>
      <c r="H1592" t="s">
        <v>397</v>
      </c>
      <c r="I1592" t="s">
        <v>397</v>
      </c>
      <c r="J1592" t="s">
        <v>397</v>
      </c>
      <c r="K1592" t="s">
        <v>397</v>
      </c>
      <c r="L1592">
        <v>0</v>
      </c>
      <c r="M1592">
        <v>0</v>
      </c>
    </row>
    <row r="1593" spans="1:13">
      <c r="A1593" s="28">
        <v>27050</v>
      </c>
      <c r="B1593" t="s">
        <v>1734</v>
      </c>
      <c r="C1593">
        <v>2650</v>
      </c>
      <c r="D1593">
        <v>15</v>
      </c>
      <c r="E1593">
        <v>0.56999999999999995</v>
      </c>
      <c r="F1593">
        <v>49</v>
      </c>
      <c r="G1593">
        <v>54.08</v>
      </c>
      <c r="H1593" t="s">
        <v>397</v>
      </c>
      <c r="I1593" t="s">
        <v>397</v>
      </c>
      <c r="J1593">
        <v>2725</v>
      </c>
      <c r="K1593">
        <v>0.97</v>
      </c>
      <c r="L1593">
        <v>0</v>
      </c>
      <c r="M1593">
        <v>0</v>
      </c>
    </row>
    <row r="1594" spans="1:13">
      <c r="A1594" s="28">
        <v>104540</v>
      </c>
      <c r="B1594" t="s">
        <v>1735</v>
      </c>
      <c r="C1594">
        <v>10900</v>
      </c>
      <c r="D1594">
        <v>-120</v>
      </c>
      <c r="E1594">
        <v>-1.0900000000000001</v>
      </c>
      <c r="F1594">
        <v>146</v>
      </c>
      <c r="G1594">
        <v>74.66</v>
      </c>
      <c r="H1594" t="s">
        <v>397</v>
      </c>
      <c r="I1594" t="s">
        <v>397</v>
      </c>
      <c r="J1594">
        <v>5324</v>
      </c>
      <c r="K1594">
        <v>2.0499999999999998</v>
      </c>
      <c r="L1594">
        <v>0</v>
      </c>
      <c r="M1594">
        <v>0</v>
      </c>
    </row>
    <row r="1595" spans="1:13">
      <c r="A1595" s="28">
        <v>80530</v>
      </c>
      <c r="B1595" t="s">
        <v>1736</v>
      </c>
      <c r="C1595">
        <v>2330</v>
      </c>
      <c r="D1595">
        <v>-125</v>
      </c>
      <c r="E1595">
        <v>-5.09</v>
      </c>
      <c r="F1595" t="s">
        <v>397</v>
      </c>
      <c r="G1595" t="s">
        <v>397</v>
      </c>
      <c r="H1595" t="s">
        <v>397</v>
      </c>
      <c r="I1595" t="s">
        <v>397</v>
      </c>
      <c r="J1595">
        <v>844</v>
      </c>
      <c r="K1595">
        <v>2.76</v>
      </c>
      <c r="L1595">
        <v>0</v>
      </c>
      <c r="M1595">
        <v>0</v>
      </c>
    </row>
    <row r="1596" spans="1:13">
      <c r="A1596" s="28">
        <v>47770</v>
      </c>
      <c r="B1596" t="s">
        <v>1737</v>
      </c>
      <c r="C1596">
        <v>1659</v>
      </c>
      <c r="D1596">
        <v>21</v>
      </c>
      <c r="E1596">
        <v>1.28</v>
      </c>
      <c r="F1596">
        <v>201</v>
      </c>
      <c r="G1596">
        <v>8.25</v>
      </c>
      <c r="H1596" t="s">
        <v>397</v>
      </c>
      <c r="I1596" t="s">
        <v>397</v>
      </c>
      <c r="J1596">
        <v>1585</v>
      </c>
      <c r="K1596">
        <v>1.05</v>
      </c>
      <c r="L1596">
        <v>0</v>
      </c>
      <c r="M1596">
        <v>0</v>
      </c>
    </row>
    <row r="1597" spans="1:13">
      <c r="A1597" s="28">
        <v>46070</v>
      </c>
      <c r="B1597" t="s">
        <v>1738</v>
      </c>
      <c r="C1597">
        <v>244</v>
      </c>
      <c r="D1597">
        <v>1</v>
      </c>
      <c r="E1597">
        <v>0.41</v>
      </c>
      <c r="F1597" t="s">
        <v>397</v>
      </c>
      <c r="G1597" t="s">
        <v>397</v>
      </c>
      <c r="H1597" t="s">
        <v>397</v>
      </c>
      <c r="I1597" t="s">
        <v>397</v>
      </c>
      <c r="J1597">
        <v>302</v>
      </c>
      <c r="K1597">
        <v>0.81</v>
      </c>
      <c r="L1597">
        <v>0</v>
      </c>
      <c r="M1597">
        <v>0</v>
      </c>
    </row>
    <row r="1598" spans="1:13">
      <c r="A1598" s="28">
        <v>391710</v>
      </c>
      <c r="B1598" t="s">
        <v>1739</v>
      </c>
      <c r="C1598">
        <v>3185</v>
      </c>
      <c r="D1598">
        <v>-35</v>
      </c>
      <c r="E1598">
        <v>-1.0900000000000001</v>
      </c>
      <c r="F1598" t="s">
        <v>397</v>
      </c>
      <c r="G1598" t="s">
        <v>397</v>
      </c>
      <c r="H1598" t="s">
        <v>397</v>
      </c>
      <c r="I1598" t="s">
        <v>397</v>
      </c>
      <c r="J1598">
        <v>556</v>
      </c>
      <c r="K1598">
        <v>5.73</v>
      </c>
      <c r="L1598">
        <v>0</v>
      </c>
      <c r="M1598">
        <v>0</v>
      </c>
    </row>
    <row r="1599" spans="1:13">
      <c r="A1599" s="28">
        <v>52400</v>
      </c>
      <c r="B1599" t="s">
        <v>1740</v>
      </c>
      <c r="C1599">
        <v>16910</v>
      </c>
      <c r="D1599">
        <v>-340</v>
      </c>
      <c r="E1599">
        <v>-1.97</v>
      </c>
      <c r="F1599">
        <v>2495</v>
      </c>
      <c r="G1599">
        <v>6.78</v>
      </c>
      <c r="H1599" t="s">
        <v>397</v>
      </c>
      <c r="I1599" t="s">
        <v>397</v>
      </c>
      <c r="J1599">
        <v>10912</v>
      </c>
      <c r="K1599">
        <v>1.55</v>
      </c>
      <c r="L1599">
        <v>0</v>
      </c>
      <c r="M1599">
        <v>0</v>
      </c>
    </row>
    <row r="1600" spans="1:13">
      <c r="A1600" s="28">
        <v>225430</v>
      </c>
      <c r="B1600" t="s">
        <v>1741</v>
      </c>
      <c r="C1600">
        <v>903</v>
      </c>
      <c r="D1600">
        <v>4</v>
      </c>
      <c r="E1600">
        <v>0.44</v>
      </c>
      <c r="F1600" t="s">
        <v>397</v>
      </c>
      <c r="G1600" t="s">
        <v>397</v>
      </c>
      <c r="H1600" t="s">
        <v>397</v>
      </c>
      <c r="I1600" t="s">
        <v>397</v>
      </c>
      <c r="J1600">
        <v>1303</v>
      </c>
      <c r="K1600">
        <v>0.69</v>
      </c>
      <c r="L1600">
        <v>0</v>
      </c>
      <c r="M1600">
        <v>0</v>
      </c>
    </row>
    <row r="1601" spans="1:13">
      <c r="A1601" s="28">
        <v>220260</v>
      </c>
      <c r="B1601" t="s">
        <v>1742</v>
      </c>
      <c r="C1601">
        <v>8180</v>
      </c>
      <c r="D1601">
        <v>-130</v>
      </c>
      <c r="E1601">
        <v>-1.56</v>
      </c>
      <c r="F1601">
        <v>144</v>
      </c>
      <c r="G1601">
        <v>56.81</v>
      </c>
      <c r="H1601" t="s">
        <v>397</v>
      </c>
      <c r="I1601" t="s">
        <v>397</v>
      </c>
      <c r="J1601">
        <v>2220</v>
      </c>
      <c r="K1601">
        <v>3.68</v>
      </c>
      <c r="L1601">
        <v>0</v>
      </c>
      <c r="M1601">
        <v>0</v>
      </c>
    </row>
    <row r="1602" spans="1:13">
      <c r="A1602" s="28">
        <v>274090</v>
      </c>
      <c r="B1602" t="s">
        <v>1743</v>
      </c>
      <c r="C1602">
        <v>11490</v>
      </c>
      <c r="D1602">
        <v>-230</v>
      </c>
      <c r="E1602">
        <v>-1.96</v>
      </c>
      <c r="F1602">
        <v>269</v>
      </c>
      <c r="G1602">
        <v>42.71</v>
      </c>
      <c r="H1602" t="s">
        <v>397</v>
      </c>
      <c r="I1602" t="s">
        <v>397</v>
      </c>
      <c r="J1602">
        <v>3115</v>
      </c>
      <c r="K1602">
        <v>3.69</v>
      </c>
      <c r="L1602">
        <v>0</v>
      </c>
      <c r="M1602">
        <v>0</v>
      </c>
    </row>
    <row r="1603" spans="1:13">
      <c r="A1603" s="28">
        <v>258610</v>
      </c>
      <c r="B1603" t="s">
        <v>1744</v>
      </c>
      <c r="C1603">
        <v>3200</v>
      </c>
      <c r="D1603">
        <v>-120</v>
      </c>
      <c r="E1603">
        <v>-3.61</v>
      </c>
      <c r="F1603" t="s">
        <v>397</v>
      </c>
      <c r="G1603" t="s">
        <v>397</v>
      </c>
      <c r="H1603" t="s">
        <v>397</v>
      </c>
      <c r="I1603" t="s">
        <v>397</v>
      </c>
      <c r="J1603">
        <v>2517</v>
      </c>
      <c r="K1603">
        <v>1.27</v>
      </c>
      <c r="L1603">
        <v>0</v>
      </c>
      <c r="M1603">
        <v>0</v>
      </c>
    </row>
    <row r="1604" spans="1:13">
      <c r="A1604" s="28">
        <v>54410</v>
      </c>
      <c r="B1604" t="s">
        <v>1745</v>
      </c>
      <c r="C1604">
        <v>4955</v>
      </c>
      <c r="D1604">
        <v>90</v>
      </c>
      <c r="E1604">
        <v>1.85</v>
      </c>
      <c r="F1604">
        <v>399</v>
      </c>
      <c r="G1604">
        <v>12.42</v>
      </c>
      <c r="H1604" t="s">
        <v>397</v>
      </c>
      <c r="I1604" t="s">
        <v>397</v>
      </c>
      <c r="J1604">
        <v>7906</v>
      </c>
      <c r="K1604">
        <v>0.63</v>
      </c>
      <c r="L1604">
        <v>0</v>
      </c>
      <c r="M1604">
        <v>0</v>
      </c>
    </row>
    <row r="1605" spans="1:13">
      <c r="A1605" s="28">
        <v>42040</v>
      </c>
      <c r="B1605" t="s">
        <v>1746</v>
      </c>
      <c r="C1605">
        <v>435</v>
      </c>
      <c r="D1605">
        <v>4</v>
      </c>
      <c r="E1605">
        <v>0.93</v>
      </c>
      <c r="F1605" t="s">
        <v>397</v>
      </c>
      <c r="G1605" t="s">
        <v>397</v>
      </c>
      <c r="H1605" t="s">
        <v>397</v>
      </c>
      <c r="I1605" t="s">
        <v>397</v>
      </c>
      <c r="J1605">
        <v>613</v>
      </c>
      <c r="K1605">
        <v>0.71</v>
      </c>
      <c r="L1605">
        <v>0</v>
      </c>
      <c r="M1605">
        <v>0</v>
      </c>
    </row>
    <row r="1606" spans="1:13">
      <c r="A1606" s="28">
        <v>256940</v>
      </c>
      <c r="B1606" t="s">
        <v>1747</v>
      </c>
      <c r="C1606">
        <v>6710</v>
      </c>
      <c r="D1606">
        <v>250</v>
      </c>
      <c r="E1606">
        <v>3.87</v>
      </c>
      <c r="F1606" t="s">
        <v>397</v>
      </c>
      <c r="G1606" t="s">
        <v>397</v>
      </c>
      <c r="H1606" t="s">
        <v>397</v>
      </c>
      <c r="I1606" t="s">
        <v>397</v>
      </c>
      <c r="J1606">
        <v>2831</v>
      </c>
      <c r="K1606">
        <v>2.37</v>
      </c>
      <c r="L1606">
        <v>0</v>
      </c>
      <c r="M1606">
        <v>0</v>
      </c>
    </row>
    <row r="1607" spans="1:13">
      <c r="A1607" s="28">
        <v>36030</v>
      </c>
      <c r="B1607" t="s">
        <v>1748</v>
      </c>
      <c r="C1607">
        <v>5590</v>
      </c>
      <c r="D1607">
        <v>-10</v>
      </c>
      <c r="E1607">
        <v>-0.18</v>
      </c>
      <c r="F1607">
        <v>248</v>
      </c>
      <c r="G1607">
        <v>22.54</v>
      </c>
      <c r="H1607" t="s">
        <v>397</v>
      </c>
      <c r="I1607" t="s">
        <v>397</v>
      </c>
      <c r="J1607">
        <v>4715</v>
      </c>
      <c r="K1607">
        <v>1.19</v>
      </c>
      <c r="L1607">
        <v>0</v>
      </c>
      <c r="M1607">
        <v>0</v>
      </c>
    </row>
    <row r="1608" spans="1:13">
      <c r="A1608" s="28">
        <v>68100</v>
      </c>
      <c r="B1608" t="s">
        <v>1749</v>
      </c>
      <c r="C1608">
        <v>9030</v>
      </c>
      <c r="D1608">
        <v>-140</v>
      </c>
      <c r="E1608">
        <v>-1.53</v>
      </c>
      <c r="F1608">
        <v>79</v>
      </c>
      <c r="G1608">
        <v>114.3</v>
      </c>
      <c r="H1608" t="s">
        <v>397</v>
      </c>
      <c r="I1608" t="s">
        <v>397</v>
      </c>
      <c r="J1608">
        <v>1197</v>
      </c>
      <c r="K1608">
        <v>7.54</v>
      </c>
      <c r="L1608">
        <v>0</v>
      </c>
      <c r="M1608">
        <v>0</v>
      </c>
    </row>
    <row r="1609" spans="1:13">
      <c r="A1609" s="28">
        <v>6380</v>
      </c>
      <c r="B1609" t="s">
        <v>1750</v>
      </c>
      <c r="C1609">
        <v>732</v>
      </c>
      <c r="D1609">
        <v>0</v>
      </c>
      <c r="E1609">
        <v>0</v>
      </c>
      <c r="F1609" t="s">
        <v>397</v>
      </c>
      <c r="G1609" t="s">
        <v>397</v>
      </c>
      <c r="H1609" t="s">
        <v>397</v>
      </c>
      <c r="I1609" t="s">
        <v>397</v>
      </c>
      <c r="J1609">
        <v>665</v>
      </c>
      <c r="K1609">
        <v>1.1000000000000001</v>
      </c>
      <c r="L1609">
        <v>0</v>
      </c>
      <c r="M1609">
        <v>0</v>
      </c>
    </row>
    <row r="1610" spans="1:13">
      <c r="A1610" s="28">
        <v>377300</v>
      </c>
      <c r="B1610" t="s">
        <v>1751</v>
      </c>
      <c r="C1610">
        <v>39950</v>
      </c>
      <c r="D1610">
        <v>-1500</v>
      </c>
      <c r="E1610">
        <v>-3.62</v>
      </c>
      <c r="F1610">
        <v>407</v>
      </c>
      <c r="G1610">
        <v>98.16</v>
      </c>
      <c r="H1610">
        <v>188</v>
      </c>
      <c r="I1610">
        <v>212.05</v>
      </c>
      <c r="J1610">
        <v>13583</v>
      </c>
      <c r="K1610">
        <v>2.94</v>
      </c>
      <c r="L1610">
        <v>0</v>
      </c>
      <c r="M1610">
        <v>0</v>
      </c>
    </row>
    <row r="1611" spans="1:13">
      <c r="A1611" s="28">
        <v>440110</v>
      </c>
      <c r="B1611" t="s">
        <v>1752</v>
      </c>
      <c r="C1611">
        <v>19390</v>
      </c>
      <c r="D1611">
        <v>-190</v>
      </c>
      <c r="E1611">
        <v>-0.97</v>
      </c>
      <c r="F1611" t="s">
        <v>397</v>
      </c>
      <c r="G1611" t="s">
        <v>397</v>
      </c>
      <c r="H1611" t="s">
        <v>397</v>
      </c>
      <c r="I1611" t="s">
        <v>397</v>
      </c>
      <c r="J1611">
        <v>996</v>
      </c>
      <c r="K1611">
        <v>19.47</v>
      </c>
      <c r="L1611">
        <v>0</v>
      </c>
      <c r="M1611">
        <v>0</v>
      </c>
    </row>
    <row r="1612" spans="1:13">
      <c r="A1612" s="28">
        <v>358570</v>
      </c>
      <c r="B1612" t="s">
        <v>1753</v>
      </c>
      <c r="C1612">
        <v>12160</v>
      </c>
      <c r="D1612">
        <v>-540</v>
      </c>
      <c r="E1612">
        <v>-4.25</v>
      </c>
      <c r="F1612" t="s">
        <v>397</v>
      </c>
      <c r="G1612" t="s">
        <v>397</v>
      </c>
      <c r="H1612" t="s">
        <v>397</v>
      </c>
      <c r="I1612" t="s">
        <v>397</v>
      </c>
      <c r="J1612">
        <v>2392</v>
      </c>
      <c r="K1612">
        <v>5.08</v>
      </c>
      <c r="L1612">
        <v>0</v>
      </c>
      <c r="M1612">
        <v>0</v>
      </c>
    </row>
    <row r="1613" spans="1:13">
      <c r="A1613" s="28">
        <v>219750</v>
      </c>
      <c r="B1613" t="s">
        <v>1754</v>
      </c>
      <c r="C1613">
        <v>2850</v>
      </c>
      <c r="D1613">
        <v>0</v>
      </c>
      <c r="E1613">
        <v>0</v>
      </c>
      <c r="F1613" t="s">
        <v>397</v>
      </c>
      <c r="G1613" t="s">
        <v>397</v>
      </c>
      <c r="H1613" t="s">
        <v>397</v>
      </c>
      <c r="I1613" t="s">
        <v>397</v>
      </c>
      <c r="J1613">
        <v>478</v>
      </c>
      <c r="K1613">
        <v>5.96</v>
      </c>
      <c r="L1613">
        <v>0</v>
      </c>
      <c r="M1613">
        <v>0</v>
      </c>
    </row>
    <row r="1614" spans="1:13">
      <c r="A1614" s="28">
        <v>388050</v>
      </c>
      <c r="B1614" t="s">
        <v>1755</v>
      </c>
      <c r="C1614">
        <v>9830</v>
      </c>
      <c r="D1614">
        <v>-10</v>
      </c>
      <c r="E1614">
        <v>-0.1</v>
      </c>
      <c r="F1614">
        <v>42</v>
      </c>
      <c r="G1614">
        <v>234.05</v>
      </c>
      <c r="H1614" t="s">
        <v>397</v>
      </c>
      <c r="I1614" t="s">
        <v>397</v>
      </c>
      <c r="J1614">
        <v>1693</v>
      </c>
      <c r="K1614">
        <v>5.81</v>
      </c>
      <c r="L1614">
        <v>0</v>
      </c>
      <c r="M1614">
        <v>0</v>
      </c>
    </row>
    <row r="1615" spans="1:13">
      <c r="A1615" s="28">
        <v>270520</v>
      </c>
      <c r="B1615" t="s">
        <v>1756</v>
      </c>
      <c r="C1615">
        <v>2920</v>
      </c>
      <c r="D1615">
        <v>-135</v>
      </c>
      <c r="E1615">
        <v>-4.42</v>
      </c>
      <c r="F1615" t="s">
        <v>397</v>
      </c>
      <c r="G1615" t="s">
        <v>397</v>
      </c>
      <c r="H1615" t="s">
        <v>397</v>
      </c>
      <c r="I1615" t="s">
        <v>397</v>
      </c>
      <c r="J1615">
        <v>384</v>
      </c>
      <c r="K1615">
        <v>7.6</v>
      </c>
      <c r="L1615">
        <v>0</v>
      </c>
      <c r="M1615">
        <v>0</v>
      </c>
    </row>
    <row r="1616" spans="1:13">
      <c r="A1616" s="28">
        <v>71320</v>
      </c>
      <c r="B1616" t="s">
        <v>1757</v>
      </c>
      <c r="C1616">
        <v>39850</v>
      </c>
      <c r="D1616">
        <v>-650</v>
      </c>
      <c r="E1616">
        <v>-1.6</v>
      </c>
      <c r="F1616" t="s">
        <v>397</v>
      </c>
      <c r="G1616" t="s">
        <v>397</v>
      </c>
      <c r="H1616">
        <v>17489</v>
      </c>
      <c r="I1616">
        <v>2.2799999999999998</v>
      </c>
      <c r="J1616">
        <v>143557</v>
      </c>
      <c r="K1616">
        <v>0.28000000000000003</v>
      </c>
      <c r="L1616">
        <v>0</v>
      </c>
      <c r="M1616">
        <v>0</v>
      </c>
    </row>
    <row r="1617" spans="1:13">
      <c r="A1617" s="28">
        <v>204840</v>
      </c>
      <c r="B1617" t="s">
        <v>1758</v>
      </c>
      <c r="C1617">
        <v>1308</v>
      </c>
      <c r="D1617">
        <v>-23</v>
      </c>
      <c r="E1617">
        <v>-1.73</v>
      </c>
      <c r="F1617" t="s">
        <v>397</v>
      </c>
      <c r="G1617" t="s">
        <v>397</v>
      </c>
      <c r="H1617" t="s">
        <v>397</v>
      </c>
      <c r="I1617" t="s">
        <v>397</v>
      </c>
      <c r="J1617">
        <v>259</v>
      </c>
      <c r="K1617">
        <v>5.05</v>
      </c>
      <c r="L1617">
        <v>0</v>
      </c>
      <c r="M1617">
        <v>0</v>
      </c>
    </row>
    <row r="1618" spans="1:13">
      <c r="A1618" s="28">
        <v>65060</v>
      </c>
      <c r="B1618" t="s">
        <v>1759</v>
      </c>
      <c r="C1618">
        <v>432</v>
      </c>
      <c r="D1618">
        <v>8</v>
      </c>
      <c r="E1618">
        <v>1.89</v>
      </c>
      <c r="F1618" t="s">
        <v>397</v>
      </c>
      <c r="G1618" t="s">
        <v>397</v>
      </c>
      <c r="H1618" t="s">
        <v>397</v>
      </c>
      <c r="I1618" t="s">
        <v>397</v>
      </c>
      <c r="J1618">
        <v>475</v>
      </c>
      <c r="K1618">
        <v>0.91</v>
      </c>
      <c r="L1618">
        <v>0</v>
      </c>
      <c r="M1618">
        <v>0</v>
      </c>
    </row>
    <row r="1619" spans="1:13">
      <c r="A1619" s="28">
        <v>51160</v>
      </c>
      <c r="B1619" t="s">
        <v>1760</v>
      </c>
      <c r="C1619">
        <v>7820</v>
      </c>
      <c r="D1619">
        <v>-90</v>
      </c>
      <c r="E1619">
        <v>-1.1399999999999999</v>
      </c>
      <c r="F1619" t="s">
        <v>397</v>
      </c>
      <c r="G1619" t="s">
        <v>397</v>
      </c>
      <c r="H1619" t="s">
        <v>397</v>
      </c>
      <c r="I1619" t="s">
        <v>397</v>
      </c>
      <c r="J1619">
        <v>8000</v>
      </c>
      <c r="K1619">
        <v>0.98</v>
      </c>
      <c r="L1619">
        <v>0</v>
      </c>
      <c r="M1619">
        <v>0</v>
      </c>
    </row>
    <row r="1620" spans="1:13">
      <c r="A1620" s="28">
        <v>382800</v>
      </c>
      <c r="B1620" t="s">
        <v>1761</v>
      </c>
      <c r="C1620">
        <v>5840</v>
      </c>
      <c r="D1620">
        <v>90</v>
      </c>
      <c r="E1620">
        <v>1.57</v>
      </c>
      <c r="F1620">
        <v>516</v>
      </c>
      <c r="G1620">
        <v>11.32</v>
      </c>
      <c r="H1620" t="s">
        <v>397</v>
      </c>
      <c r="I1620" t="s">
        <v>397</v>
      </c>
      <c r="J1620">
        <v>2430</v>
      </c>
      <c r="K1620">
        <v>2.4</v>
      </c>
      <c r="L1620">
        <v>0</v>
      </c>
      <c r="M1620">
        <v>0</v>
      </c>
    </row>
    <row r="1621" spans="1:13">
      <c r="A1621" s="28">
        <v>208350</v>
      </c>
      <c r="B1621" t="s">
        <v>1762</v>
      </c>
      <c r="C1621">
        <v>3805</v>
      </c>
      <c r="D1621">
        <v>0</v>
      </c>
      <c r="E1621">
        <v>0</v>
      </c>
      <c r="F1621">
        <v>170</v>
      </c>
      <c r="G1621">
        <v>22.38</v>
      </c>
      <c r="H1621" t="s">
        <v>397</v>
      </c>
      <c r="I1621" t="s">
        <v>397</v>
      </c>
      <c r="J1621">
        <v>4779</v>
      </c>
      <c r="K1621">
        <v>0.8</v>
      </c>
      <c r="L1621">
        <v>0</v>
      </c>
      <c r="M1621">
        <v>0</v>
      </c>
    </row>
    <row r="1622" spans="1:13">
      <c r="A1622" s="28">
        <v>86060</v>
      </c>
      <c r="B1622" t="s">
        <v>1763</v>
      </c>
      <c r="C1622">
        <v>4120</v>
      </c>
      <c r="D1622">
        <v>20</v>
      </c>
      <c r="E1622">
        <v>0.49</v>
      </c>
      <c r="F1622">
        <v>177</v>
      </c>
      <c r="G1622">
        <v>23.28</v>
      </c>
      <c r="H1622" t="s">
        <v>397</v>
      </c>
      <c r="I1622" t="s">
        <v>397</v>
      </c>
      <c r="J1622">
        <v>5310</v>
      </c>
      <c r="K1622">
        <v>0.78</v>
      </c>
      <c r="L1622">
        <v>0</v>
      </c>
      <c r="M1622">
        <v>0</v>
      </c>
    </row>
    <row r="1623" spans="1:13">
      <c r="A1623" s="28">
        <v>36180</v>
      </c>
      <c r="B1623" t="s">
        <v>1764</v>
      </c>
      <c r="C1623">
        <v>552</v>
      </c>
      <c r="D1623">
        <v>-18</v>
      </c>
      <c r="E1623">
        <v>-3.16</v>
      </c>
      <c r="F1623" t="s">
        <v>397</v>
      </c>
      <c r="G1623" t="s">
        <v>397</v>
      </c>
      <c r="H1623" t="s">
        <v>397</v>
      </c>
      <c r="I1623" t="s">
        <v>397</v>
      </c>
      <c r="J1623">
        <v>630</v>
      </c>
      <c r="K1623">
        <v>0.88</v>
      </c>
      <c r="L1623">
        <v>0</v>
      </c>
      <c r="M1623">
        <v>0</v>
      </c>
    </row>
    <row r="1624" spans="1:13">
      <c r="A1624" s="28">
        <v>303030</v>
      </c>
      <c r="B1624" t="s">
        <v>1765</v>
      </c>
      <c r="C1624">
        <v>2170</v>
      </c>
      <c r="D1624">
        <v>-60</v>
      </c>
      <c r="E1624">
        <v>-2.69</v>
      </c>
      <c r="F1624" t="s">
        <v>397</v>
      </c>
      <c r="G1624" t="s">
        <v>397</v>
      </c>
      <c r="H1624" t="s">
        <v>397</v>
      </c>
      <c r="I1624" t="s">
        <v>397</v>
      </c>
      <c r="J1624">
        <v>612</v>
      </c>
      <c r="K1624">
        <v>3.55</v>
      </c>
      <c r="L1624">
        <v>0</v>
      </c>
      <c r="M1624">
        <v>0</v>
      </c>
    </row>
    <row r="1625" spans="1:13">
      <c r="A1625" s="28">
        <v>43610</v>
      </c>
      <c r="B1625" t="s">
        <v>1766</v>
      </c>
      <c r="C1625">
        <v>3255</v>
      </c>
      <c r="D1625">
        <v>-50</v>
      </c>
      <c r="E1625">
        <v>-1.51</v>
      </c>
      <c r="F1625">
        <v>303</v>
      </c>
      <c r="G1625">
        <v>10.74</v>
      </c>
      <c r="H1625" t="s">
        <v>397</v>
      </c>
      <c r="I1625" t="s">
        <v>397</v>
      </c>
      <c r="J1625">
        <v>2714</v>
      </c>
      <c r="K1625">
        <v>1.2</v>
      </c>
      <c r="L1625">
        <v>0</v>
      </c>
      <c r="M1625">
        <v>0</v>
      </c>
    </row>
    <row r="1626" spans="1:13">
      <c r="A1626" s="28">
        <v>389030</v>
      </c>
      <c r="B1626" t="s">
        <v>1767</v>
      </c>
      <c r="C1626">
        <v>2000</v>
      </c>
      <c r="D1626">
        <v>-35</v>
      </c>
      <c r="E1626">
        <v>-1.72</v>
      </c>
      <c r="F1626" t="s">
        <v>397</v>
      </c>
      <c r="G1626" t="s">
        <v>397</v>
      </c>
      <c r="H1626" t="s">
        <v>397</v>
      </c>
      <c r="I1626" t="s">
        <v>397</v>
      </c>
      <c r="J1626">
        <v>1327</v>
      </c>
      <c r="K1626">
        <v>1.51</v>
      </c>
      <c r="L1626">
        <v>0</v>
      </c>
      <c r="M1626">
        <v>0</v>
      </c>
    </row>
    <row r="1627" spans="1:13">
      <c r="A1627" s="28">
        <v>314130</v>
      </c>
      <c r="B1627" t="s">
        <v>1768</v>
      </c>
      <c r="C1627">
        <v>9790</v>
      </c>
      <c r="D1627">
        <v>-100</v>
      </c>
      <c r="E1627">
        <v>-1.01</v>
      </c>
      <c r="F1627" t="s">
        <v>397</v>
      </c>
      <c r="G1627" t="s">
        <v>397</v>
      </c>
      <c r="H1627" t="s">
        <v>397</v>
      </c>
      <c r="I1627" t="s">
        <v>397</v>
      </c>
      <c r="J1627">
        <v>6905</v>
      </c>
      <c r="K1627">
        <v>1.42</v>
      </c>
      <c r="L1627">
        <v>0</v>
      </c>
      <c r="M1627">
        <v>0</v>
      </c>
    </row>
    <row r="1628" spans="1:13">
      <c r="A1628" s="28">
        <v>228760</v>
      </c>
      <c r="B1628" t="s">
        <v>1769</v>
      </c>
      <c r="C1628">
        <v>21600</v>
      </c>
      <c r="D1628">
        <v>-1150</v>
      </c>
      <c r="E1628">
        <v>-5.05</v>
      </c>
      <c r="F1628" t="s">
        <v>397</v>
      </c>
      <c r="G1628" t="s">
        <v>397</v>
      </c>
      <c r="H1628" t="s">
        <v>397</v>
      </c>
      <c r="I1628" t="s">
        <v>397</v>
      </c>
      <c r="J1628">
        <v>5185</v>
      </c>
      <c r="K1628">
        <v>4.17</v>
      </c>
      <c r="L1628">
        <v>0</v>
      </c>
      <c r="M1628">
        <v>0</v>
      </c>
    </row>
    <row r="1629" spans="1:13">
      <c r="A1629" s="28">
        <v>51980</v>
      </c>
      <c r="B1629" t="s">
        <v>1770</v>
      </c>
      <c r="C1629">
        <v>4205</v>
      </c>
      <c r="D1629">
        <v>-225</v>
      </c>
      <c r="E1629">
        <v>-5.08</v>
      </c>
      <c r="F1629" t="s">
        <v>397</v>
      </c>
      <c r="G1629" t="s">
        <v>397</v>
      </c>
      <c r="H1629" t="s">
        <v>397</v>
      </c>
      <c r="I1629" t="s">
        <v>397</v>
      </c>
      <c r="J1629">
        <v>579</v>
      </c>
      <c r="K1629">
        <v>7.26</v>
      </c>
      <c r="L1629">
        <v>0</v>
      </c>
      <c r="M1629">
        <v>0</v>
      </c>
    </row>
    <row r="1630" spans="1:13">
      <c r="A1630" s="28">
        <v>239340</v>
      </c>
      <c r="B1630" t="s">
        <v>1771</v>
      </c>
      <c r="C1630">
        <v>2945</v>
      </c>
      <c r="D1630">
        <v>-35</v>
      </c>
      <c r="E1630">
        <v>-1.17</v>
      </c>
      <c r="F1630" t="s">
        <v>397</v>
      </c>
      <c r="G1630" t="s">
        <v>397</v>
      </c>
      <c r="H1630" t="s">
        <v>397</v>
      </c>
      <c r="I1630" t="s">
        <v>397</v>
      </c>
      <c r="J1630">
        <v>1158</v>
      </c>
      <c r="K1630">
        <v>2.54</v>
      </c>
      <c r="L1630">
        <v>0</v>
      </c>
      <c r="M1630">
        <v>0</v>
      </c>
    </row>
    <row r="1631" spans="1:13">
      <c r="A1631" s="28">
        <v>109820</v>
      </c>
      <c r="B1631" t="s">
        <v>1772</v>
      </c>
      <c r="C1631">
        <v>2460</v>
      </c>
      <c r="D1631">
        <v>-15</v>
      </c>
      <c r="E1631">
        <v>-0.61</v>
      </c>
      <c r="F1631" t="s">
        <v>397</v>
      </c>
      <c r="G1631" t="s">
        <v>397</v>
      </c>
      <c r="H1631" t="s">
        <v>397</v>
      </c>
      <c r="I1631" t="s">
        <v>397</v>
      </c>
      <c r="J1631">
        <v>1211</v>
      </c>
      <c r="K1631">
        <v>2.0299999999999998</v>
      </c>
      <c r="L1631">
        <v>0</v>
      </c>
      <c r="M1631">
        <v>0</v>
      </c>
    </row>
    <row r="1632" spans="1:13">
      <c r="A1632" s="28">
        <v>363250</v>
      </c>
      <c r="B1632" t="s">
        <v>1773</v>
      </c>
      <c r="C1632">
        <v>5760</v>
      </c>
      <c r="D1632">
        <v>-190</v>
      </c>
      <c r="E1632">
        <v>-3.19</v>
      </c>
      <c r="F1632" t="s">
        <v>397</v>
      </c>
      <c r="G1632" t="s">
        <v>397</v>
      </c>
      <c r="H1632" t="s">
        <v>397</v>
      </c>
      <c r="I1632" t="s">
        <v>397</v>
      </c>
      <c r="J1632">
        <v>5066</v>
      </c>
      <c r="K1632">
        <v>1.1399999999999999</v>
      </c>
      <c r="L1632">
        <v>0</v>
      </c>
      <c r="M1632">
        <v>0</v>
      </c>
    </row>
    <row r="1633" spans="1:13">
      <c r="A1633" s="28">
        <v>293490</v>
      </c>
      <c r="B1633" t="s">
        <v>1774</v>
      </c>
      <c r="C1633">
        <v>23150</v>
      </c>
      <c r="D1633">
        <v>-400</v>
      </c>
      <c r="E1633">
        <v>-1.7</v>
      </c>
      <c r="F1633" t="s">
        <v>397</v>
      </c>
      <c r="G1633" t="s">
        <v>397</v>
      </c>
      <c r="H1633">
        <v>965</v>
      </c>
      <c r="I1633">
        <v>23.98</v>
      </c>
      <c r="J1633">
        <v>20650</v>
      </c>
      <c r="K1633">
        <v>1.1200000000000001</v>
      </c>
      <c r="L1633">
        <v>0</v>
      </c>
      <c r="M1633">
        <v>0</v>
      </c>
    </row>
    <row r="1634" spans="1:13">
      <c r="A1634" s="28">
        <v>94850</v>
      </c>
      <c r="B1634" t="s">
        <v>1775</v>
      </c>
      <c r="C1634">
        <v>7050</v>
      </c>
      <c r="D1634">
        <v>-20</v>
      </c>
      <c r="E1634">
        <v>-0.28000000000000003</v>
      </c>
      <c r="F1634" t="s">
        <v>397</v>
      </c>
      <c r="G1634" t="s">
        <v>397</v>
      </c>
      <c r="H1634" t="s">
        <v>397</v>
      </c>
      <c r="I1634" t="s">
        <v>397</v>
      </c>
      <c r="J1634">
        <v>5830</v>
      </c>
      <c r="K1634">
        <v>1.21</v>
      </c>
      <c r="L1634">
        <v>0</v>
      </c>
      <c r="M1634">
        <v>0</v>
      </c>
    </row>
    <row r="1635" spans="1:13">
      <c r="A1635" s="28">
        <v>284620</v>
      </c>
      <c r="B1635" t="s">
        <v>1776</v>
      </c>
      <c r="C1635">
        <v>3775</v>
      </c>
      <c r="D1635">
        <v>-45</v>
      </c>
      <c r="E1635">
        <v>-1.18</v>
      </c>
      <c r="F1635" t="s">
        <v>397</v>
      </c>
      <c r="G1635" t="s">
        <v>397</v>
      </c>
      <c r="H1635" t="s">
        <v>397</v>
      </c>
      <c r="I1635" t="s">
        <v>397</v>
      </c>
      <c r="J1635">
        <v>935</v>
      </c>
      <c r="K1635">
        <v>4.04</v>
      </c>
      <c r="L1635">
        <v>0</v>
      </c>
      <c r="M1635">
        <v>0</v>
      </c>
    </row>
    <row r="1636" spans="1:13">
      <c r="A1636" s="28">
        <v>16790</v>
      </c>
      <c r="B1636" t="s">
        <v>1777</v>
      </c>
      <c r="C1636">
        <v>994</v>
      </c>
      <c r="D1636">
        <v>0</v>
      </c>
      <c r="E1636">
        <v>0</v>
      </c>
      <c r="F1636" t="s">
        <v>397</v>
      </c>
      <c r="G1636" t="s">
        <v>397</v>
      </c>
      <c r="H1636" t="s">
        <v>397</v>
      </c>
      <c r="I1636" t="s">
        <v>397</v>
      </c>
      <c r="J1636">
        <v>301</v>
      </c>
      <c r="K1636">
        <v>3.3</v>
      </c>
      <c r="L1636">
        <v>0</v>
      </c>
      <c r="M1636">
        <v>0</v>
      </c>
    </row>
    <row r="1637" spans="1:13">
      <c r="A1637" s="28">
        <v>47820</v>
      </c>
      <c r="B1637" t="s">
        <v>1778</v>
      </c>
      <c r="C1637">
        <v>5400</v>
      </c>
      <c r="D1637">
        <v>0</v>
      </c>
      <c r="E1637">
        <v>0</v>
      </c>
      <c r="F1637" t="s">
        <v>397</v>
      </c>
      <c r="G1637" t="s">
        <v>397</v>
      </c>
      <c r="H1637" t="s">
        <v>397</v>
      </c>
      <c r="I1637" t="s">
        <v>397</v>
      </c>
      <c r="J1637">
        <v>13331</v>
      </c>
      <c r="K1637">
        <v>0.41</v>
      </c>
      <c r="L1637">
        <v>0</v>
      </c>
      <c r="M1637">
        <v>0</v>
      </c>
    </row>
    <row r="1638" spans="1:13">
      <c r="A1638" s="28">
        <v>33250</v>
      </c>
      <c r="B1638" t="s">
        <v>1779</v>
      </c>
      <c r="C1638">
        <v>1450</v>
      </c>
      <c r="D1638">
        <v>-5</v>
      </c>
      <c r="E1638">
        <v>-0.34</v>
      </c>
      <c r="F1638" t="s">
        <v>397</v>
      </c>
      <c r="G1638" t="s">
        <v>397</v>
      </c>
      <c r="H1638" t="s">
        <v>397</v>
      </c>
      <c r="I1638" t="s">
        <v>397</v>
      </c>
      <c r="J1638">
        <v>967</v>
      </c>
      <c r="K1638">
        <v>1.5</v>
      </c>
      <c r="L1638">
        <v>0</v>
      </c>
      <c r="M1638">
        <v>0</v>
      </c>
    </row>
    <row r="1639" spans="1:13">
      <c r="A1639" s="28">
        <v>66360</v>
      </c>
      <c r="B1639" t="s">
        <v>1780</v>
      </c>
      <c r="C1639">
        <v>1127</v>
      </c>
      <c r="D1639">
        <v>-33</v>
      </c>
      <c r="E1639">
        <v>-2.84</v>
      </c>
      <c r="F1639">
        <v>185</v>
      </c>
      <c r="G1639">
        <v>6.09</v>
      </c>
      <c r="H1639" t="s">
        <v>397</v>
      </c>
      <c r="I1639" t="s">
        <v>397</v>
      </c>
      <c r="J1639">
        <v>1429</v>
      </c>
      <c r="K1639">
        <v>0.79</v>
      </c>
      <c r="L1639">
        <v>0</v>
      </c>
      <c r="M1639">
        <v>0</v>
      </c>
    </row>
    <row r="1640" spans="1:13">
      <c r="A1640" s="28">
        <v>12600</v>
      </c>
      <c r="B1640" t="s">
        <v>1781</v>
      </c>
      <c r="C1640">
        <v>2490</v>
      </c>
      <c r="D1640">
        <v>0</v>
      </c>
      <c r="E1640">
        <v>0</v>
      </c>
      <c r="F1640" t="s">
        <v>397</v>
      </c>
      <c r="G1640" t="s">
        <v>397</v>
      </c>
      <c r="H1640" t="s">
        <v>397</v>
      </c>
      <c r="I1640" t="s">
        <v>397</v>
      </c>
      <c r="J1640">
        <v>1111</v>
      </c>
      <c r="K1640">
        <v>2.2400000000000002</v>
      </c>
      <c r="L1640">
        <v>0</v>
      </c>
      <c r="M1640">
        <v>0</v>
      </c>
    </row>
    <row r="1641" spans="1:13">
      <c r="A1641" s="28">
        <v>362320</v>
      </c>
      <c r="B1641" t="s">
        <v>1782</v>
      </c>
      <c r="C1641">
        <v>7950</v>
      </c>
      <c r="D1641">
        <v>100</v>
      </c>
      <c r="E1641">
        <v>1.27</v>
      </c>
      <c r="F1641">
        <v>252</v>
      </c>
      <c r="G1641">
        <v>31.55</v>
      </c>
      <c r="H1641" t="s">
        <v>397</v>
      </c>
      <c r="I1641" t="s">
        <v>397</v>
      </c>
      <c r="J1641">
        <v>3143</v>
      </c>
      <c r="K1641">
        <v>2.5299999999999998</v>
      </c>
      <c r="L1641">
        <v>0</v>
      </c>
      <c r="M1641">
        <v>0</v>
      </c>
    </row>
    <row r="1642" spans="1:13">
      <c r="A1642" s="28">
        <v>650</v>
      </c>
      <c r="B1642" t="s">
        <v>1783</v>
      </c>
      <c r="C1642">
        <v>48450</v>
      </c>
      <c r="D1642">
        <v>-100</v>
      </c>
      <c r="E1642">
        <v>-0.21</v>
      </c>
      <c r="F1642" t="s">
        <v>397</v>
      </c>
      <c r="G1642" t="s">
        <v>397</v>
      </c>
      <c r="H1642" t="s">
        <v>397</v>
      </c>
      <c r="I1642" t="s">
        <v>397</v>
      </c>
      <c r="J1642">
        <v>18651</v>
      </c>
      <c r="K1642">
        <v>2.6</v>
      </c>
      <c r="L1642">
        <v>0</v>
      </c>
      <c r="M1642">
        <v>0</v>
      </c>
    </row>
    <row r="1643" spans="1:13">
      <c r="A1643" s="28">
        <v>9310</v>
      </c>
      <c r="B1643" t="s">
        <v>1784</v>
      </c>
      <c r="C1643">
        <v>518</v>
      </c>
      <c r="D1643">
        <v>-17</v>
      </c>
      <c r="E1643">
        <v>-3.18</v>
      </c>
      <c r="F1643" t="s">
        <v>397</v>
      </c>
      <c r="G1643" t="s">
        <v>397</v>
      </c>
      <c r="H1643" t="s">
        <v>397</v>
      </c>
      <c r="I1643" t="s">
        <v>397</v>
      </c>
      <c r="J1643">
        <v>1317</v>
      </c>
      <c r="K1643">
        <v>0.39</v>
      </c>
      <c r="L1643">
        <v>0</v>
      </c>
      <c r="M1643">
        <v>0</v>
      </c>
    </row>
    <row r="1644" spans="1:13">
      <c r="A1644" s="28">
        <v>51630</v>
      </c>
      <c r="B1644" t="s">
        <v>1785</v>
      </c>
      <c r="C1644">
        <v>3020</v>
      </c>
      <c r="D1644">
        <v>25</v>
      </c>
      <c r="E1644">
        <v>0.83</v>
      </c>
      <c r="F1644" t="s">
        <v>397</v>
      </c>
      <c r="G1644" t="s">
        <v>397</v>
      </c>
      <c r="H1644" t="s">
        <v>397</v>
      </c>
      <c r="I1644" t="s">
        <v>397</v>
      </c>
      <c r="J1644">
        <v>2199</v>
      </c>
      <c r="K1644">
        <v>1.37</v>
      </c>
      <c r="L1644">
        <v>0</v>
      </c>
      <c r="M1644">
        <v>0</v>
      </c>
    </row>
    <row r="1645" spans="1:13">
      <c r="A1645" s="28">
        <v>261780</v>
      </c>
      <c r="B1645" t="s">
        <v>1786</v>
      </c>
      <c r="C1645">
        <v>4770</v>
      </c>
      <c r="D1645">
        <v>-110</v>
      </c>
      <c r="E1645">
        <v>-2.25</v>
      </c>
      <c r="F1645" t="s">
        <v>397</v>
      </c>
      <c r="G1645" t="s">
        <v>397</v>
      </c>
      <c r="H1645" t="s">
        <v>397</v>
      </c>
      <c r="I1645" t="s">
        <v>397</v>
      </c>
      <c r="J1645">
        <v>1262</v>
      </c>
      <c r="K1645">
        <v>3.78</v>
      </c>
      <c r="L1645">
        <v>0</v>
      </c>
      <c r="M1645">
        <v>0</v>
      </c>
    </row>
    <row r="1646" spans="1:13">
      <c r="A1646" s="28">
        <v>85660</v>
      </c>
      <c r="B1646" t="s">
        <v>1787</v>
      </c>
      <c r="C1646">
        <v>17470</v>
      </c>
      <c r="D1646">
        <v>-930</v>
      </c>
      <c r="E1646">
        <v>-5.05</v>
      </c>
      <c r="F1646" t="s">
        <v>397</v>
      </c>
      <c r="G1646" t="s">
        <v>397</v>
      </c>
      <c r="H1646" t="s">
        <v>397</v>
      </c>
      <c r="I1646" t="s">
        <v>397</v>
      </c>
      <c r="J1646">
        <v>5185</v>
      </c>
      <c r="K1646">
        <v>3.37</v>
      </c>
      <c r="L1646">
        <v>0</v>
      </c>
      <c r="M1646">
        <v>0</v>
      </c>
    </row>
    <row r="1647" spans="1:13">
      <c r="A1647" s="28">
        <v>2785</v>
      </c>
      <c r="B1647" t="s">
        <v>1788</v>
      </c>
      <c r="C1647">
        <v>4175</v>
      </c>
      <c r="D1647">
        <v>-75</v>
      </c>
      <c r="E1647">
        <v>-1.76</v>
      </c>
      <c r="F1647" t="s">
        <v>397</v>
      </c>
      <c r="G1647" t="s">
        <v>397</v>
      </c>
      <c r="H1647" t="s">
        <v>397</v>
      </c>
      <c r="I1647" t="s">
        <v>397</v>
      </c>
      <c r="J1647" t="s">
        <v>397</v>
      </c>
      <c r="K1647" t="s">
        <v>397</v>
      </c>
      <c r="L1647">
        <v>0</v>
      </c>
      <c r="M1647">
        <v>0</v>
      </c>
    </row>
    <row r="1648" spans="1:13">
      <c r="A1648" s="28">
        <v>2787</v>
      </c>
      <c r="B1648" t="s">
        <v>1789</v>
      </c>
      <c r="C1648">
        <v>12430</v>
      </c>
      <c r="D1648">
        <v>0</v>
      </c>
      <c r="E1648">
        <v>0</v>
      </c>
      <c r="F1648" t="s">
        <v>397</v>
      </c>
      <c r="G1648" t="s">
        <v>397</v>
      </c>
      <c r="H1648" t="s">
        <v>397</v>
      </c>
      <c r="I1648" t="s">
        <v>397</v>
      </c>
      <c r="J1648" t="s">
        <v>397</v>
      </c>
      <c r="K1648" t="s">
        <v>397</v>
      </c>
      <c r="L1648">
        <v>0</v>
      </c>
      <c r="M1648">
        <v>0</v>
      </c>
    </row>
    <row r="1649" spans="1:13">
      <c r="A1649" s="28">
        <v>2780</v>
      </c>
      <c r="B1649" t="s">
        <v>1790</v>
      </c>
      <c r="C1649">
        <v>1004</v>
      </c>
      <c r="D1649">
        <v>-5</v>
      </c>
      <c r="E1649">
        <v>-0.5</v>
      </c>
      <c r="F1649">
        <v>341</v>
      </c>
      <c r="G1649">
        <v>2.94</v>
      </c>
      <c r="H1649" t="s">
        <v>397</v>
      </c>
      <c r="I1649" t="s">
        <v>397</v>
      </c>
      <c r="J1649">
        <v>1545</v>
      </c>
      <c r="K1649">
        <v>0.65</v>
      </c>
      <c r="L1649">
        <v>0</v>
      </c>
      <c r="M1649">
        <v>0</v>
      </c>
    </row>
    <row r="1650" spans="1:13">
      <c r="A1650" s="28">
        <v>11000</v>
      </c>
      <c r="B1650" t="s">
        <v>1791</v>
      </c>
      <c r="C1650">
        <v>2440</v>
      </c>
      <c r="D1650">
        <v>-75</v>
      </c>
      <c r="E1650">
        <v>-2.98</v>
      </c>
      <c r="F1650" t="s">
        <v>397</v>
      </c>
      <c r="G1650" t="s">
        <v>397</v>
      </c>
      <c r="H1650" t="s">
        <v>397</v>
      </c>
      <c r="I1650" t="s">
        <v>397</v>
      </c>
      <c r="J1650">
        <v>2340</v>
      </c>
      <c r="K1650">
        <v>1.04</v>
      </c>
      <c r="L1650">
        <v>0</v>
      </c>
      <c r="M1650">
        <v>0</v>
      </c>
    </row>
    <row r="1651" spans="1:13">
      <c r="A1651" s="28">
        <v>285800</v>
      </c>
      <c r="B1651" t="s">
        <v>1792</v>
      </c>
      <c r="C1651">
        <v>3880</v>
      </c>
      <c r="D1651">
        <v>80</v>
      </c>
      <c r="E1651">
        <v>2.11</v>
      </c>
      <c r="F1651">
        <v>405</v>
      </c>
      <c r="G1651">
        <v>9.58</v>
      </c>
      <c r="H1651" t="s">
        <v>397</v>
      </c>
      <c r="I1651" t="s">
        <v>397</v>
      </c>
      <c r="J1651">
        <v>1683</v>
      </c>
      <c r="K1651">
        <v>2.31</v>
      </c>
      <c r="L1651">
        <v>0</v>
      </c>
      <c r="M1651">
        <v>0</v>
      </c>
    </row>
    <row r="1652" spans="1:13">
      <c r="A1652" s="28">
        <v>272450</v>
      </c>
      <c r="B1652" t="s">
        <v>1793</v>
      </c>
      <c r="C1652">
        <v>11690</v>
      </c>
      <c r="D1652">
        <v>-180</v>
      </c>
      <c r="E1652">
        <v>-1.52</v>
      </c>
      <c r="F1652" t="s">
        <v>397</v>
      </c>
      <c r="G1652" t="s">
        <v>397</v>
      </c>
      <c r="H1652">
        <v>1945</v>
      </c>
      <c r="I1652">
        <v>6.01</v>
      </c>
      <c r="J1652">
        <v>2116</v>
      </c>
      <c r="K1652">
        <v>5.52</v>
      </c>
      <c r="L1652">
        <v>0</v>
      </c>
      <c r="M1652">
        <v>0</v>
      </c>
    </row>
    <row r="1653" spans="1:13">
      <c r="A1653" s="28" t="s">
        <v>1794</v>
      </c>
      <c r="B1653" t="s">
        <v>1795</v>
      </c>
      <c r="C1653">
        <v>7190</v>
      </c>
      <c r="D1653">
        <v>-30</v>
      </c>
      <c r="E1653">
        <v>-0.42</v>
      </c>
      <c r="F1653" t="s">
        <v>397</v>
      </c>
      <c r="G1653" t="s">
        <v>397</v>
      </c>
      <c r="H1653" t="s">
        <v>397</v>
      </c>
      <c r="I1653" t="s">
        <v>397</v>
      </c>
      <c r="J1653" t="s">
        <v>397</v>
      </c>
      <c r="K1653" t="s">
        <v>397</v>
      </c>
      <c r="L1653">
        <v>0</v>
      </c>
      <c r="M1653">
        <v>0</v>
      </c>
    </row>
    <row r="1654" spans="1:13">
      <c r="A1654" s="28">
        <v>41960</v>
      </c>
      <c r="B1654" t="s">
        <v>1796</v>
      </c>
      <c r="C1654">
        <v>4100</v>
      </c>
      <c r="D1654">
        <v>-75</v>
      </c>
      <c r="E1654">
        <v>-1.8</v>
      </c>
      <c r="F1654" t="s">
        <v>397</v>
      </c>
      <c r="G1654" t="s">
        <v>397</v>
      </c>
      <c r="H1654" t="s">
        <v>397</v>
      </c>
      <c r="I1654" t="s">
        <v>397</v>
      </c>
      <c r="J1654">
        <v>865</v>
      </c>
      <c r="K1654">
        <v>4.74</v>
      </c>
      <c r="L1654">
        <v>0</v>
      </c>
      <c r="M1654">
        <v>0</v>
      </c>
    </row>
    <row r="1655" spans="1:13">
      <c r="A1655" s="28">
        <v>89890</v>
      </c>
      <c r="B1655" t="s">
        <v>1797</v>
      </c>
      <c r="C1655">
        <v>16910</v>
      </c>
      <c r="D1655">
        <v>1260</v>
      </c>
      <c r="E1655">
        <v>8.0500000000000007</v>
      </c>
      <c r="F1655">
        <v>475</v>
      </c>
      <c r="G1655">
        <v>35.6</v>
      </c>
      <c r="H1655">
        <v>1779</v>
      </c>
      <c r="I1655">
        <v>9.51</v>
      </c>
      <c r="J1655">
        <v>3615</v>
      </c>
      <c r="K1655">
        <v>4.68</v>
      </c>
      <c r="L1655">
        <v>0</v>
      </c>
      <c r="M1655">
        <v>0</v>
      </c>
    </row>
    <row r="1656" spans="1:13">
      <c r="A1656" s="28">
        <v>73640</v>
      </c>
      <c r="B1656" t="s">
        <v>1798</v>
      </c>
      <c r="C1656">
        <v>923</v>
      </c>
      <c r="D1656">
        <v>-1</v>
      </c>
      <c r="E1656">
        <v>-0.11</v>
      </c>
      <c r="F1656">
        <v>389</v>
      </c>
      <c r="G1656">
        <v>2.37</v>
      </c>
      <c r="H1656" t="s">
        <v>397</v>
      </c>
      <c r="I1656" t="s">
        <v>397</v>
      </c>
      <c r="J1656">
        <v>1034</v>
      </c>
      <c r="K1656">
        <v>0.89</v>
      </c>
      <c r="L1656">
        <v>0</v>
      </c>
      <c r="M1656">
        <v>0</v>
      </c>
    </row>
    <row r="1657" spans="1:13">
      <c r="A1657" s="28">
        <v>79970</v>
      </c>
      <c r="B1657" t="s">
        <v>1799</v>
      </c>
      <c r="C1657">
        <v>373</v>
      </c>
      <c r="D1657">
        <v>-2</v>
      </c>
      <c r="E1657">
        <v>-0.53</v>
      </c>
      <c r="F1657" t="s">
        <v>397</v>
      </c>
      <c r="G1657" t="s">
        <v>397</v>
      </c>
      <c r="H1657" t="s">
        <v>397</v>
      </c>
      <c r="I1657" t="s">
        <v>397</v>
      </c>
      <c r="J1657">
        <v>649</v>
      </c>
      <c r="K1657">
        <v>0.56999999999999995</v>
      </c>
      <c r="L1657">
        <v>0</v>
      </c>
      <c r="M1657">
        <v>0</v>
      </c>
    </row>
    <row r="1658" spans="1:13">
      <c r="A1658" s="28">
        <v>45340</v>
      </c>
      <c r="B1658" t="s">
        <v>1800</v>
      </c>
      <c r="C1658">
        <v>5280</v>
      </c>
      <c r="D1658">
        <v>-50</v>
      </c>
      <c r="E1658">
        <v>-0.94</v>
      </c>
      <c r="F1658">
        <v>309</v>
      </c>
      <c r="G1658">
        <v>17.09</v>
      </c>
      <c r="H1658" t="s">
        <v>397</v>
      </c>
      <c r="I1658" t="s">
        <v>397</v>
      </c>
      <c r="J1658">
        <v>2199</v>
      </c>
      <c r="K1658">
        <v>2.4</v>
      </c>
      <c r="L1658">
        <v>0</v>
      </c>
      <c r="M1658">
        <v>0</v>
      </c>
    </row>
    <row r="1659" spans="1:13">
      <c r="A1659" s="28">
        <v>215480</v>
      </c>
      <c r="B1659" t="s">
        <v>1801</v>
      </c>
      <c r="C1659">
        <v>3550</v>
      </c>
      <c r="D1659">
        <v>0</v>
      </c>
      <c r="E1659">
        <v>0</v>
      </c>
      <c r="F1659">
        <v>416</v>
      </c>
      <c r="G1659">
        <v>8.5299999999999994</v>
      </c>
      <c r="H1659" t="s">
        <v>397</v>
      </c>
      <c r="I1659" t="s">
        <v>397</v>
      </c>
      <c r="J1659">
        <v>3246</v>
      </c>
      <c r="K1659">
        <v>1.0900000000000001</v>
      </c>
      <c r="L1659">
        <v>0</v>
      </c>
      <c r="M1659">
        <v>0</v>
      </c>
    </row>
    <row r="1660" spans="1:13">
      <c r="A1660" s="28">
        <v>393210</v>
      </c>
      <c r="B1660" t="s">
        <v>1802</v>
      </c>
      <c r="C1660">
        <v>5270</v>
      </c>
      <c r="D1660">
        <v>-240</v>
      </c>
      <c r="E1660">
        <v>-4.3600000000000003</v>
      </c>
      <c r="F1660">
        <v>396</v>
      </c>
      <c r="G1660">
        <v>13.31</v>
      </c>
      <c r="H1660" t="s">
        <v>397</v>
      </c>
      <c r="I1660" t="s">
        <v>397</v>
      </c>
      <c r="J1660">
        <v>1003</v>
      </c>
      <c r="K1660">
        <v>5.25</v>
      </c>
      <c r="L1660">
        <v>0</v>
      </c>
      <c r="M1660">
        <v>0</v>
      </c>
    </row>
    <row r="1661" spans="1:13">
      <c r="A1661" s="28">
        <v>214420</v>
      </c>
      <c r="B1661" t="s">
        <v>1803</v>
      </c>
      <c r="C1661">
        <v>5560</v>
      </c>
      <c r="D1661">
        <v>160</v>
      </c>
      <c r="E1661">
        <v>2.96</v>
      </c>
      <c r="F1661" t="s">
        <v>397</v>
      </c>
      <c r="G1661" t="s">
        <v>397</v>
      </c>
      <c r="H1661">
        <v>650</v>
      </c>
      <c r="I1661">
        <v>8.5500000000000007</v>
      </c>
      <c r="J1661">
        <v>3871</v>
      </c>
      <c r="K1661">
        <v>1.44</v>
      </c>
      <c r="L1661">
        <v>0</v>
      </c>
      <c r="M1661">
        <v>0</v>
      </c>
    </row>
    <row r="1662" spans="1:13">
      <c r="A1662" s="28">
        <v>200230</v>
      </c>
      <c r="B1662" t="s">
        <v>1804</v>
      </c>
      <c r="C1662">
        <v>741</v>
      </c>
      <c r="D1662">
        <v>-9</v>
      </c>
      <c r="E1662">
        <v>-1.2</v>
      </c>
      <c r="F1662" t="s">
        <v>397</v>
      </c>
      <c r="G1662" t="s">
        <v>397</v>
      </c>
      <c r="H1662" t="s">
        <v>397</v>
      </c>
      <c r="I1662" t="s">
        <v>397</v>
      </c>
      <c r="J1662">
        <v>775</v>
      </c>
      <c r="K1662">
        <v>0.96</v>
      </c>
      <c r="L1662">
        <v>0</v>
      </c>
      <c r="M1662">
        <v>0</v>
      </c>
    </row>
    <row r="1663" spans="1:13">
      <c r="A1663" s="28">
        <v>64520</v>
      </c>
      <c r="B1663" t="s">
        <v>1805</v>
      </c>
      <c r="C1663">
        <v>3680</v>
      </c>
      <c r="D1663">
        <v>-200</v>
      </c>
      <c r="E1663">
        <v>-5.15</v>
      </c>
      <c r="F1663" t="s">
        <v>397</v>
      </c>
      <c r="G1663" t="s">
        <v>397</v>
      </c>
      <c r="H1663" t="s">
        <v>397</v>
      </c>
      <c r="I1663" t="s">
        <v>397</v>
      </c>
      <c r="J1663">
        <v>4791</v>
      </c>
      <c r="K1663">
        <v>0.77</v>
      </c>
      <c r="L1663">
        <v>0</v>
      </c>
      <c r="M1663">
        <v>0</v>
      </c>
    </row>
    <row r="1664" spans="1:13">
      <c r="A1664" s="28">
        <v>66700</v>
      </c>
      <c r="B1664" t="s">
        <v>1806</v>
      </c>
      <c r="C1664">
        <v>4195</v>
      </c>
      <c r="D1664">
        <v>-120</v>
      </c>
      <c r="E1664">
        <v>-2.78</v>
      </c>
      <c r="F1664">
        <v>299</v>
      </c>
      <c r="G1664">
        <v>14.03</v>
      </c>
      <c r="H1664" t="s">
        <v>397</v>
      </c>
      <c r="I1664" t="s">
        <v>397</v>
      </c>
      <c r="J1664">
        <v>4487</v>
      </c>
      <c r="K1664">
        <v>0.93</v>
      </c>
      <c r="L1664">
        <v>0</v>
      </c>
      <c r="M1664">
        <v>0</v>
      </c>
    </row>
    <row r="1665" spans="1:13">
      <c r="A1665" s="28">
        <v>191420</v>
      </c>
      <c r="B1665" t="s">
        <v>1807</v>
      </c>
      <c r="C1665">
        <v>17800</v>
      </c>
      <c r="D1665">
        <v>480</v>
      </c>
      <c r="E1665">
        <v>2.77</v>
      </c>
      <c r="F1665">
        <v>33</v>
      </c>
      <c r="G1665">
        <v>539.39</v>
      </c>
      <c r="H1665" t="s">
        <v>397</v>
      </c>
      <c r="I1665" t="s">
        <v>397</v>
      </c>
      <c r="J1665">
        <v>6070</v>
      </c>
      <c r="K1665">
        <v>2.93</v>
      </c>
      <c r="L1665">
        <v>0</v>
      </c>
      <c r="M1665">
        <v>0</v>
      </c>
    </row>
    <row r="1666" spans="1:13">
      <c r="A1666" s="28">
        <v>417790</v>
      </c>
      <c r="B1666" t="s">
        <v>1808</v>
      </c>
      <c r="C1666">
        <v>11310</v>
      </c>
      <c r="D1666">
        <v>-130</v>
      </c>
      <c r="E1666">
        <v>-1.1399999999999999</v>
      </c>
      <c r="F1666">
        <v>906</v>
      </c>
      <c r="G1666">
        <v>12.48</v>
      </c>
      <c r="H1666" t="s">
        <v>397</v>
      </c>
      <c r="I1666" t="s">
        <v>397</v>
      </c>
      <c r="J1666">
        <v>6066</v>
      </c>
      <c r="K1666">
        <v>1.86</v>
      </c>
      <c r="L1666">
        <v>0</v>
      </c>
      <c r="M1666">
        <v>0</v>
      </c>
    </row>
    <row r="1667" spans="1:13">
      <c r="A1667" s="28">
        <v>44490</v>
      </c>
      <c r="B1667" t="s">
        <v>1809</v>
      </c>
      <c r="C1667">
        <v>17430</v>
      </c>
      <c r="D1667">
        <v>-770</v>
      </c>
      <c r="E1667">
        <v>-4.2300000000000004</v>
      </c>
      <c r="F1667">
        <v>27</v>
      </c>
      <c r="G1667">
        <v>645.55999999999995</v>
      </c>
      <c r="H1667" t="s">
        <v>397</v>
      </c>
      <c r="I1667" t="s">
        <v>397</v>
      </c>
      <c r="J1667">
        <v>24061</v>
      </c>
      <c r="K1667">
        <v>0.72</v>
      </c>
      <c r="L1667">
        <v>0</v>
      </c>
      <c r="M1667">
        <v>0</v>
      </c>
    </row>
    <row r="1668" spans="1:13">
      <c r="A1668" s="28">
        <v>323280</v>
      </c>
      <c r="B1668" t="s">
        <v>1810</v>
      </c>
      <c r="C1668">
        <v>4170</v>
      </c>
      <c r="D1668">
        <v>-35</v>
      </c>
      <c r="E1668">
        <v>-0.83</v>
      </c>
      <c r="F1668" t="s">
        <v>397</v>
      </c>
      <c r="G1668" t="s">
        <v>397</v>
      </c>
      <c r="H1668" t="s">
        <v>397</v>
      </c>
      <c r="I1668" t="s">
        <v>397</v>
      </c>
      <c r="J1668">
        <v>1299</v>
      </c>
      <c r="K1668">
        <v>3.21</v>
      </c>
      <c r="L1668">
        <v>0</v>
      </c>
      <c r="M1668">
        <v>0</v>
      </c>
    </row>
    <row r="1669" spans="1:13">
      <c r="A1669" s="28">
        <v>134580</v>
      </c>
      <c r="B1669" t="s">
        <v>1811</v>
      </c>
      <c r="C1669">
        <v>3285</v>
      </c>
      <c r="D1669">
        <v>-75</v>
      </c>
      <c r="E1669">
        <v>-2.23</v>
      </c>
      <c r="F1669" t="s">
        <v>397</v>
      </c>
      <c r="G1669" t="s">
        <v>397</v>
      </c>
      <c r="H1669" t="s">
        <v>397</v>
      </c>
      <c r="I1669" t="s">
        <v>397</v>
      </c>
      <c r="J1669">
        <v>2151</v>
      </c>
      <c r="K1669">
        <v>1.53</v>
      </c>
      <c r="L1669">
        <v>0</v>
      </c>
      <c r="M1669">
        <v>0</v>
      </c>
    </row>
    <row r="1670" spans="1:13">
      <c r="A1670" s="28">
        <v>65130</v>
      </c>
      <c r="B1670" t="s">
        <v>1812</v>
      </c>
      <c r="C1670">
        <v>5860</v>
      </c>
      <c r="D1670">
        <v>-20</v>
      </c>
      <c r="E1670">
        <v>-0.34</v>
      </c>
      <c r="F1670" t="s">
        <v>397</v>
      </c>
      <c r="G1670" t="s">
        <v>397</v>
      </c>
      <c r="H1670" t="s">
        <v>397</v>
      </c>
      <c r="I1670" t="s">
        <v>397</v>
      </c>
      <c r="J1670">
        <v>11955</v>
      </c>
      <c r="K1670">
        <v>0.49</v>
      </c>
      <c r="L1670">
        <v>0</v>
      </c>
      <c r="M1670">
        <v>0</v>
      </c>
    </row>
    <row r="1671" spans="1:13">
      <c r="A1671" s="28">
        <v>360070</v>
      </c>
      <c r="B1671" t="s">
        <v>1813</v>
      </c>
      <c r="C1671">
        <v>70000</v>
      </c>
      <c r="D1671">
        <v>900</v>
      </c>
      <c r="E1671">
        <v>1.3</v>
      </c>
      <c r="F1671">
        <v>1647</v>
      </c>
      <c r="G1671">
        <v>42.5</v>
      </c>
      <c r="H1671" t="s">
        <v>397</v>
      </c>
      <c r="I1671" t="s">
        <v>397</v>
      </c>
      <c r="J1671">
        <v>12065</v>
      </c>
      <c r="K1671">
        <v>5.8</v>
      </c>
      <c r="L1671">
        <v>0</v>
      </c>
      <c r="M1671">
        <v>0</v>
      </c>
    </row>
    <row r="1672" spans="1:13">
      <c r="A1672" s="28">
        <v>219130</v>
      </c>
      <c r="B1672" t="s">
        <v>1814</v>
      </c>
      <c r="C1672">
        <v>33000</v>
      </c>
      <c r="D1672">
        <v>0</v>
      </c>
      <c r="E1672">
        <v>0</v>
      </c>
      <c r="F1672">
        <v>569</v>
      </c>
      <c r="G1672">
        <v>58</v>
      </c>
      <c r="H1672" t="s">
        <v>397</v>
      </c>
      <c r="I1672" t="s">
        <v>397</v>
      </c>
      <c r="J1672">
        <v>8781</v>
      </c>
      <c r="K1672">
        <v>3.76</v>
      </c>
      <c r="L1672">
        <v>0</v>
      </c>
      <c r="M1672">
        <v>0</v>
      </c>
    </row>
    <row r="1673" spans="1:13">
      <c r="A1673" s="28">
        <v>54780</v>
      </c>
      <c r="B1673" t="s">
        <v>1815</v>
      </c>
      <c r="C1673">
        <v>6310</v>
      </c>
      <c r="D1673">
        <v>-70</v>
      </c>
      <c r="E1673">
        <v>-1.1000000000000001</v>
      </c>
      <c r="F1673" t="s">
        <v>397</v>
      </c>
      <c r="G1673" t="s">
        <v>397</v>
      </c>
      <c r="H1673" t="s">
        <v>397</v>
      </c>
      <c r="I1673" t="s">
        <v>397</v>
      </c>
      <c r="J1673">
        <v>3023</v>
      </c>
      <c r="K1673">
        <v>2.09</v>
      </c>
      <c r="L1673">
        <v>0</v>
      </c>
      <c r="M1673">
        <v>0</v>
      </c>
    </row>
    <row r="1674" spans="1:13">
      <c r="A1674" s="28">
        <v>446840</v>
      </c>
      <c r="B1674" t="s">
        <v>1816</v>
      </c>
      <c r="C1674">
        <v>2125</v>
      </c>
      <c r="D1674">
        <v>-5</v>
      </c>
      <c r="E1674">
        <v>-0.23</v>
      </c>
      <c r="F1674" t="s">
        <v>397</v>
      </c>
      <c r="G1674" t="s">
        <v>397</v>
      </c>
      <c r="H1674" t="s">
        <v>397</v>
      </c>
      <c r="I1674" t="s">
        <v>397</v>
      </c>
      <c r="J1674" t="s">
        <v>397</v>
      </c>
      <c r="K1674" t="s">
        <v>397</v>
      </c>
      <c r="L1674">
        <v>0</v>
      </c>
      <c r="M1674">
        <v>0</v>
      </c>
    </row>
    <row r="1675" spans="1:13">
      <c r="A1675" s="28">
        <v>199800</v>
      </c>
      <c r="B1675" t="s">
        <v>1817</v>
      </c>
      <c r="C1675">
        <v>58600</v>
      </c>
      <c r="D1675">
        <v>-6400</v>
      </c>
      <c r="E1675">
        <v>-9.85</v>
      </c>
      <c r="F1675" t="s">
        <v>397</v>
      </c>
      <c r="G1675" t="s">
        <v>397</v>
      </c>
      <c r="H1675" t="s">
        <v>397</v>
      </c>
      <c r="I1675" t="s">
        <v>397</v>
      </c>
      <c r="J1675">
        <v>8940</v>
      </c>
      <c r="K1675">
        <v>6.55</v>
      </c>
      <c r="L1675">
        <v>0</v>
      </c>
      <c r="M1675">
        <v>0</v>
      </c>
    </row>
    <row r="1676" spans="1:13">
      <c r="A1676" s="28">
        <v>105550</v>
      </c>
      <c r="B1676" t="s">
        <v>1818</v>
      </c>
      <c r="C1676">
        <v>2405</v>
      </c>
      <c r="D1676">
        <v>40</v>
      </c>
      <c r="E1676">
        <v>1.69</v>
      </c>
      <c r="F1676" t="s">
        <v>397</v>
      </c>
      <c r="G1676" t="s">
        <v>397</v>
      </c>
      <c r="H1676" t="s">
        <v>397</v>
      </c>
      <c r="I1676" t="s">
        <v>397</v>
      </c>
      <c r="J1676">
        <v>1536</v>
      </c>
      <c r="K1676">
        <v>1.57</v>
      </c>
      <c r="L1676">
        <v>0</v>
      </c>
      <c r="M1676">
        <v>0</v>
      </c>
    </row>
    <row r="1677" spans="1:13">
      <c r="A1677" s="28">
        <v>9730</v>
      </c>
      <c r="B1677" t="s">
        <v>1819</v>
      </c>
      <c r="C1677">
        <v>3485</v>
      </c>
      <c r="D1677">
        <v>65</v>
      </c>
      <c r="E1677">
        <v>1.9</v>
      </c>
      <c r="F1677">
        <v>154</v>
      </c>
      <c r="G1677">
        <v>22.63</v>
      </c>
      <c r="H1677" t="s">
        <v>397</v>
      </c>
      <c r="I1677" t="s">
        <v>397</v>
      </c>
      <c r="J1677">
        <v>1074</v>
      </c>
      <c r="K1677">
        <v>3.24</v>
      </c>
      <c r="L1677">
        <v>0</v>
      </c>
      <c r="M1677">
        <v>0</v>
      </c>
    </row>
    <row r="1678" spans="1:13">
      <c r="A1678" s="28">
        <v>62860</v>
      </c>
      <c r="B1678" t="s">
        <v>1820</v>
      </c>
      <c r="C1678">
        <v>5800</v>
      </c>
      <c r="D1678">
        <v>0</v>
      </c>
      <c r="E1678">
        <v>0</v>
      </c>
      <c r="F1678" t="s">
        <v>397</v>
      </c>
      <c r="G1678" t="s">
        <v>397</v>
      </c>
      <c r="H1678" t="s">
        <v>397</v>
      </c>
      <c r="I1678" t="s">
        <v>397</v>
      </c>
      <c r="J1678">
        <v>8417</v>
      </c>
      <c r="K1678">
        <v>0.69</v>
      </c>
      <c r="L1678">
        <v>0</v>
      </c>
      <c r="M1678">
        <v>0</v>
      </c>
    </row>
    <row r="1679" spans="1:13">
      <c r="A1679" s="28">
        <v>58530</v>
      </c>
      <c r="B1679" t="s">
        <v>1821</v>
      </c>
      <c r="C1679">
        <v>1620</v>
      </c>
      <c r="D1679">
        <v>0</v>
      </c>
      <c r="E1679">
        <v>0</v>
      </c>
      <c r="F1679" t="s">
        <v>397</v>
      </c>
      <c r="G1679" t="s">
        <v>397</v>
      </c>
      <c r="H1679" t="s">
        <v>397</v>
      </c>
      <c r="I1679" t="s">
        <v>397</v>
      </c>
      <c r="J1679">
        <v>3652</v>
      </c>
      <c r="K1679">
        <v>0.44</v>
      </c>
      <c r="L1679">
        <v>0</v>
      </c>
      <c r="M1679">
        <v>0</v>
      </c>
    </row>
    <row r="1680" spans="1:13">
      <c r="A1680" s="28">
        <v>84730</v>
      </c>
      <c r="B1680" t="s">
        <v>1822</v>
      </c>
      <c r="C1680">
        <v>14870</v>
      </c>
      <c r="D1680">
        <v>0</v>
      </c>
      <c r="E1680">
        <v>0</v>
      </c>
      <c r="F1680">
        <v>354</v>
      </c>
      <c r="G1680">
        <v>42.01</v>
      </c>
      <c r="H1680" t="s">
        <v>397</v>
      </c>
      <c r="I1680" t="s">
        <v>397</v>
      </c>
      <c r="J1680">
        <v>17281</v>
      </c>
      <c r="K1680">
        <v>0.86</v>
      </c>
      <c r="L1680">
        <v>0</v>
      </c>
      <c r="M1680">
        <v>0</v>
      </c>
    </row>
    <row r="1681" spans="1:13">
      <c r="A1681" s="28">
        <v>340930</v>
      </c>
      <c r="B1681" t="s">
        <v>1823</v>
      </c>
      <c r="C1681">
        <v>12590</v>
      </c>
      <c r="D1681">
        <v>-10</v>
      </c>
      <c r="E1681">
        <v>-0.08</v>
      </c>
      <c r="F1681">
        <v>1364</v>
      </c>
      <c r="G1681">
        <v>9.23</v>
      </c>
      <c r="H1681" t="s">
        <v>397</v>
      </c>
      <c r="I1681" t="s">
        <v>397</v>
      </c>
      <c r="J1681">
        <v>5625</v>
      </c>
      <c r="K1681">
        <v>2.2400000000000002</v>
      </c>
      <c r="L1681">
        <v>0</v>
      </c>
      <c r="M1681">
        <v>0</v>
      </c>
    </row>
    <row r="1682" spans="1:13">
      <c r="A1682" s="28">
        <v>104480</v>
      </c>
      <c r="B1682" t="s">
        <v>1824</v>
      </c>
      <c r="C1682">
        <v>1682</v>
      </c>
      <c r="D1682">
        <v>-21</v>
      </c>
      <c r="E1682">
        <v>-1.23</v>
      </c>
      <c r="F1682">
        <v>3028</v>
      </c>
      <c r="G1682">
        <v>0.56000000000000005</v>
      </c>
      <c r="H1682" t="s">
        <v>397</v>
      </c>
      <c r="I1682" t="s">
        <v>397</v>
      </c>
      <c r="J1682">
        <v>10429</v>
      </c>
      <c r="K1682">
        <v>0.16</v>
      </c>
      <c r="L1682">
        <v>0</v>
      </c>
      <c r="M1682">
        <v>0</v>
      </c>
    </row>
    <row r="1683" spans="1:13">
      <c r="A1683" s="28">
        <v>425040</v>
      </c>
      <c r="B1683" t="s">
        <v>1825</v>
      </c>
      <c r="C1683">
        <v>18910</v>
      </c>
      <c r="D1683">
        <v>-1010</v>
      </c>
      <c r="E1683">
        <v>-5.07</v>
      </c>
      <c r="F1683">
        <v>2428</v>
      </c>
      <c r="G1683">
        <v>7.79</v>
      </c>
      <c r="H1683">
        <v>1707</v>
      </c>
      <c r="I1683">
        <v>11.08</v>
      </c>
      <c r="J1683">
        <v>5670</v>
      </c>
      <c r="K1683">
        <v>3.34</v>
      </c>
      <c r="L1683">
        <v>0</v>
      </c>
      <c r="M1683">
        <v>0</v>
      </c>
    </row>
    <row r="1684" spans="1:13">
      <c r="A1684" s="28">
        <v>4870</v>
      </c>
      <c r="B1684" t="s">
        <v>1826</v>
      </c>
      <c r="C1684">
        <v>456</v>
      </c>
      <c r="D1684">
        <v>-13</v>
      </c>
      <c r="E1684">
        <v>-2.77</v>
      </c>
      <c r="F1684">
        <v>697</v>
      </c>
      <c r="G1684">
        <v>0.65</v>
      </c>
      <c r="H1684" t="s">
        <v>397</v>
      </c>
      <c r="I1684" t="s">
        <v>397</v>
      </c>
      <c r="J1684">
        <v>1505</v>
      </c>
      <c r="K1684">
        <v>0.3</v>
      </c>
      <c r="L1684">
        <v>0</v>
      </c>
      <c r="M1684">
        <v>0</v>
      </c>
    </row>
    <row r="1685" spans="1:13">
      <c r="A1685" s="28">
        <v>91810</v>
      </c>
      <c r="B1685" t="s">
        <v>1827</v>
      </c>
      <c r="C1685">
        <v>2700</v>
      </c>
      <c r="D1685">
        <v>10</v>
      </c>
      <c r="E1685">
        <v>0.37</v>
      </c>
      <c r="F1685" t="s">
        <v>397</v>
      </c>
      <c r="G1685" t="s">
        <v>397</v>
      </c>
      <c r="H1685">
        <v>416</v>
      </c>
      <c r="I1685">
        <v>6.5</v>
      </c>
      <c r="J1685">
        <v>371</v>
      </c>
      <c r="K1685">
        <v>7.28</v>
      </c>
      <c r="L1685">
        <v>0</v>
      </c>
      <c r="M1685">
        <v>0</v>
      </c>
    </row>
    <row r="1686" spans="1:13">
      <c r="A1686" s="28">
        <v>321550</v>
      </c>
      <c r="B1686" t="s">
        <v>1828</v>
      </c>
      <c r="C1686">
        <v>8150</v>
      </c>
      <c r="D1686">
        <v>-290</v>
      </c>
      <c r="E1686">
        <v>-3.44</v>
      </c>
      <c r="F1686" t="s">
        <v>397</v>
      </c>
      <c r="G1686" t="s">
        <v>397</v>
      </c>
      <c r="H1686" t="s">
        <v>397</v>
      </c>
      <c r="I1686" t="s">
        <v>397</v>
      </c>
      <c r="J1686">
        <v>2541</v>
      </c>
      <c r="K1686">
        <v>3.21</v>
      </c>
      <c r="L1686">
        <v>0</v>
      </c>
      <c r="M1686">
        <v>0</v>
      </c>
    </row>
    <row r="1687" spans="1:13">
      <c r="A1687" s="28">
        <v>131100</v>
      </c>
      <c r="B1687" t="s">
        <v>1829</v>
      </c>
      <c r="C1687">
        <v>1893</v>
      </c>
      <c r="D1687">
        <v>-20</v>
      </c>
      <c r="E1687">
        <v>-1.05</v>
      </c>
      <c r="F1687" t="s">
        <v>397</v>
      </c>
      <c r="G1687" t="s">
        <v>397</v>
      </c>
      <c r="H1687" t="s">
        <v>397</v>
      </c>
      <c r="I1687" t="s">
        <v>397</v>
      </c>
      <c r="J1687">
        <v>2869</v>
      </c>
      <c r="K1687">
        <v>0.66</v>
      </c>
      <c r="L1687">
        <v>0</v>
      </c>
      <c r="M1687">
        <v>0</v>
      </c>
    </row>
    <row r="1688" spans="1:13">
      <c r="A1688" s="28">
        <v>290090</v>
      </c>
      <c r="B1688" t="s">
        <v>1830</v>
      </c>
      <c r="C1688">
        <v>11390</v>
      </c>
      <c r="D1688">
        <v>-90</v>
      </c>
      <c r="E1688">
        <v>-0.78</v>
      </c>
      <c r="F1688" t="s">
        <v>397</v>
      </c>
      <c r="G1688" t="s">
        <v>397</v>
      </c>
      <c r="H1688" t="s">
        <v>397</v>
      </c>
      <c r="I1688" t="s">
        <v>397</v>
      </c>
      <c r="J1688">
        <v>9248</v>
      </c>
      <c r="K1688">
        <v>1.23</v>
      </c>
      <c r="L1688">
        <v>0</v>
      </c>
      <c r="M1688">
        <v>0</v>
      </c>
    </row>
    <row r="1689" spans="1:13">
      <c r="A1689" s="28">
        <v>425420</v>
      </c>
      <c r="B1689" t="s">
        <v>1831</v>
      </c>
      <c r="C1689">
        <v>39450</v>
      </c>
      <c r="D1689">
        <v>1500</v>
      </c>
      <c r="E1689">
        <v>3.95</v>
      </c>
      <c r="F1689">
        <v>721</v>
      </c>
      <c r="G1689">
        <v>54.72</v>
      </c>
      <c r="H1689" t="s">
        <v>397</v>
      </c>
      <c r="I1689" t="s">
        <v>397</v>
      </c>
      <c r="J1689">
        <v>5323</v>
      </c>
      <c r="K1689">
        <v>7.41</v>
      </c>
      <c r="L1689">
        <v>0</v>
      </c>
      <c r="M1689">
        <v>0</v>
      </c>
    </row>
    <row r="1690" spans="1:13">
      <c r="A1690" s="28">
        <v>277880</v>
      </c>
      <c r="B1690" t="s">
        <v>1832</v>
      </c>
      <c r="C1690">
        <v>8720</v>
      </c>
      <c r="D1690">
        <v>-160</v>
      </c>
      <c r="E1690">
        <v>-1.8</v>
      </c>
      <c r="F1690">
        <v>169</v>
      </c>
      <c r="G1690">
        <v>51.6</v>
      </c>
      <c r="H1690" t="s">
        <v>397</v>
      </c>
      <c r="I1690" t="s">
        <v>397</v>
      </c>
      <c r="J1690">
        <v>2416</v>
      </c>
      <c r="K1690">
        <v>3.61</v>
      </c>
      <c r="L1690">
        <v>0</v>
      </c>
      <c r="M1690">
        <v>0</v>
      </c>
    </row>
    <row r="1691" spans="1:13">
      <c r="A1691" s="28">
        <v>43220</v>
      </c>
      <c r="B1691" t="s">
        <v>1833</v>
      </c>
      <c r="C1691">
        <v>974</v>
      </c>
      <c r="D1691">
        <v>56</v>
      </c>
      <c r="E1691">
        <v>6.1</v>
      </c>
      <c r="F1691" t="s">
        <v>397</v>
      </c>
      <c r="G1691" t="s">
        <v>397</v>
      </c>
      <c r="H1691" t="s">
        <v>397</v>
      </c>
      <c r="I1691" t="s">
        <v>397</v>
      </c>
      <c r="J1691">
        <v>443</v>
      </c>
      <c r="K1691">
        <v>2.2000000000000002</v>
      </c>
      <c r="L1691">
        <v>0</v>
      </c>
      <c r="M1691">
        <v>0</v>
      </c>
    </row>
    <row r="1692" spans="1:13">
      <c r="A1692" s="28">
        <v>246710</v>
      </c>
      <c r="B1692" t="s">
        <v>1834</v>
      </c>
      <c r="C1692">
        <v>8550</v>
      </c>
      <c r="D1692">
        <v>-270</v>
      </c>
      <c r="E1692">
        <v>-3.06</v>
      </c>
      <c r="F1692" t="s">
        <v>397</v>
      </c>
      <c r="G1692" t="s">
        <v>397</v>
      </c>
      <c r="H1692" t="s">
        <v>397</v>
      </c>
      <c r="I1692" t="s">
        <v>397</v>
      </c>
      <c r="J1692">
        <v>1853</v>
      </c>
      <c r="K1692">
        <v>4.6100000000000003</v>
      </c>
      <c r="L1692">
        <v>0</v>
      </c>
      <c r="M1692">
        <v>0</v>
      </c>
    </row>
    <row r="1693" spans="1:13">
      <c r="A1693" s="28">
        <v>57680</v>
      </c>
      <c r="B1693" t="s">
        <v>1835</v>
      </c>
      <c r="C1693">
        <v>1515</v>
      </c>
      <c r="D1693">
        <v>-18</v>
      </c>
      <c r="E1693">
        <v>-1.17</v>
      </c>
      <c r="F1693" t="s">
        <v>397</v>
      </c>
      <c r="G1693" t="s">
        <v>397</v>
      </c>
      <c r="H1693" t="s">
        <v>397</v>
      </c>
      <c r="I1693" t="s">
        <v>397</v>
      </c>
      <c r="J1693">
        <v>3220</v>
      </c>
      <c r="K1693">
        <v>0.47</v>
      </c>
      <c r="L1693">
        <v>0</v>
      </c>
      <c r="M1693">
        <v>0</v>
      </c>
    </row>
    <row r="1694" spans="1:13">
      <c r="A1694" s="28">
        <v>117730</v>
      </c>
      <c r="B1694" t="s">
        <v>1836</v>
      </c>
      <c r="C1694">
        <v>21300</v>
      </c>
      <c r="D1694">
        <v>-600</v>
      </c>
      <c r="E1694">
        <v>-2.74</v>
      </c>
      <c r="F1694" t="s">
        <v>397</v>
      </c>
      <c r="G1694" t="s">
        <v>397</v>
      </c>
      <c r="H1694" t="s">
        <v>397</v>
      </c>
      <c r="I1694" t="s">
        <v>397</v>
      </c>
      <c r="J1694">
        <v>1752</v>
      </c>
      <c r="K1694">
        <v>12.16</v>
      </c>
      <c r="L1694">
        <v>0</v>
      </c>
      <c r="M1694">
        <v>0</v>
      </c>
    </row>
    <row r="1695" spans="1:13">
      <c r="A1695" s="28">
        <v>322180</v>
      </c>
      <c r="B1695" t="s">
        <v>1837</v>
      </c>
      <c r="C1695">
        <v>5050</v>
      </c>
      <c r="D1695">
        <v>-50</v>
      </c>
      <c r="E1695">
        <v>-0.98</v>
      </c>
      <c r="F1695" t="s">
        <v>397</v>
      </c>
      <c r="G1695" t="s">
        <v>397</v>
      </c>
      <c r="H1695">
        <v>18</v>
      </c>
      <c r="I1695">
        <v>273.45999999999998</v>
      </c>
      <c r="J1695">
        <v>1046</v>
      </c>
      <c r="K1695">
        <v>4.83</v>
      </c>
      <c r="L1695">
        <v>0</v>
      </c>
      <c r="M1695">
        <v>0</v>
      </c>
    </row>
    <row r="1696" spans="1:13">
      <c r="A1696" s="28">
        <v>26150</v>
      </c>
      <c r="B1696" t="s">
        <v>1838</v>
      </c>
      <c r="C1696">
        <v>7630</v>
      </c>
      <c r="D1696">
        <v>-90</v>
      </c>
      <c r="E1696">
        <v>-1.17</v>
      </c>
      <c r="F1696">
        <v>99</v>
      </c>
      <c r="G1696">
        <v>77.069999999999993</v>
      </c>
      <c r="H1696" t="s">
        <v>397</v>
      </c>
      <c r="I1696" t="s">
        <v>397</v>
      </c>
      <c r="J1696">
        <v>6046</v>
      </c>
      <c r="K1696">
        <v>1.26</v>
      </c>
      <c r="L1696">
        <v>0</v>
      </c>
      <c r="M1696">
        <v>0</v>
      </c>
    </row>
    <row r="1697" spans="1:13">
      <c r="A1697" s="28">
        <v>433530</v>
      </c>
      <c r="B1697" t="s">
        <v>1839</v>
      </c>
      <c r="C1697">
        <v>2110</v>
      </c>
      <c r="D1697">
        <v>0</v>
      </c>
      <c r="E1697">
        <v>0</v>
      </c>
      <c r="F1697" t="s">
        <v>397</v>
      </c>
      <c r="G1697" t="s">
        <v>397</v>
      </c>
      <c r="H1697" t="s">
        <v>397</v>
      </c>
      <c r="I1697" t="s">
        <v>397</v>
      </c>
      <c r="J1697" t="s">
        <v>397</v>
      </c>
      <c r="K1697" t="s">
        <v>397</v>
      </c>
      <c r="L1697">
        <v>0</v>
      </c>
      <c r="M1697">
        <v>0</v>
      </c>
    </row>
    <row r="1698" spans="1:13">
      <c r="A1698" s="28">
        <v>413600</v>
      </c>
      <c r="B1698" t="s">
        <v>1840</v>
      </c>
      <c r="C1698">
        <v>2150</v>
      </c>
      <c r="D1698">
        <v>0</v>
      </c>
      <c r="E1698">
        <v>0</v>
      </c>
      <c r="F1698" t="s">
        <v>397</v>
      </c>
      <c r="G1698" t="s">
        <v>397</v>
      </c>
      <c r="H1698" t="s">
        <v>397</v>
      </c>
      <c r="I1698" t="s">
        <v>397</v>
      </c>
      <c r="J1698" t="s">
        <v>397</v>
      </c>
      <c r="K1698" t="s">
        <v>397</v>
      </c>
      <c r="L1698">
        <v>0</v>
      </c>
      <c r="M1698">
        <v>0</v>
      </c>
    </row>
    <row r="1699" spans="1:13">
      <c r="A1699" s="28">
        <v>139670</v>
      </c>
      <c r="B1699" t="s">
        <v>1841</v>
      </c>
      <c r="C1699">
        <v>5400</v>
      </c>
      <c r="D1699">
        <v>-450</v>
      </c>
      <c r="E1699">
        <v>-7.69</v>
      </c>
      <c r="F1699" t="s">
        <v>397</v>
      </c>
      <c r="G1699" t="s">
        <v>397</v>
      </c>
      <c r="H1699" t="s">
        <v>397</v>
      </c>
      <c r="I1699" t="s">
        <v>397</v>
      </c>
      <c r="J1699">
        <v>704</v>
      </c>
      <c r="K1699">
        <v>7.67</v>
      </c>
      <c r="L1699">
        <v>0</v>
      </c>
      <c r="M1699">
        <v>0</v>
      </c>
    </row>
    <row r="1700" spans="1:13">
      <c r="A1700" s="28">
        <v>71950</v>
      </c>
      <c r="B1700" t="s">
        <v>1842</v>
      </c>
      <c r="C1700">
        <v>514</v>
      </c>
      <c r="D1700">
        <v>0</v>
      </c>
      <c r="E1700">
        <v>0</v>
      </c>
      <c r="F1700" t="s">
        <v>397</v>
      </c>
      <c r="G1700" t="s">
        <v>397</v>
      </c>
      <c r="H1700" t="s">
        <v>397</v>
      </c>
      <c r="I1700" t="s">
        <v>397</v>
      </c>
      <c r="J1700">
        <v>562</v>
      </c>
      <c r="K1700">
        <v>0.91</v>
      </c>
      <c r="L1700">
        <v>0</v>
      </c>
      <c r="M1700">
        <v>0</v>
      </c>
    </row>
    <row r="1701" spans="1:13">
      <c r="A1701" s="28">
        <v>121850</v>
      </c>
      <c r="B1701" t="s">
        <v>1843</v>
      </c>
      <c r="C1701">
        <v>1268</v>
      </c>
      <c r="D1701">
        <v>-23</v>
      </c>
      <c r="E1701">
        <v>-1.78</v>
      </c>
      <c r="F1701" t="s">
        <v>397</v>
      </c>
      <c r="G1701" t="s">
        <v>397</v>
      </c>
      <c r="H1701" t="s">
        <v>397</v>
      </c>
      <c r="I1701" t="s">
        <v>397</v>
      </c>
      <c r="J1701">
        <v>631</v>
      </c>
      <c r="K1701">
        <v>2.0099999999999998</v>
      </c>
      <c r="L1701">
        <v>0</v>
      </c>
      <c r="M1701">
        <v>0</v>
      </c>
    </row>
    <row r="1702" spans="1:13">
      <c r="A1702" s="28">
        <v>102940</v>
      </c>
      <c r="B1702" t="s">
        <v>1844</v>
      </c>
      <c r="C1702">
        <v>22650</v>
      </c>
      <c r="D1702">
        <v>-200</v>
      </c>
      <c r="E1702">
        <v>-0.88</v>
      </c>
      <c r="F1702">
        <v>187</v>
      </c>
      <c r="G1702">
        <v>121.12</v>
      </c>
      <c r="H1702" t="s">
        <v>397</v>
      </c>
      <c r="I1702" t="s">
        <v>397</v>
      </c>
      <c r="J1702">
        <v>14697</v>
      </c>
      <c r="K1702">
        <v>1.54</v>
      </c>
      <c r="L1702">
        <v>0</v>
      </c>
      <c r="M1702">
        <v>0</v>
      </c>
    </row>
    <row r="1703" spans="1:13">
      <c r="A1703" s="28" t="s">
        <v>1845</v>
      </c>
      <c r="B1703" t="s">
        <v>1846</v>
      </c>
      <c r="C1703">
        <v>6110</v>
      </c>
      <c r="D1703">
        <v>210</v>
      </c>
      <c r="E1703">
        <v>3.56</v>
      </c>
      <c r="F1703" t="s">
        <v>397</v>
      </c>
      <c r="G1703" t="s">
        <v>397</v>
      </c>
      <c r="H1703" t="s">
        <v>397</v>
      </c>
      <c r="I1703" t="s">
        <v>397</v>
      </c>
      <c r="J1703" t="s">
        <v>397</v>
      </c>
      <c r="K1703" t="s">
        <v>397</v>
      </c>
      <c r="L1703">
        <v>0</v>
      </c>
      <c r="M1703">
        <v>0</v>
      </c>
    </row>
    <row r="1704" spans="1:13">
      <c r="A1704" s="28">
        <v>450140</v>
      </c>
      <c r="B1704" t="s">
        <v>1847</v>
      </c>
      <c r="C1704">
        <v>3825</v>
      </c>
      <c r="D1704">
        <v>-85</v>
      </c>
      <c r="E1704">
        <v>-2.17</v>
      </c>
      <c r="F1704" t="s">
        <v>397</v>
      </c>
      <c r="G1704" t="s">
        <v>397</v>
      </c>
      <c r="H1704" t="s">
        <v>397</v>
      </c>
      <c r="I1704" t="s">
        <v>397</v>
      </c>
      <c r="J1704" t="s">
        <v>397</v>
      </c>
      <c r="K1704" t="s">
        <v>397</v>
      </c>
      <c r="L1704">
        <v>0</v>
      </c>
      <c r="M1704">
        <v>0</v>
      </c>
    </row>
    <row r="1705" spans="1:13">
      <c r="A1705" s="28">
        <v>384470</v>
      </c>
      <c r="B1705" t="s">
        <v>1848</v>
      </c>
      <c r="C1705">
        <v>16990</v>
      </c>
      <c r="D1705">
        <v>-10</v>
      </c>
      <c r="E1705">
        <v>-0.06</v>
      </c>
      <c r="F1705" t="s">
        <v>397</v>
      </c>
      <c r="G1705" t="s">
        <v>397</v>
      </c>
      <c r="H1705" t="s">
        <v>397</v>
      </c>
      <c r="I1705" t="s">
        <v>397</v>
      </c>
      <c r="J1705" t="s">
        <v>397</v>
      </c>
      <c r="K1705" t="s">
        <v>397</v>
      </c>
      <c r="L1705">
        <v>0</v>
      </c>
      <c r="M1705">
        <v>0</v>
      </c>
    </row>
    <row r="1706" spans="1:13">
      <c r="A1706" s="28">
        <v>196450</v>
      </c>
      <c r="B1706" t="s">
        <v>1849</v>
      </c>
      <c r="C1706">
        <v>1155</v>
      </c>
      <c r="D1706">
        <v>0</v>
      </c>
      <c r="E1706">
        <v>0</v>
      </c>
      <c r="F1706" t="s">
        <v>397</v>
      </c>
      <c r="G1706" t="s">
        <v>397</v>
      </c>
      <c r="H1706" t="s">
        <v>397</v>
      </c>
      <c r="I1706" t="s">
        <v>397</v>
      </c>
      <c r="J1706">
        <v>1822</v>
      </c>
      <c r="K1706">
        <v>0.63</v>
      </c>
      <c r="L1706">
        <v>0</v>
      </c>
      <c r="M1706">
        <v>0</v>
      </c>
    </row>
    <row r="1707" spans="1:13">
      <c r="A1707" s="28">
        <v>45970</v>
      </c>
      <c r="B1707" t="s">
        <v>1850</v>
      </c>
      <c r="C1707">
        <v>8500</v>
      </c>
      <c r="D1707">
        <v>560</v>
      </c>
      <c r="E1707">
        <v>7.05</v>
      </c>
      <c r="F1707" t="s">
        <v>397</v>
      </c>
      <c r="G1707" t="s">
        <v>397</v>
      </c>
      <c r="H1707" t="s">
        <v>397</v>
      </c>
      <c r="I1707" t="s">
        <v>397</v>
      </c>
      <c r="J1707">
        <v>2616</v>
      </c>
      <c r="K1707">
        <v>3.25</v>
      </c>
      <c r="L1707">
        <v>0</v>
      </c>
      <c r="M1707">
        <v>0</v>
      </c>
    </row>
    <row r="1708" spans="1:13">
      <c r="A1708" s="28">
        <v>166480</v>
      </c>
      <c r="B1708" t="s">
        <v>1851</v>
      </c>
      <c r="C1708">
        <v>10480</v>
      </c>
      <c r="D1708">
        <v>190</v>
      </c>
      <c r="E1708">
        <v>1.85</v>
      </c>
      <c r="F1708" t="s">
        <v>397</v>
      </c>
      <c r="G1708" t="s">
        <v>397</v>
      </c>
      <c r="H1708" t="s">
        <v>397</v>
      </c>
      <c r="I1708" t="s">
        <v>397</v>
      </c>
      <c r="J1708">
        <v>1937</v>
      </c>
      <c r="K1708">
        <v>5.41</v>
      </c>
      <c r="L1708">
        <v>0</v>
      </c>
      <c r="M1708">
        <v>0</v>
      </c>
    </row>
    <row r="1709" spans="1:13">
      <c r="A1709" s="28">
        <v>355150</v>
      </c>
      <c r="B1709" t="s">
        <v>1852</v>
      </c>
      <c r="C1709">
        <v>8830</v>
      </c>
      <c r="D1709">
        <v>-270</v>
      </c>
      <c r="E1709">
        <v>-2.97</v>
      </c>
      <c r="F1709">
        <v>40</v>
      </c>
      <c r="G1709">
        <v>220.75</v>
      </c>
      <c r="H1709" t="s">
        <v>397</v>
      </c>
      <c r="I1709" t="s">
        <v>397</v>
      </c>
      <c r="J1709">
        <v>8450</v>
      </c>
      <c r="K1709">
        <v>1.04</v>
      </c>
      <c r="L1709">
        <v>0</v>
      </c>
      <c r="M1709">
        <v>0</v>
      </c>
    </row>
    <row r="1710" spans="1:13">
      <c r="A1710" s="28">
        <v>352770</v>
      </c>
      <c r="B1710" t="s">
        <v>1853</v>
      </c>
      <c r="C1710">
        <v>1530</v>
      </c>
      <c r="D1710">
        <v>-655</v>
      </c>
      <c r="E1710">
        <v>-29.98</v>
      </c>
      <c r="F1710" t="s">
        <v>397</v>
      </c>
      <c r="G1710" t="s">
        <v>397</v>
      </c>
      <c r="H1710" t="s">
        <v>397</v>
      </c>
      <c r="I1710" t="s">
        <v>397</v>
      </c>
      <c r="J1710">
        <v>2331</v>
      </c>
      <c r="K1710">
        <v>0.66</v>
      </c>
      <c r="L1710">
        <v>0</v>
      </c>
      <c r="M1710">
        <v>0</v>
      </c>
    </row>
    <row r="1711" spans="1:13">
      <c r="A1711" s="28">
        <v>5420</v>
      </c>
      <c r="B1711" t="s">
        <v>1854</v>
      </c>
      <c r="C1711">
        <v>37300</v>
      </c>
      <c r="D1711">
        <v>0</v>
      </c>
      <c r="E1711">
        <v>0</v>
      </c>
      <c r="F1711">
        <v>329</v>
      </c>
      <c r="G1711">
        <v>113.37</v>
      </c>
      <c r="H1711" t="s">
        <v>397</v>
      </c>
      <c r="I1711" t="s">
        <v>397</v>
      </c>
      <c r="J1711">
        <v>6020</v>
      </c>
      <c r="K1711">
        <v>6.2</v>
      </c>
      <c r="L1711">
        <v>0</v>
      </c>
      <c r="M1711">
        <v>0</v>
      </c>
    </row>
    <row r="1712" spans="1:13">
      <c r="A1712" s="28">
        <v>5070</v>
      </c>
      <c r="B1712" t="s">
        <v>1855</v>
      </c>
      <c r="C1712">
        <v>177200</v>
      </c>
      <c r="D1712">
        <v>2100</v>
      </c>
      <c r="E1712">
        <v>1.2</v>
      </c>
      <c r="F1712">
        <v>901</v>
      </c>
      <c r="G1712">
        <v>196.67</v>
      </c>
      <c r="H1712">
        <v>2230</v>
      </c>
      <c r="I1712">
        <v>79.459999999999994</v>
      </c>
      <c r="J1712">
        <v>8099</v>
      </c>
      <c r="K1712">
        <v>21.88</v>
      </c>
      <c r="L1712">
        <v>0</v>
      </c>
      <c r="M1712">
        <v>0</v>
      </c>
    </row>
    <row r="1713" spans="1:13">
      <c r="A1713" s="28">
        <v>241710</v>
      </c>
      <c r="B1713" t="s">
        <v>1856</v>
      </c>
      <c r="C1713">
        <v>33450</v>
      </c>
      <c r="D1713">
        <v>750</v>
      </c>
      <c r="E1713">
        <v>2.29</v>
      </c>
      <c r="F1713">
        <v>249</v>
      </c>
      <c r="G1713">
        <v>134.34</v>
      </c>
      <c r="H1713">
        <v>3225</v>
      </c>
      <c r="I1713">
        <v>10.37</v>
      </c>
      <c r="J1713">
        <v>13732</v>
      </c>
      <c r="K1713">
        <v>2.44</v>
      </c>
      <c r="L1713">
        <v>0</v>
      </c>
      <c r="M1713">
        <v>0</v>
      </c>
    </row>
    <row r="1714" spans="1:13">
      <c r="A1714" s="28">
        <v>222040</v>
      </c>
      <c r="B1714" t="s">
        <v>1857</v>
      </c>
      <c r="C1714">
        <v>4505</v>
      </c>
      <c r="D1714">
        <v>-90</v>
      </c>
      <c r="E1714">
        <v>-1.96</v>
      </c>
      <c r="F1714" t="s">
        <v>397</v>
      </c>
      <c r="G1714" t="s">
        <v>397</v>
      </c>
      <c r="H1714">
        <v>646</v>
      </c>
      <c r="I1714">
        <v>6.97</v>
      </c>
      <c r="J1714">
        <v>2109</v>
      </c>
      <c r="K1714">
        <v>2.14</v>
      </c>
      <c r="L1714">
        <v>0</v>
      </c>
      <c r="M1714">
        <v>0</v>
      </c>
    </row>
    <row r="1715" spans="1:13">
      <c r="A1715" s="28">
        <v>44820</v>
      </c>
      <c r="B1715" t="s">
        <v>1858</v>
      </c>
      <c r="C1715">
        <v>9820</v>
      </c>
      <c r="D1715">
        <v>-10</v>
      </c>
      <c r="E1715">
        <v>-0.1</v>
      </c>
      <c r="F1715" t="s">
        <v>397</v>
      </c>
      <c r="G1715" t="s">
        <v>397</v>
      </c>
      <c r="H1715" t="s">
        <v>397</v>
      </c>
      <c r="I1715" t="s">
        <v>397</v>
      </c>
      <c r="J1715">
        <v>31502</v>
      </c>
      <c r="K1715">
        <v>0.31</v>
      </c>
      <c r="L1715">
        <v>0</v>
      </c>
      <c r="M1715">
        <v>0</v>
      </c>
    </row>
    <row r="1716" spans="1:13">
      <c r="A1716" s="28">
        <v>192820</v>
      </c>
      <c r="B1716" t="s">
        <v>1859</v>
      </c>
      <c r="C1716">
        <v>100800</v>
      </c>
      <c r="D1716">
        <v>-2500</v>
      </c>
      <c r="E1716">
        <v>-2.42</v>
      </c>
      <c r="F1716">
        <v>1838</v>
      </c>
      <c r="G1716">
        <v>54.84</v>
      </c>
      <c r="H1716">
        <v>9879</v>
      </c>
      <c r="I1716">
        <v>10.199999999999999</v>
      </c>
      <c r="J1716">
        <v>51220</v>
      </c>
      <c r="K1716">
        <v>1.97</v>
      </c>
      <c r="L1716">
        <v>0</v>
      </c>
      <c r="M1716">
        <v>0</v>
      </c>
    </row>
    <row r="1717" spans="1:13">
      <c r="A1717" s="28">
        <v>82660</v>
      </c>
      <c r="B1717" t="s">
        <v>1860</v>
      </c>
      <c r="C1717">
        <v>280</v>
      </c>
      <c r="D1717">
        <v>-3</v>
      </c>
      <c r="E1717">
        <v>-1.06</v>
      </c>
      <c r="F1717" t="s">
        <v>397</v>
      </c>
      <c r="G1717" t="s">
        <v>397</v>
      </c>
      <c r="H1717" t="s">
        <v>397</v>
      </c>
      <c r="I1717" t="s">
        <v>397</v>
      </c>
      <c r="J1717">
        <v>384</v>
      </c>
      <c r="K1717">
        <v>0.73</v>
      </c>
      <c r="L1717">
        <v>0</v>
      </c>
      <c r="M1717">
        <v>0</v>
      </c>
    </row>
    <row r="1718" spans="1:13">
      <c r="A1718" s="28">
        <v>360350</v>
      </c>
      <c r="B1718" t="s">
        <v>1861</v>
      </c>
      <c r="C1718">
        <v>27600</v>
      </c>
      <c r="D1718">
        <v>-1650</v>
      </c>
      <c r="E1718">
        <v>-5.64</v>
      </c>
      <c r="F1718">
        <v>348</v>
      </c>
      <c r="G1718">
        <v>79.31</v>
      </c>
      <c r="H1718" t="s">
        <v>397</v>
      </c>
      <c r="I1718" t="s">
        <v>397</v>
      </c>
      <c r="J1718">
        <v>2174</v>
      </c>
      <c r="K1718">
        <v>12.7</v>
      </c>
      <c r="L1718">
        <v>0</v>
      </c>
      <c r="M1718">
        <v>0</v>
      </c>
    </row>
    <row r="1719" spans="1:13">
      <c r="A1719" s="28">
        <v>448710</v>
      </c>
      <c r="B1719" t="s">
        <v>1862</v>
      </c>
      <c r="C1719">
        <v>21100</v>
      </c>
      <c r="D1719">
        <v>550</v>
      </c>
      <c r="E1719">
        <v>2.68</v>
      </c>
      <c r="F1719">
        <v>682</v>
      </c>
      <c r="G1719">
        <v>30.94</v>
      </c>
      <c r="H1719" t="s">
        <v>397</v>
      </c>
      <c r="I1719" t="s">
        <v>397</v>
      </c>
      <c r="J1719">
        <v>4912</v>
      </c>
      <c r="K1719">
        <v>4.3</v>
      </c>
      <c r="L1719">
        <v>0</v>
      </c>
      <c r="M1719">
        <v>0</v>
      </c>
    </row>
    <row r="1720" spans="1:13">
      <c r="A1720" s="28">
        <v>15710</v>
      </c>
      <c r="B1720" t="s">
        <v>1863</v>
      </c>
      <c r="C1720">
        <v>4645</v>
      </c>
      <c r="D1720">
        <v>30</v>
      </c>
      <c r="E1720">
        <v>0.65</v>
      </c>
      <c r="F1720" t="s">
        <v>397</v>
      </c>
      <c r="G1720" t="s">
        <v>397</v>
      </c>
      <c r="H1720" t="s">
        <v>397</v>
      </c>
      <c r="I1720" t="s">
        <v>397</v>
      </c>
      <c r="J1720">
        <v>7255</v>
      </c>
      <c r="K1720">
        <v>0.64</v>
      </c>
      <c r="L1720">
        <v>0</v>
      </c>
      <c r="M1720">
        <v>0</v>
      </c>
    </row>
    <row r="1721" spans="1:13">
      <c r="A1721" s="28">
        <v>36420</v>
      </c>
      <c r="B1721" t="s">
        <v>1864</v>
      </c>
      <c r="C1721">
        <v>13030</v>
      </c>
      <c r="D1721">
        <v>560</v>
      </c>
      <c r="E1721">
        <v>4.49</v>
      </c>
      <c r="F1721" t="s">
        <v>397</v>
      </c>
      <c r="G1721" t="s">
        <v>397</v>
      </c>
      <c r="H1721" t="s">
        <v>397</v>
      </c>
      <c r="I1721" t="s">
        <v>397</v>
      </c>
      <c r="J1721">
        <v>9617</v>
      </c>
      <c r="K1721">
        <v>1.35</v>
      </c>
      <c r="L1721">
        <v>0</v>
      </c>
      <c r="M1721">
        <v>0</v>
      </c>
    </row>
    <row r="1722" spans="1:13">
      <c r="A1722" s="28">
        <v>31820</v>
      </c>
      <c r="B1722" t="s">
        <v>1865</v>
      </c>
      <c r="C1722">
        <v>763</v>
      </c>
      <c r="D1722">
        <v>-13</v>
      </c>
      <c r="E1722">
        <v>-1.68</v>
      </c>
      <c r="F1722">
        <v>201</v>
      </c>
      <c r="G1722">
        <v>3.8</v>
      </c>
      <c r="H1722" t="s">
        <v>397</v>
      </c>
      <c r="I1722" t="s">
        <v>397</v>
      </c>
      <c r="J1722">
        <v>1259</v>
      </c>
      <c r="K1722">
        <v>0.61</v>
      </c>
      <c r="L1722">
        <v>0</v>
      </c>
      <c r="M1722">
        <v>0</v>
      </c>
    </row>
    <row r="1723" spans="1:13">
      <c r="A1723" s="28">
        <v>36170</v>
      </c>
      <c r="B1723" t="s">
        <v>1866</v>
      </c>
      <c r="C1723">
        <v>850</v>
      </c>
      <c r="D1723">
        <v>-17</v>
      </c>
      <c r="E1723">
        <v>-1.96</v>
      </c>
      <c r="F1723">
        <v>70</v>
      </c>
      <c r="G1723">
        <v>12.14</v>
      </c>
      <c r="H1723" t="s">
        <v>397</v>
      </c>
      <c r="I1723" t="s">
        <v>397</v>
      </c>
      <c r="J1723">
        <v>1836</v>
      </c>
      <c r="K1723">
        <v>0.46</v>
      </c>
      <c r="L1723">
        <v>0</v>
      </c>
      <c r="M1723">
        <v>0</v>
      </c>
    </row>
    <row r="1724" spans="1:13">
      <c r="A1724" s="28">
        <v>45520</v>
      </c>
      <c r="B1724" t="s">
        <v>1867</v>
      </c>
      <c r="C1724">
        <v>6820</v>
      </c>
      <c r="D1724">
        <v>-50</v>
      </c>
      <c r="E1724">
        <v>-0.73</v>
      </c>
      <c r="F1724" t="s">
        <v>397</v>
      </c>
      <c r="G1724" t="s">
        <v>397</v>
      </c>
      <c r="H1724" t="s">
        <v>397</v>
      </c>
      <c r="I1724" t="s">
        <v>397</v>
      </c>
      <c r="J1724">
        <v>4443</v>
      </c>
      <c r="K1724">
        <v>1.53</v>
      </c>
      <c r="L1724">
        <v>0</v>
      </c>
      <c r="M1724">
        <v>0</v>
      </c>
    </row>
    <row r="1725" spans="1:13">
      <c r="A1725" s="28">
        <v>259960</v>
      </c>
      <c r="B1725" t="s">
        <v>1868</v>
      </c>
      <c r="C1725">
        <v>230500</v>
      </c>
      <c r="D1725">
        <v>-4500</v>
      </c>
      <c r="E1725">
        <v>-1.91</v>
      </c>
      <c r="F1725">
        <v>10666</v>
      </c>
      <c r="G1725">
        <v>21.61</v>
      </c>
      <c r="H1725">
        <v>13798</v>
      </c>
      <c r="I1725">
        <v>16.7</v>
      </c>
      <c r="J1725">
        <v>108962</v>
      </c>
      <c r="K1725">
        <v>2.12</v>
      </c>
      <c r="L1725">
        <v>0</v>
      </c>
      <c r="M1725">
        <v>0</v>
      </c>
    </row>
    <row r="1726" spans="1:13">
      <c r="A1726" s="28">
        <v>355390</v>
      </c>
      <c r="B1726" t="s">
        <v>1869</v>
      </c>
      <c r="C1726">
        <v>38550</v>
      </c>
      <c r="D1726">
        <v>-1050</v>
      </c>
      <c r="E1726">
        <v>-2.65</v>
      </c>
      <c r="F1726" t="s">
        <v>397</v>
      </c>
      <c r="G1726" t="s">
        <v>397</v>
      </c>
      <c r="H1726" t="s">
        <v>397</v>
      </c>
      <c r="I1726" t="s">
        <v>397</v>
      </c>
      <c r="J1726" t="s">
        <v>397</v>
      </c>
      <c r="K1726" t="s">
        <v>397</v>
      </c>
      <c r="L1726">
        <v>0</v>
      </c>
      <c r="M1726">
        <v>0</v>
      </c>
    </row>
    <row r="1727" spans="1:13">
      <c r="A1727" s="28">
        <v>16600</v>
      </c>
      <c r="B1727" t="s">
        <v>1870</v>
      </c>
      <c r="C1727">
        <v>324</v>
      </c>
      <c r="D1727">
        <v>-3</v>
      </c>
      <c r="E1727">
        <v>-0.92</v>
      </c>
      <c r="F1727" t="s">
        <v>397</v>
      </c>
      <c r="G1727" t="s">
        <v>397</v>
      </c>
      <c r="H1727" t="s">
        <v>397</v>
      </c>
      <c r="I1727" t="s">
        <v>397</v>
      </c>
      <c r="J1727">
        <v>730</v>
      </c>
      <c r="K1727">
        <v>0.44</v>
      </c>
      <c r="L1727">
        <v>0</v>
      </c>
      <c r="M1727">
        <v>0</v>
      </c>
    </row>
    <row r="1728" spans="1:13">
      <c r="A1728" s="28">
        <v>182360</v>
      </c>
      <c r="B1728" t="s">
        <v>1871</v>
      </c>
      <c r="C1728">
        <v>15490</v>
      </c>
      <c r="D1728">
        <v>-240</v>
      </c>
      <c r="E1728">
        <v>-1.53</v>
      </c>
      <c r="F1728">
        <v>446</v>
      </c>
      <c r="G1728">
        <v>34.729999999999997</v>
      </c>
      <c r="H1728" t="s">
        <v>397</v>
      </c>
      <c r="I1728" t="s">
        <v>397</v>
      </c>
      <c r="J1728">
        <v>2812</v>
      </c>
      <c r="K1728">
        <v>5.51</v>
      </c>
      <c r="L1728">
        <v>0</v>
      </c>
      <c r="M1728">
        <v>0</v>
      </c>
    </row>
    <row r="1729" spans="1:13">
      <c r="A1729" s="28">
        <v>445680</v>
      </c>
      <c r="B1729" t="s">
        <v>1872</v>
      </c>
      <c r="C1729">
        <v>40200</v>
      </c>
      <c r="D1729">
        <v>-750</v>
      </c>
      <c r="E1729">
        <v>-1.83</v>
      </c>
      <c r="F1729" t="s">
        <v>397</v>
      </c>
      <c r="G1729" t="s">
        <v>397</v>
      </c>
      <c r="H1729" t="s">
        <v>397</v>
      </c>
      <c r="I1729" t="s">
        <v>397</v>
      </c>
      <c r="J1729">
        <v>6676</v>
      </c>
      <c r="K1729">
        <v>6.02</v>
      </c>
      <c r="L1729">
        <v>0</v>
      </c>
      <c r="M1729">
        <v>0</v>
      </c>
    </row>
    <row r="1730" spans="1:13">
      <c r="A1730" s="28">
        <v>115180</v>
      </c>
      <c r="B1730" t="s">
        <v>1873</v>
      </c>
      <c r="C1730">
        <v>4470</v>
      </c>
      <c r="D1730">
        <v>0</v>
      </c>
      <c r="E1730">
        <v>0</v>
      </c>
      <c r="F1730" t="s">
        <v>397</v>
      </c>
      <c r="G1730" t="s">
        <v>397</v>
      </c>
      <c r="H1730" t="s">
        <v>397</v>
      </c>
      <c r="I1730" t="s">
        <v>397</v>
      </c>
      <c r="J1730">
        <v>1770</v>
      </c>
      <c r="K1730">
        <v>2.5299999999999998</v>
      </c>
      <c r="L1730">
        <v>0</v>
      </c>
      <c r="M1730">
        <v>0</v>
      </c>
    </row>
    <row r="1731" spans="1:13">
      <c r="A1731" s="28">
        <v>51780</v>
      </c>
      <c r="B1731" t="s">
        <v>1874</v>
      </c>
      <c r="C1731">
        <v>304</v>
      </c>
      <c r="D1731">
        <v>2</v>
      </c>
      <c r="E1731">
        <v>0.66</v>
      </c>
      <c r="F1731" t="s">
        <v>397</v>
      </c>
      <c r="G1731" t="s">
        <v>397</v>
      </c>
      <c r="H1731" t="s">
        <v>397</v>
      </c>
      <c r="I1731" t="s">
        <v>397</v>
      </c>
      <c r="J1731">
        <v>298</v>
      </c>
      <c r="K1731">
        <v>1.02</v>
      </c>
      <c r="L1731">
        <v>0</v>
      </c>
      <c r="M1731">
        <v>0</v>
      </c>
    </row>
    <row r="1732" spans="1:13">
      <c r="A1732" s="28">
        <v>40350</v>
      </c>
      <c r="B1732" t="s">
        <v>1875</v>
      </c>
      <c r="C1732">
        <v>424</v>
      </c>
      <c r="D1732">
        <v>11</v>
      </c>
      <c r="E1732">
        <v>2.66</v>
      </c>
      <c r="F1732" t="s">
        <v>397</v>
      </c>
      <c r="G1732" t="s">
        <v>397</v>
      </c>
      <c r="H1732" t="s">
        <v>397</v>
      </c>
      <c r="I1732" t="s">
        <v>397</v>
      </c>
      <c r="J1732">
        <v>308</v>
      </c>
      <c r="K1732">
        <v>1.38</v>
      </c>
      <c r="L1732">
        <v>0</v>
      </c>
      <c r="M1732">
        <v>0</v>
      </c>
    </row>
    <row r="1733" spans="1:13">
      <c r="A1733" s="28">
        <v>372320</v>
      </c>
      <c r="B1733" t="s">
        <v>1876</v>
      </c>
      <c r="C1733">
        <v>34500</v>
      </c>
      <c r="D1733">
        <v>-1800</v>
      </c>
      <c r="E1733">
        <v>-4.96</v>
      </c>
      <c r="F1733" t="s">
        <v>397</v>
      </c>
      <c r="G1733" t="s">
        <v>397</v>
      </c>
      <c r="H1733" t="s">
        <v>397</v>
      </c>
      <c r="I1733" t="s">
        <v>397</v>
      </c>
      <c r="J1733" t="s">
        <v>397</v>
      </c>
      <c r="K1733" t="s">
        <v>397</v>
      </c>
      <c r="L1733">
        <v>0</v>
      </c>
      <c r="M1733">
        <v>0</v>
      </c>
    </row>
    <row r="1734" spans="1:13">
      <c r="A1734" s="28">
        <v>60280</v>
      </c>
      <c r="B1734" t="s">
        <v>1877</v>
      </c>
      <c r="C1734">
        <v>13880</v>
      </c>
      <c r="D1734">
        <v>-330</v>
      </c>
      <c r="E1734">
        <v>-2.3199999999999998</v>
      </c>
      <c r="F1734" t="s">
        <v>397</v>
      </c>
      <c r="G1734" t="s">
        <v>397</v>
      </c>
      <c r="H1734" t="s">
        <v>397</v>
      </c>
      <c r="I1734" t="s">
        <v>397</v>
      </c>
      <c r="J1734">
        <v>2099</v>
      </c>
      <c r="K1734">
        <v>6.61</v>
      </c>
      <c r="L1734">
        <v>0</v>
      </c>
      <c r="M1734">
        <v>0</v>
      </c>
    </row>
    <row r="1735" spans="1:13">
      <c r="A1735" s="28">
        <v>348080</v>
      </c>
      <c r="B1735" t="s">
        <v>1878</v>
      </c>
      <c r="C1735">
        <v>1983</v>
      </c>
      <c r="D1735">
        <v>65</v>
      </c>
      <c r="E1735">
        <v>3.39</v>
      </c>
      <c r="F1735" t="s">
        <v>397</v>
      </c>
      <c r="G1735" t="s">
        <v>397</v>
      </c>
      <c r="H1735" t="s">
        <v>397</v>
      </c>
      <c r="I1735" t="s">
        <v>397</v>
      </c>
      <c r="J1735" t="s">
        <v>397</v>
      </c>
      <c r="K1735" t="s">
        <v>397</v>
      </c>
      <c r="L1735">
        <v>0</v>
      </c>
      <c r="M1735">
        <v>0</v>
      </c>
    </row>
    <row r="1736" spans="1:13">
      <c r="A1736" s="28">
        <v>365270</v>
      </c>
      <c r="B1736" t="s">
        <v>1879</v>
      </c>
      <c r="C1736">
        <v>14830</v>
      </c>
      <c r="D1736">
        <v>-320</v>
      </c>
      <c r="E1736">
        <v>-2.11</v>
      </c>
      <c r="F1736" t="s">
        <v>397</v>
      </c>
      <c r="G1736" t="s">
        <v>397</v>
      </c>
      <c r="H1736" t="s">
        <v>397</v>
      </c>
      <c r="I1736" t="s">
        <v>397</v>
      </c>
      <c r="J1736">
        <v>3335</v>
      </c>
      <c r="K1736">
        <v>4.45</v>
      </c>
      <c r="L1736">
        <v>0</v>
      </c>
      <c r="M1736">
        <v>0</v>
      </c>
    </row>
    <row r="1737" spans="1:13">
      <c r="A1737" s="28">
        <v>432720</v>
      </c>
      <c r="B1737" t="s">
        <v>1880</v>
      </c>
      <c r="C1737">
        <v>39250</v>
      </c>
      <c r="D1737">
        <v>2100</v>
      </c>
      <c r="E1737">
        <v>5.65</v>
      </c>
      <c r="F1737" t="s">
        <v>397</v>
      </c>
      <c r="G1737" t="s">
        <v>397</v>
      </c>
      <c r="H1737" t="s">
        <v>397</v>
      </c>
      <c r="I1737" t="s">
        <v>397</v>
      </c>
      <c r="J1737" t="s">
        <v>397</v>
      </c>
      <c r="K1737" t="s">
        <v>397</v>
      </c>
      <c r="L1737">
        <v>0</v>
      </c>
      <c r="M1737">
        <v>0</v>
      </c>
    </row>
    <row r="1738" spans="1:13">
      <c r="A1738" s="28">
        <v>78940</v>
      </c>
      <c r="B1738" t="s">
        <v>1881</v>
      </c>
      <c r="C1738">
        <v>2855</v>
      </c>
      <c r="D1738">
        <v>0</v>
      </c>
      <c r="E1738">
        <v>0</v>
      </c>
      <c r="F1738" t="s">
        <v>397</v>
      </c>
      <c r="G1738" t="s">
        <v>397</v>
      </c>
      <c r="H1738" t="s">
        <v>397</v>
      </c>
      <c r="I1738" t="s">
        <v>397</v>
      </c>
      <c r="J1738">
        <v>524</v>
      </c>
      <c r="K1738">
        <v>5.45</v>
      </c>
      <c r="L1738">
        <v>0</v>
      </c>
      <c r="M1738">
        <v>0</v>
      </c>
    </row>
    <row r="1739" spans="1:13">
      <c r="A1739" s="28">
        <v>317690</v>
      </c>
      <c r="B1739" t="s">
        <v>1882</v>
      </c>
      <c r="C1739">
        <v>4200</v>
      </c>
      <c r="D1739">
        <v>-50</v>
      </c>
      <c r="E1739">
        <v>-1.18</v>
      </c>
      <c r="F1739" t="s">
        <v>397</v>
      </c>
      <c r="G1739" t="s">
        <v>397</v>
      </c>
      <c r="H1739" t="s">
        <v>397</v>
      </c>
      <c r="I1739" t="s">
        <v>397</v>
      </c>
      <c r="J1739">
        <v>2420</v>
      </c>
      <c r="K1739">
        <v>1.74</v>
      </c>
      <c r="L1739">
        <v>0</v>
      </c>
      <c r="M1739">
        <v>0</v>
      </c>
    </row>
    <row r="1740" spans="1:13">
      <c r="A1740" s="28">
        <v>130740</v>
      </c>
      <c r="B1740" t="s">
        <v>1883</v>
      </c>
      <c r="C1740">
        <v>2850</v>
      </c>
      <c r="D1740">
        <v>0</v>
      </c>
      <c r="E1740">
        <v>0</v>
      </c>
      <c r="F1740" t="s">
        <v>397</v>
      </c>
      <c r="G1740" t="s">
        <v>397</v>
      </c>
      <c r="H1740" t="s">
        <v>397</v>
      </c>
      <c r="I1740" t="s">
        <v>397</v>
      </c>
      <c r="J1740">
        <v>5508</v>
      </c>
      <c r="K1740">
        <v>0.52</v>
      </c>
      <c r="L1740">
        <v>0</v>
      </c>
      <c r="M1740">
        <v>0</v>
      </c>
    </row>
    <row r="1741" spans="1:13">
      <c r="A1741" s="28">
        <v>10780</v>
      </c>
      <c r="B1741" t="s">
        <v>1884</v>
      </c>
      <c r="C1741">
        <v>28500</v>
      </c>
      <c r="D1741">
        <v>150</v>
      </c>
      <c r="E1741">
        <v>0.53</v>
      </c>
      <c r="F1741">
        <v>6426</v>
      </c>
      <c r="G1741">
        <v>4.4400000000000004</v>
      </c>
      <c r="H1741">
        <v>3694</v>
      </c>
      <c r="I1741">
        <v>7.72</v>
      </c>
      <c r="J1741">
        <v>46278</v>
      </c>
      <c r="K1741">
        <v>0.62</v>
      </c>
      <c r="L1741">
        <v>0</v>
      </c>
      <c r="M1741">
        <v>0</v>
      </c>
    </row>
    <row r="1742" spans="1:13">
      <c r="A1742" s="28">
        <v>388720</v>
      </c>
      <c r="B1742" t="s">
        <v>1885</v>
      </c>
      <c r="C1742">
        <v>30200</v>
      </c>
      <c r="D1742">
        <v>200</v>
      </c>
      <c r="E1742">
        <v>0.67</v>
      </c>
      <c r="F1742" t="s">
        <v>397</v>
      </c>
      <c r="G1742" t="s">
        <v>397</v>
      </c>
      <c r="H1742" t="s">
        <v>397</v>
      </c>
      <c r="I1742" t="s">
        <v>397</v>
      </c>
      <c r="J1742">
        <v>4649</v>
      </c>
      <c r="K1742">
        <v>6.5</v>
      </c>
      <c r="L1742">
        <v>0</v>
      </c>
      <c r="M1742">
        <v>0</v>
      </c>
    </row>
    <row r="1743" spans="1:13">
      <c r="A1743" s="28">
        <v>42510</v>
      </c>
      <c r="B1743" t="s">
        <v>1886</v>
      </c>
      <c r="C1743">
        <v>2385</v>
      </c>
      <c r="D1743">
        <v>0</v>
      </c>
      <c r="E1743">
        <v>0</v>
      </c>
      <c r="F1743">
        <v>172</v>
      </c>
      <c r="G1743">
        <v>13.87</v>
      </c>
      <c r="H1743" t="s">
        <v>397</v>
      </c>
      <c r="I1743" t="s">
        <v>397</v>
      </c>
      <c r="J1743">
        <v>983</v>
      </c>
      <c r="K1743">
        <v>2.4300000000000002</v>
      </c>
      <c r="L1743">
        <v>0</v>
      </c>
      <c r="M1743">
        <v>0</v>
      </c>
    </row>
    <row r="1744" spans="1:13">
      <c r="A1744" s="28">
        <v>443250</v>
      </c>
      <c r="B1744" t="s">
        <v>1887</v>
      </c>
      <c r="C1744">
        <v>11940</v>
      </c>
      <c r="D1744">
        <v>140</v>
      </c>
      <c r="E1744">
        <v>1.19</v>
      </c>
      <c r="F1744">
        <v>17</v>
      </c>
      <c r="G1744">
        <v>702.35</v>
      </c>
      <c r="H1744">
        <v>765</v>
      </c>
      <c r="I1744">
        <v>15.6</v>
      </c>
      <c r="J1744">
        <v>2754</v>
      </c>
      <c r="K1744">
        <v>4.34</v>
      </c>
      <c r="L1744">
        <v>0</v>
      </c>
      <c r="M1744">
        <v>0</v>
      </c>
    </row>
    <row r="1745" spans="1:13">
      <c r="A1745" s="28">
        <v>294140</v>
      </c>
      <c r="B1745" t="s">
        <v>1888</v>
      </c>
      <c r="C1745">
        <v>1620</v>
      </c>
      <c r="D1745">
        <v>-25</v>
      </c>
      <c r="E1745">
        <v>-1.52</v>
      </c>
      <c r="F1745" t="s">
        <v>397</v>
      </c>
      <c r="G1745" t="s">
        <v>397</v>
      </c>
      <c r="H1745" t="s">
        <v>397</v>
      </c>
      <c r="I1745" t="s">
        <v>397</v>
      </c>
      <c r="J1745">
        <v>306</v>
      </c>
      <c r="K1745">
        <v>5.29</v>
      </c>
      <c r="L1745">
        <v>0</v>
      </c>
      <c r="M1745">
        <v>0</v>
      </c>
    </row>
    <row r="1746" spans="1:13">
      <c r="A1746" s="28">
        <v>141080</v>
      </c>
      <c r="B1746" t="s">
        <v>1889</v>
      </c>
      <c r="C1746">
        <v>69000</v>
      </c>
      <c r="D1746">
        <v>-4300</v>
      </c>
      <c r="E1746">
        <v>-5.87</v>
      </c>
      <c r="F1746" t="s">
        <v>397</v>
      </c>
      <c r="G1746" t="s">
        <v>397</v>
      </c>
      <c r="H1746" t="s">
        <v>397</v>
      </c>
      <c r="I1746" t="s">
        <v>397</v>
      </c>
      <c r="J1746">
        <v>8611</v>
      </c>
      <c r="K1746">
        <v>8.01</v>
      </c>
      <c r="L1746">
        <v>0</v>
      </c>
      <c r="M1746">
        <v>0</v>
      </c>
    </row>
    <row r="1747" spans="1:13">
      <c r="A1747" s="28">
        <v>84650</v>
      </c>
      <c r="B1747" t="s">
        <v>1890</v>
      </c>
      <c r="C1747">
        <v>3200</v>
      </c>
      <c r="D1747">
        <v>40</v>
      </c>
      <c r="E1747">
        <v>1.27</v>
      </c>
      <c r="F1747">
        <v>715</v>
      </c>
      <c r="G1747">
        <v>4.4800000000000004</v>
      </c>
      <c r="H1747">
        <v>85</v>
      </c>
      <c r="I1747">
        <v>37.71</v>
      </c>
      <c r="J1747">
        <v>3079</v>
      </c>
      <c r="K1747">
        <v>1.04</v>
      </c>
      <c r="L1747">
        <v>0</v>
      </c>
      <c r="M1747">
        <v>0</v>
      </c>
    </row>
    <row r="1748" spans="1:13">
      <c r="A1748" s="28">
        <v>171010</v>
      </c>
      <c r="B1748" t="s">
        <v>1891</v>
      </c>
      <c r="C1748">
        <v>4710</v>
      </c>
      <c r="D1748">
        <v>-65</v>
      </c>
      <c r="E1748">
        <v>-1.36</v>
      </c>
      <c r="F1748">
        <v>436</v>
      </c>
      <c r="G1748">
        <v>10.8</v>
      </c>
      <c r="H1748" t="s">
        <v>397</v>
      </c>
      <c r="I1748" t="s">
        <v>397</v>
      </c>
      <c r="J1748">
        <v>3731</v>
      </c>
      <c r="K1748">
        <v>1.26</v>
      </c>
      <c r="L1748">
        <v>0</v>
      </c>
      <c r="M1748">
        <v>0</v>
      </c>
    </row>
    <row r="1749" spans="1:13">
      <c r="A1749" s="28">
        <v>200350</v>
      </c>
      <c r="B1749" t="s">
        <v>1892</v>
      </c>
      <c r="C1749">
        <v>18010</v>
      </c>
      <c r="D1749">
        <v>-2540</v>
      </c>
      <c r="E1749">
        <v>-12.36</v>
      </c>
      <c r="F1749" t="s">
        <v>397</v>
      </c>
      <c r="G1749" t="s">
        <v>397</v>
      </c>
      <c r="H1749" t="s">
        <v>397</v>
      </c>
      <c r="I1749" t="s">
        <v>397</v>
      </c>
      <c r="J1749">
        <v>6554</v>
      </c>
      <c r="K1749">
        <v>2.75</v>
      </c>
      <c r="L1749">
        <v>0</v>
      </c>
      <c r="M1749">
        <v>0</v>
      </c>
    </row>
    <row r="1750" spans="1:13">
      <c r="A1750" s="28">
        <v>214260</v>
      </c>
      <c r="B1750" t="s">
        <v>1893</v>
      </c>
      <c r="C1750">
        <v>17000</v>
      </c>
      <c r="D1750">
        <v>-50</v>
      </c>
      <c r="E1750">
        <v>-0.28999999999999998</v>
      </c>
      <c r="F1750" t="s">
        <v>397</v>
      </c>
      <c r="G1750" t="s">
        <v>397</v>
      </c>
      <c r="H1750" t="s">
        <v>397</v>
      </c>
      <c r="I1750" t="s">
        <v>397</v>
      </c>
      <c r="J1750">
        <v>4840</v>
      </c>
      <c r="K1750">
        <v>3.51</v>
      </c>
      <c r="L1750">
        <v>0</v>
      </c>
      <c r="M1750">
        <v>0</v>
      </c>
    </row>
    <row r="1751" spans="1:13">
      <c r="A1751" s="28">
        <v>347700</v>
      </c>
      <c r="B1751" t="s">
        <v>1894</v>
      </c>
      <c r="C1751">
        <v>2120</v>
      </c>
      <c r="D1751">
        <v>-20</v>
      </c>
      <c r="E1751">
        <v>-0.93</v>
      </c>
      <c r="F1751" t="s">
        <v>397</v>
      </c>
      <c r="G1751" t="s">
        <v>397</v>
      </c>
      <c r="H1751" t="s">
        <v>397</v>
      </c>
      <c r="I1751" t="s">
        <v>397</v>
      </c>
      <c r="J1751">
        <v>837</v>
      </c>
      <c r="K1751">
        <v>2.5299999999999998</v>
      </c>
      <c r="L1751">
        <v>0</v>
      </c>
      <c r="M1751">
        <v>0</v>
      </c>
    </row>
    <row r="1752" spans="1:13">
      <c r="A1752" s="28">
        <v>69540</v>
      </c>
      <c r="B1752" t="s">
        <v>1895</v>
      </c>
      <c r="C1752">
        <v>2315</v>
      </c>
      <c r="D1752">
        <v>135</v>
      </c>
      <c r="E1752">
        <v>6.19</v>
      </c>
      <c r="F1752" t="s">
        <v>397</v>
      </c>
      <c r="G1752" t="s">
        <v>397</v>
      </c>
      <c r="H1752" t="s">
        <v>397</v>
      </c>
      <c r="I1752" t="s">
        <v>397</v>
      </c>
      <c r="J1752">
        <v>2214</v>
      </c>
      <c r="K1752">
        <v>1.05</v>
      </c>
      <c r="L1752">
        <v>0</v>
      </c>
      <c r="M1752">
        <v>0</v>
      </c>
    </row>
    <row r="1753" spans="1:13">
      <c r="A1753" s="28">
        <v>388790</v>
      </c>
      <c r="B1753" t="s">
        <v>1896</v>
      </c>
      <c r="C1753">
        <v>1905</v>
      </c>
      <c r="D1753">
        <v>5</v>
      </c>
      <c r="E1753">
        <v>0.26</v>
      </c>
      <c r="F1753" t="s">
        <v>397</v>
      </c>
      <c r="G1753" t="s">
        <v>397</v>
      </c>
      <c r="H1753" t="s">
        <v>397</v>
      </c>
      <c r="I1753" t="s">
        <v>397</v>
      </c>
      <c r="J1753">
        <v>1902</v>
      </c>
      <c r="K1753">
        <v>1</v>
      </c>
      <c r="L1753">
        <v>0</v>
      </c>
      <c r="M1753">
        <v>0</v>
      </c>
    </row>
    <row r="1754" spans="1:13">
      <c r="A1754" s="28">
        <v>418420</v>
      </c>
      <c r="B1754" t="s">
        <v>1897</v>
      </c>
      <c r="C1754">
        <v>6190</v>
      </c>
      <c r="D1754">
        <v>-110</v>
      </c>
      <c r="E1754">
        <v>-1.75</v>
      </c>
      <c r="F1754">
        <v>23</v>
      </c>
      <c r="G1754">
        <v>269.13</v>
      </c>
      <c r="H1754" t="s">
        <v>397</v>
      </c>
      <c r="I1754" t="s">
        <v>397</v>
      </c>
      <c r="J1754">
        <v>300</v>
      </c>
      <c r="K1754">
        <v>20.63</v>
      </c>
      <c r="L1754">
        <v>0</v>
      </c>
      <c r="M1754">
        <v>0</v>
      </c>
    </row>
    <row r="1755" spans="1:13">
      <c r="A1755" s="28">
        <v>317120</v>
      </c>
      <c r="B1755" t="s">
        <v>1898</v>
      </c>
      <c r="C1755">
        <v>3590</v>
      </c>
      <c r="D1755">
        <v>-140</v>
      </c>
      <c r="E1755">
        <v>-3.75</v>
      </c>
      <c r="F1755" t="s">
        <v>397</v>
      </c>
      <c r="G1755" t="s">
        <v>397</v>
      </c>
      <c r="H1755" t="s">
        <v>397</v>
      </c>
      <c r="I1755" t="s">
        <v>397</v>
      </c>
      <c r="J1755">
        <v>1487</v>
      </c>
      <c r="K1755">
        <v>2.41</v>
      </c>
      <c r="L1755">
        <v>0</v>
      </c>
      <c r="M1755">
        <v>0</v>
      </c>
    </row>
    <row r="1756" spans="1:13">
      <c r="A1756" s="28">
        <v>412350</v>
      </c>
      <c r="B1756" t="s">
        <v>1899</v>
      </c>
      <c r="C1756">
        <v>8500</v>
      </c>
      <c r="D1756">
        <v>-160</v>
      </c>
      <c r="E1756">
        <v>-1.85</v>
      </c>
      <c r="F1756" t="s">
        <v>397</v>
      </c>
      <c r="G1756" t="s">
        <v>397</v>
      </c>
      <c r="H1756" t="s">
        <v>397</v>
      </c>
      <c r="I1756" t="s">
        <v>397</v>
      </c>
      <c r="J1756">
        <v>4176</v>
      </c>
      <c r="K1756">
        <v>2.04</v>
      </c>
      <c r="L1756">
        <v>0</v>
      </c>
      <c r="M1756">
        <v>0</v>
      </c>
    </row>
    <row r="1757" spans="1:13">
      <c r="A1757" s="28">
        <v>315640</v>
      </c>
      <c r="B1757" t="s">
        <v>1900</v>
      </c>
      <c r="C1757">
        <v>17870</v>
      </c>
      <c r="D1757">
        <v>750</v>
      </c>
      <c r="E1757">
        <v>4.38</v>
      </c>
      <c r="F1757" t="s">
        <v>397</v>
      </c>
      <c r="G1757" t="s">
        <v>397</v>
      </c>
      <c r="H1757">
        <v>536</v>
      </c>
      <c r="I1757">
        <v>33.36</v>
      </c>
      <c r="J1757">
        <v>1039</v>
      </c>
      <c r="K1757">
        <v>17.2</v>
      </c>
      <c r="L1757">
        <v>0</v>
      </c>
      <c r="M1757">
        <v>0</v>
      </c>
    </row>
    <row r="1758" spans="1:13">
      <c r="A1758" s="28">
        <v>383930</v>
      </c>
      <c r="B1758" t="s">
        <v>1901</v>
      </c>
      <c r="C1758">
        <v>12300</v>
      </c>
      <c r="D1758">
        <v>300</v>
      </c>
      <c r="E1758">
        <v>2.5</v>
      </c>
      <c r="F1758">
        <v>517</v>
      </c>
      <c r="G1758">
        <v>23.79</v>
      </c>
      <c r="H1758" t="s">
        <v>397</v>
      </c>
      <c r="I1758" t="s">
        <v>397</v>
      </c>
      <c r="J1758">
        <v>3668</v>
      </c>
      <c r="K1758">
        <v>3.35</v>
      </c>
      <c r="L1758">
        <v>0</v>
      </c>
      <c r="M1758">
        <v>0</v>
      </c>
    </row>
    <row r="1759" spans="1:13">
      <c r="A1759" s="28">
        <v>187220</v>
      </c>
      <c r="B1759" t="s">
        <v>1902</v>
      </c>
      <c r="C1759">
        <v>4755</v>
      </c>
      <c r="D1759">
        <v>45</v>
      </c>
      <c r="E1759">
        <v>0.96</v>
      </c>
      <c r="F1759">
        <v>124</v>
      </c>
      <c r="G1759">
        <v>38.35</v>
      </c>
      <c r="H1759" t="s">
        <v>397</v>
      </c>
      <c r="I1759" t="s">
        <v>397</v>
      </c>
      <c r="J1759">
        <v>8768</v>
      </c>
      <c r="K1759">
        <v>0.54</v>
      </c>
      <c r="L1759">
        <v>0</v>
      </c>
      <c r="M1759">
        <v>0</v>
      </c>
    </row>
    <row r="1760" spans="1:13">
      <c r="A1760" s="28">
        <v>290550</v>
      </c>
      <c r="B1760" t="s">
        <v>1903</v>
      </c>
      <c r="C1760">
        <v>9030</v>
      </c>
      <c r="D1760">
        <v>-160</v>
      </c>
      <c r="E1760">
        <v>-1.74</v>
      </c>
      <c r="F1760">
        <v>1193</v>
      </c>
      <c r="G1760">
        <v>7.57</v>
      </c>
      <c r="H1760">
        <v>1405</v>
      </c>
      <c r="I1760">
        <v>6.43</v>
      </c>
      <c r="J1760">
        <v>6123</v>
      </c>
      <c r="K1760">
        <v>1.47</v>
      </c>
      <c r="L1760">
        <v>0</v>
      </c>
      <c r="M1760">
        <v>0</v>
      </c>
    </row>
    <row r="1761" spans="1:13">
      <c r="A1761" s="28">
        <v>43360</v>
      </c>
      <c r="B1761" t="s">
        <v>1904</v>
      </c>
      <c r="C1761">
        <v>2695</v>
      </c>
      <c r="D1761">
        <v>60</v>
      </c>
      <c r="E1761">
        <v>2.2799999999999998</v>
      </c>
      <c r="F1761">
        <v>77</v>
      </c>
      <c r="G1761">
        <v>35</v>
      </c>
      <c r="H1761" t="s">
        <v>397</v>
      </c>
      <c r="I1761" t="s">
        <v>397</v>
      </c>
      <c r="J1761">
        <v>5011</v>
      </c>
      <c r="K1761">
        <v>0.54</v>
      </c>
      <c r="L1761">
        <v>0</v>
      </c>
      <c r="M1761">
        <v>0</v>
      </c>
    </row>
    <row r="1762" spans="1:13">
      <c r="A1762" s="28">
        <v>113810</v>
      </c>
      <c r="B1762" t="s">
        <v>1905</v>
      </c>
      <c r="C1762">
        <v>1030</v>
      </c>
      <c r="D1762">
        <v>5</v>
      </c>
      <c r="E1762">
        <v>0.49</v>
      </c>
      <c r="F1762" t="s">
        <v>397</v>
      </c>
      <c r="G1762" t="s">
        <v>397</v>
      </c>
      <c r="H1762" t="s">
        <v>397</v>
      </c>
      <c r="I1762" t="s">
        <v>397</v>
      </c>
      <c r="J1762">
        <v>499</v>
      </c>
      <c r="K1762">
        <v>2.06</v>
      </c>
      <c r="L1762">
        <v>0</v>
      </c>
      <c r="M1762">
        <v>0</v>
      </c>
    </row>
    <row r="1763" spans="1:13">
      <c r="A1763" s="28">
        <v>79810</v>
      </c>
      <c r="B1763" t="s">
        <v>1906</v>
      </c>
      <c r="C1763">
        <v>14710</v>
      </c>
      <c r="D1763">
        <v>-440</v>
      </c>
      <c r="E1763">
        <v>-2.9</v>
      </c>
      <c r="F1763" t="s">
        <v>397</v>
      </c>
      <c r="G1763" t="s">
        <v>397</v>
      </c>
      <c r="H1763" t="s">
        <v>397</v>
      </c>
      <c r="I1763" t="s">
        <v>397</v>
      </c>
      <c r="J1763">
        <v>1332</v>
      </c>
      <c r="K1763">
        <v>11.04</v>
      </c>
      <c r="L1763">
        <v>0</v>
      </c>
      <c r="M1763">
        <v>0</v>
      </c>
    </row>
    <row r="1764" spans="1:13">
      <c r="A1764" s="28">
        <v>310870</v>
      </c>
      <c r="B1764" t="s">
        <v>1907</v>
      </c>
      <c r="C1764">
        <v>1582</v>
      </c>
      <c r="D1764">
        <v>-34</v>
      </c>
      <c r="E1764">
        <v>-2.1</v>
      </c>
      <c r="F1764">
        <v>210</v>
      </c>
      <c r="G1764">
        <v>7.53</v>
      </c>
      <c r="H1764" t="s">
        <v>397</v>
      </c>
      <c r="I1764" t="s">
        <v>397</v>
      </c>
      <c r="J1764">
        <v>2247</v>
      </c>
      <c r="K1764">
        <v>0.7</v>
      </c>
      <c r="L1764">
        <v>0</v>
      </c>
      <c r="M1764">
        <v>0</v>
      </c>
    </row>
    <row r="1765" spans="1:13">
      <c r="A1765" s="28">
        <v>219550</v>
      </c>
      <c r="B1765" t="s">
        <v>1908</v>
      </c>
      <c r="C1765">
        <v>1033</v>
      </c>
      <c r="D1765">
        <v>174</v>
      </c>
      <c r="E1765">
        <v>20.260000000000002</v>
      </c>
      <c r="F1765">
        <v>30</v>
      </c>
      <c r="G1765">
        <v>34.43</v>
      </c>
      <c r="H1765" t="s">
        <v>397</v>
      </c>
      <c r="I1765" t="s">
        <v>397</v>
      </c>
      <c r="J1765">
        <v>1217</v>
      </c>
      <c r="K1765">
        <v>0.85</v>
      </c>
      <c r="L1765">
        <v>0</v>
      </c>
      <c r="M1765">
        <v>0</v>
      </c>
    </row>
    <row r="1766" spans="1:13">
      <c r="A1766" s="28">
        <v>39840</v>
      </c>
      <c r="B1766" t="s">
        <v>1909</v>
      </c>
      <c r="C1766">
        <v>21350</v>
      </c>
      <c r="D1766">
        <v>300</v>
      </c>
      <c r="E1766">
        <v>1.43</v>
      </c>
      <c r="F1766" t="s">
        <v>397</v>
      </c>
      <c r="G1766" t="s">
        <v>397</v>
      </c>
      <c r="H1766">
        <v>1598</v>
      </c>
      <c r="I1766">
        <v>13.36</v>
      </c>
      <c r="J1766">
        <v>11250</v>
      </c>
      <c r="K1766">
        <v>1.9</v>
      </c>
      <c r="L1766">
        <v>0</v>
      </c>
      <c r="M1766">
        <v>0</v>
      </c>
    </row>
    <row r="1767" spans="1:13">
      <c r="A1767" s="28">
        <v>127120</v>
      </c>
      <c r="B1767" t="s">
        <v>1910</v>
      </c>
      <c r="C1767">
        <v>2760</v>
      </c>
      <c r="D1767">
        <v>-40</v>
      </c>
      <c r="E1767">
        <v>-1.43</v>
      </c>
      <c r="F1767" t="s">
        <v>397</v>
      </c>
      <c r="G1767" t="s">
        <v>397</v>
      </c>
      <c r="H1767" t="s">
        <v>397</v>
      </c>
      <c r="I1767" t="s">
        <v>397</v>
      </c>
      <c r="J1767">
        <v>1632</v>
      </c>
      <c r="K1767">
        <v>1.69</v>
      </c>
      <c r="L1767">
        <v>0</v>
      </c>
      <c r="M1767">
        <v>0</v>
      </c>
    </row>
    <row r="1768" spans="1:13">
      <c r="A1768" s="28">
        <v>228670</v>
      </c>
      <c r="B1768" t="s">
        <v>1911</v>
      </c>
      <c r="C1768">
        <v>17300</v>
      </c>
      <c r="D1768">
        <v>-10</v>
      </c>
      <c r="E1768">
        <v>-0.06</v>
      </c>
      <c r="F1768">
        <v>541</v>
      </c>
      <c r="G1768">
        <v>31.98</v>
      </c>
      <c r="H1768">
        <v>706</v>
      </c>
      <c r="I1768">
        <v>24.51</v>
      </c>
      <c r="J1768">
        <v>8300</v>
      </c>
      <c r="K1768">
        <v>2.08</v>
      </c>
      <c r="L1768">
        <v>0</v>
      </c>
      <c r="M1768">
        <v>0</v>
      </c>
    </row>
    <row r="1769" spans="1:13">
      <c r="A1769" s="28">
        <v>199550</v>
      </c>
      <c r="B1769" t="s">
        <v>1912</v>
      </c>
      <c r="C1769">
        <v>10540</v>
      </c>
      <c r="D1769">
        <v>-590</v>
      </c>
      <c r="E1769">
        <v>-5.3</v>
      </c>
      <c r="F1769" t="s">
        <v>397</v>
      </c>
      <c r="G1769" t="s">
        <v>397</v>
      </c>
      <c r="H1769" t="s">
        <v>397</v>
      </c>
      <c r="I1769" t="s">
        <v>397</v>
      </c>
      <c r="J1769" t="s">
        <v>397</v>
      </c>
      <c r="K1769" t="s">
        <v>397</v>
      </c>
      <c r="L1769">
        <v>0</v>
      </c>
      <c r="M1769">
        <v>0</v>
      </c>
    </row>
    <row r="1770" spans="1:13">
      <c r="A1770" s="28">
        <v>133750</v>
      </c>
      <c r="B1770" t="s">
        <v>1913</v>
      </c>
      <c r="C1770">
        <v>2870</v>
      </c>
      <c r="D1770">
        <v>0</v>
      </c>
      <c r="E1770">
        <v>0</v>
      </c>
      <c r="F1770">
        <v>96</v>
      </c>
      <c r="G1770">
        <v>29.9</v>
      </c>
      <c r="H1770" t="s">
        <v>397</v>
      </c>
      <c r="I1770" t="s">
        <v>397</v>
      </c>
      <c r="J1770">
        <v>2978</v>
      </c>
      <c r="K1770">
        <v>0.96</v>
      </c>
      <c r="L1770">
        <v>0</v>
      </c>
      <c r="M1770">
        <v>0</v>
      </c>
    </row>
    <row r="1771" spans="1:13">
      <c r="A1771" s="28">
        <v>73570</v>
      </c>
      <c r="B1771" t="s">
        <v>1914</v>
      </c>
      <c r="C1771">
        <v>5400</v>
      </c>
      <c r="D1771">
        <v>-180</v>
      </c>
      <c r="E1771">
        <v>-3.23</v>
      </c>
      <c r="F1771">
        <v>4957</v>
      </c>
      <c r="G1771">
        <v>1.0900000000000001</v>
      </c>
      <c r="H1771" t="s">
        <v>397</v>
      </c>
      <c r="I1771" t="s">
        <v>397</v>
      </c>
      <c r="J1771">
        <v>6722</v>
      </c>
      <c r="K1771">
        <v>0.8</v>
      </c>
      <c r="L1771">
        <v>0</v>
      </c>
      <c r="M1771">
        <v>0</v>
      </c>
    </row>
    <row r="1772" spans="1:13">
      <c r="A1772" s="28">
        <v>377030</v>
      </c>
      <c r="B1772" t="s">
        <v>1915</v>
      </c>
      <c r="C1772">
        <v>5920</v>
      </c>
      <c r="D1772">
        <v>-110</v>
      </c>
      <c r="E1772">
        <v>-1.82</v>
      </c>
      <c r="F1772" t="s">
        <v>397</v>
      </c>
      <c r="G1772" t="s">
        <v>397</v>
      </c>
      <c r="H1772" t="s">
        <v>397</v>
      </c>
      <c r="I1772" t="s">
        <v>397</v>
      </c>
      <c r="J1772">
        <v>1953</v>
      </c>
      <c r="K1772">
        <v>3.03</v>
      </c>
      <c r="L1772">
        <v>0</v>
      </c>
      <c r="M1772">
        <v>0</v>
      </c>
    </row>
    <row r="1773" spans="1:13">
      <c r="A1773" s="28">
        <v>1080</v>
      </c>
      <c r="B1773" t="s">
        <v>1916</v>
      </c>
      <c r="C1773">
        <v>47150</v>
      </c>
      <c r="D1773">
        <v>0</v>
      </c>
      <c r="E1773">
        <v>0</v>
      </c>
      <c r="F1773">
        <v>3106</v>
      </c>
      <c r="G1773">
        <v>15.18</v>
      </c>
      <c r="H1773" t="s">
        <v>397</v>
      </c>
      <c r="I1773" t="s">
        <v>397</v>
      </c>
      <c r="J1773">
        <v>88854</v>
      </c>
      <c r="K1773">
        <v>0.53</v>
      </c>
      <c r="L1773">
        <v>0</v>
      </c>
      <c r="M1773">
        <v>0</v>
      </c>
    </row>
    <row r="1774" spans="1:13">
      <c r="A1774" s="28">
        <v>424980</v>
      </c>
      <c r="B1774" t="s">
        <v>1917</v>
      </c>
      <c r="C1774">
        <v>12220</v>
      </c>
      <c r="D1774">
        <v>-280</v>
      </c>
      <c r="E1774">
        <v>-2.2400000000000002</v>
      </c>
      <c r="F1774">
        <v>1185</v>
      </c>
      <c r="G1774">
        <v>10.31</v>
      </c>
      <c r="H1774" t="s">
        <v>397</v>
      </c>
      <c r="I1774" t="s">
        <v>397</v>
      </c>
      <c r="J1774">
        <v>5335</v>
      </c>
      <c r="K1774">
        <v>2.29</v>
      </c>
      <c r="L1774">
        <v>0</v>
      </c>
      <c r="M1774">
        <v>0</v>
      </c>
    </row>
    <row r="1775" spans="1:13">
      <c r="A1775" s="28">
        <v>305090</v>
      </c>
      <c r="B1775" t="s">
        <v>1918</v>
      </c>
      <c r="C1775">
        <v>5470</v>
      </c>
      <c r="D1775">
        <v>30</v>
      </c>
      <c r="E1775">
        <v>0.55000000000000004</v>
      </c>
      <c r="F1775" t="s">
        <v>397</v>
      </c>
      <c r="G1775" t="s">
        <v>397</v>
      </c>
      <c r="H1775" t="s">
        <v>397</v>
      </c>
      <c r="I1775" t="s">
        <v>397</v>
      </c>
      <c r="J1775">
        <v>366</v>
      </c>
      <c r="K1775">
        <v>14.95</v>
      </c>
      <c r="L1775">
        <v>0</v>
      </c>
      <c r="M1775">
        <v>0</v>
      </c>
    </row>
    <row r="1776" spans="1:13">
      <c r="A1776" s="28">
        <v>377480</v>
      </c>
      <c r="B1776" t="s">
        <v>1919</v>
      </c>
      <c r="C1776">
        <v>27150</v>
      </c>
      <c r="D1776">
        <v>-450</v>
      </c>
      <c r="E1776">
        <v>-1.63</v>
      </c>
      <c r="F1776" t="s">
        <v>397</v>
      </c>
      <c r="G1776" t="s">
        <v>397</v>
      </c>
      <c r="H1776" t="s">
        <v>397</v>
      </c>
      <c r="I1776" t="s">
        <v>397</v>
      </c>
      <c r="J1776">
        <v>4213</v>
      </c>
      <c r="K1776">
        <v>6.44</v>
      </c>
      <c r="L1776">
        <v>0</v>
      </c>
      <c r="M1776">
        <v>0</v>
      </c>
    </row>
    <row r="1777" spans="1:13">
      <c r="A1777" s="28">
        <v>195500</v>
      </c>
      <c r="B1777" t="s">
        <v>1920</v>
      </c>
      <c r="C1777">
        <v>3015</v>
      </c>
      <c r="D1777">
        <v>-20</v>
      </c>
      <c r="E1777">
        <v>-0.66</v>
      </c>
      <c r="F1777" t="s">
        <v>397</v>
      </c>
      <c r="G1777" t="s">
        <v>397</v>
      </c>
      <c r="H1777" t="s">
        <v>397</v>
      </c>
      <c r="I1777" t="s">
        <v>397</v>
      </c>
      <c r="J1777">
        <v>4069</v>
      </c>
      <c r="K1777">
        <v>0.74</v>
      </c>
      <c r="L1777">
        <v>0</v>
      </c>
      <c r="M1777">
        <v>0</v>
      </c>
    </row>
    <row r="1778" spans="1:13">
      <c r="A1778" s="28">
        <v>27740</v>
      </c>
      <c r="B1778" t="s">
        <v>1921</v>
      </c>
      <c r="C1778">
        <v>1139</v>
      </c>
      <c r="D1778">
        <v>0</v>
      </c>
      <c r="E1778">
        <v>0</v>
      </c>
      <c r="F1778">
        <v>16</v>
      </c>
      <c r="G1778">
        <v>71.19</v>
      </c>
      <c r="H1778" t="s">
        <v>397</v>
      </c>
      <c r="I1778" t="s">
        <v>397</v>
      </c>
      <c r="J1778">
        <v>777</v>
      </c>
      <c r="K1778">
        <v>1.47</v>
      </c>
      <c r="L1778">
        <v>0</v>
      </c>
      <c r="M1778">
        <v>0</v>
      </c>
    </row>
    <row r="1779" spans="1:13">
      <c r="A1779" s="28">
        <v>439090</v>
      </c>
      <c r="B1779" t="s">
        <v>1922</v>
      </c>
      <c r="C1779">
        <v>20400</v>
      </c>
      <c r="D1779">
        <v>-100</v>
      </c>
      <c r="E1779">
        <v>-0.49</v>
      </c>
      <c r="F1779">
        <v>1225</v>
      </c>
      <c r="G1779">
        <v>16.649999999999999</v>
      </c>
      <c r="H1779">
        <v>946</v>
      </c>
      <c r="I1779">
        <v>21.56</v>
      </c>
      <c r="J1779">
        <v>3642</v>
      </c>
      <c r="K1779">
        <v>5.6</v>
      </c>
      <c r="L1779">
        <v>0</v>
      </c>
      <c r="M1779">
        <v>0</v>
      </c>
    </row>
    <row r="1780" spans="1:13">
      <c r="A1780" s="28">
        <v>219420</v>
      </c>
      <c r="B1780" t="s">
        <v>1923</v>
      </c>
      <c r="C1780">
        <v>7290</v>
      </c>
      <c r="D1780">
        <v>-140</v>
      </c>
      <c r="E1780">
        <v>-1.88</v>
      </c>
      <c r="F1780">
        <v>172</v>
      </c>
      <c r="G1780">
        <v>42.38</v>
      </c>
      <c r="H1780" t="s">
        <v>397</v>
      </c>
      <c r="I1780" t="s">
        <v>397</v>
      </c>
      <c r="J1780">
        <v>3754</v>
      </c>
      <c r="K1780">
        <v>1.94</v>
      </c>
      <c r="L1780">
        <v>0</v>
      </c>
      <c r="M1780">
        <v>0</v>
      </c>
    </row>
    <row r="1781" spans="1:13">
      <c r="A1781" s="28">
        <v>42500</v>
      </c>
      <c r="B1781" t="s">
        <v>1924</v>
      </c>
      <c r="C1781">
        <v>6740</v>
      </c>
      <c r="D1781">
        <v>310</v>
      </c>
      <c r="E1781">
        <v>4.82</v>
      </c>
      <c r="F1781">
        <v>810</v>
      </c>
      <c r="G1781">
        <v>8.32</v>
      </c>
      <c r="H1781" t="s">
        <v>397</v>
      </c>
      <c r="I1781" t="s">
        <v>397</v>
      </c>
      <c r="J1781">
        <v>6765</v>
      </c>
      <c r="K1781">
        <v>1</v>
      </c>
      <c r="L1781">
        <v>0</v>
      </c>
      <c r="M1781">
        <v>0</v>
      </c>
    </row>
    <row r="1782" spans="1:13">
      <c r="A1782" s="28">
        <v>377450</v>
      </c>
      <c r="B1782" t="s">
        <v>1925</v>
      </c>
      <c r="C1782">
        <v>9160</v>
      </c>
      <c r="D1782">
        <v>-130</v>
      </c>
      <c r="E1782">
        <v>-1.4</v>
      </c>
      <c r="F1782">
        <v>1095</v>
      </c>
      <c r="G1782">
        <v>8.3699999999999992</v>
      </c>
      <c r="H1782" t="s">
        <v>397</v>
      </c>
      <c r="I1782" t="s">
        <v>397</v>
      </c>
      <c r="J1782">
        <v>8818</v>
      </c>
      <c r="K1782">
        <v>1.04</v>
      </c>
      <c r="L1782">
        <v>0</v>
      </c>
      <c r="M1782">
        <v>0</v>
      </c>
    </row>
    <row r="1783" spans="1:13">
      <c r="A1783" s="28">
        <v>302550</v>
      </c>
      <c r="B1783" t="s">
        <v>1926</v>
      </c>
      <c r="C1783">
        <v>2840</v>
      </c>
      <c r="D1783">
        <v>20</v>
      </c>
      <c r="E1783">
        <v>0.71</v>
      </c>
      <c r="F1783">
        <v>131</v>
      </c>
      <c r="G1783">
        <v>21.68</v>
      </c>
      <c r="H1783" t="s">
        <v>397</v>
      </c>
      <c r="I1783" t="s">
        <v>397</v>
      </c>
      <c r="J1783">
        <v>977</v>
      </c>
      <c r="K1783">
        <v>2.91</v>
      </c>
      <c r="L1783">
        <v>0</v>
      </c>
      <c r="M1783">
        <v>0</v>
      </c>
    </row>
    <row r="1784" spans="1:13">
      <c r="A1784" s="28">
        <v>281740</v>
      </c>
      <c r="B1784" t="s">
        <v>1927</v>
      </c>
      <c r="C1784">
        <v>26750</v>
      </c>
      <c r="D1784">
        <v>0</v>
      </c>
      <c r="E1784">
        <v>0</v>
      </c>
      <c r="F1784">
        <v>411</v>
      </c>
      <c r="G1784">
        <v>65.09</v>
      </c>
      <c r="H1784">
        <v>696</v>
      </c>
      <c r="I1784">
        <v>38.43</v>
      </c>
      <c r="J1784">
        <v>1310</v>
      </c>
      <c r="K1784">
        <v>20.420000000000002</v>
      </c>
      <c r="L1784">
        <v>0</v>
      </c>
      <c r="M1784">
        <v>0</v>
      </c>
    </row>
    <row r="1785" spans="1:13">
      <c r="A1785" s="28">
        <v>16100</v>
      </c>
      <c r="B1785" t="s">
        <v>1928</v>
      </c>
      <c r="C1785">
        <v>1977</v>
      </c>
      <c r="D1785">
        <v>-28</v>
      </c>
      <c r="E1785">
        <v>-1.4</v>
      </c>
      <c r="F1785" t="s">
        <v>397</v>
      </c>
      <c r="G1785" t="s">
        <v>397</v>
      </c>
      <c r="H1785" t="s">
        <v>397</v>
      </c>
      <c r="I1785" t="s">
        <v>397</v>
      </c>
      <c r="J1785">
        <v>2357</v>
      </c>
      <c r="K1785">
        <v>0.84</v>
      </c>
      <c r="L1785">
        <v>0</v>
      </c>
      <c r="M1785">
        <v>0</v>
      </c>
    </row>
    <row r="1786" spans="1:13">
      <c r="A1786" s="28">
        <v>19570</v>
      </c>
      <c r="B1786" t="s">
        <v>1929</v>
      </c>
      <c r="C1786">
        <v>644</v>
      </c>
      <c r="D1786">
        <v>1</v>
      </c>
      <c r="E1786">
        <v>0.16</v>
      </c>
      <c r="F1786" t="s">
        <v>397</v>
      </c>
      <c r="G1786" t="s">
        <v>397</v>
      </c>
      <c r="H1786" t="s">
        <v>397</v>
      </c>
      <c r="I1786" t="s">
        <v>397</v>
      </c>
      <c r="J1786">
        <v>768</v>
      </c>
      <c r="K1786">
        <v>0.84</v>
      </c>
      <c r="L1786">
        <v>0</v>
      </c>
      <c r="M1786">
        <v>0</v>
      </c>
    </row>
    <row r="1787" spans="1:13">
      <c r="A1787" s="28">
        <v>60240</v>
      </c>
      <c r="B1787" t="s">
        <v>1930</v>
      </c>
      <c r="C1787">
        <v>1570</v>
      </c>
      <c r="D1787">
        <v>18</v>
      </c>
      <c r="E1787">
        <v>1.1599999999999999</v>
      </c>
      <c r="F1787" t="s">
        <v>397</v>
      </c>
      <c r="G1787" t="s">
        <v>397</v>
      </c>
      <c r="H1787" t="s">
        <v>397</v>
      </c>
      <c r="I1787" t="s">
        <v>397</v>
      </c>
      <c r="J1787">
        <v>1490</v>
      </c>
      <c r="K1787">
        <v>1.05</v>
      </c>
      <c r="L1787">
        <v>0</v>
      </c>
      <c r="M1787">
        <v>0</v>
      </c>
    </row>
    <row r="1788" spans="1:13">
      <c r="A1788" s="28">
        <v>38060</v>
      </c>
      <c r="B1788" t="s">
        <v>1931</v>
      </c>
      <c r="C1788">
        <v>1112</v>
      </c>
      <c r="D1788">
        <v>-1</v>
      </c>
      <c r="E1788">
        <v>-0.09</v>
      </c>
      <c r="F1788">
        <v>338</v>
      </c>
      <c r="G1788">
        <v>3.29</v>
      </c>
      <c r="H1788" t="s">
        <v>397</v>
      </c>
      <c r="I1788" t="s">
        <v>397</v>
      </c>
      <c r="J1788">
        <v>1992</v>
      </c>
      <c r="K1788">
        <v>0.56000000000000005</v>
      </c>
      <c r="L1788">
        <v>0</v>
      </c>
      <c r="M1788">
        <v>0</v>
      </c>
    </row>
    <row r="1789" spans="1:13">
      <c r="A1789" s="28">
        <v>328130</v>
      </c>
      <c r="B1789" t="s">
        <v>1932</v>
      </c>
      <c r="C1789">
        <v>64500</v>
      </c>
      <c r="D1789">
        <v>900</v>
      </c>
      <c r="E1789">
        <v>1.42</v>
      </c>
      <c r="F1789" t="s">
        <v>397</v>
      </c>
      <c r="G1789" t="s">
        <v>397</v>
      </c>
      <c r="H1789" t="s">
        <v>397</v>
      </c>
      <c r="I1789" t="s">
        <v>397</v>
      </c>
      <c r="J1789">
        <v>2721</v>
      </c>
      <c r="K1789">
        <v>23.7</v>
      </c>
      <c r="L1789">
        <v>0</v>
      </c>
      <c r="M1789">
        <v>0</v>
      </c>
    </row>
    <row r="1790" spans="1:13">
      <c r="A1790" s="28">
        <v>400</v>
      </c>
      <c r="B1790" t="s">
        <v>1933</v>
      </c>
      <c r="C1790">
        <v>2865</v>
      </c>
      <c r="D1790">
        <v>-95</v>
      </c>
      <c r="E1790">
        <v>-3.21</v>
      </c>
      <c r="F1790" t="s">
        <v>397</v>
      </c>
      <c r="G1790" t="s">
        <v>397</v>
      </c>
      <c r="H1790" t="s">
        <v>397</v>
      </c>
      <c r="I1790" t="s">
        <v>397</v>
      </c>
      <c r="J1790">
        <v>1451</v>
      </c>
      <c r="K1790">
        <v>1.97</v>
      </c>
      <c r="L1790">
        <v>0</v>
      </c>
      <c r="M1790">
        <v>0</v>
      </c>
    </row>
    <row r="1791" spans="1:13">
      <c r="A1791" s="28">
        <v>32350</v>
      </c>
      <c r="B1791" t="s">
        <v>1934</v>
      </c>
      <c r="C1791">
        <v>9000</v>
      </c>
      <c r="D1791">
        <v>-130</v>
      </c>
      <c r="E1791">
        <v>-1.42</v>
      </c>
      <c r="F1791" t="s">
        <v>397</v>
      </c>
      <c r="G1791" t="s">
        <v>397</v>
      </c>
      <c r="H1791" t="s">
        <v>397</v>
      </c>
      <c r="I1791" t="s">
        <v>397</v>
      </c>
      <c r="J1791">
        <v>3223</v>
      </c>
      <c r="K1791">
        <v>2.79</v>
      </c>
      <c r="L1791">
        <v>0</v>
      </c>
      <c r="M1791">
        <v>0</v>
      </c>
    </row>
    <row r="1792" spans="1:13">
      <c r="A1792" s="28">
        <v>108490</v>
      </c>
      <c r="B1792" t="s">
        <v>1935</v>
      </c>
      <c r="C1792">
        <v>26650</v>
      </c>
      <c r="D1792">
        <v>-350</v>
      </c>
      <c r="E1792">
        <v>-1.3</v>
      </c>
      <c r="F1792" t="s">
        <v>397</v>
      </c>
      <c r="G1792" t="s">
        <v>397</v>
      </c>
      <c r="H1792" t="s">
        <v>397</v>
      </c>
      <c r="I1792" t="s">
        <v>397</v>
      </c>
      <c r="J1792">
        <v>7148</v>
      </c>
      <c r="K1792">
        <v>3.73</v>
      </c>
      <c r="L1792">
        <v>0</v>
      </c>
      <c r="M1792">
        <v>0</v>
      </c>
    </row>
    <row r="1793" spans="1:13">
      <c r="A1793" s="28">
        <v>90360</v>
      </c>
      <c r="B1793" t="s">
        <v>1936</v>
      </c>
      <c r="C1793">
        <v>34150</v>
      </c>
      <c r="D1793">
        <v>-350</v>
      </c>
      <c r="E1793">
        <v>-1.01</v>
      </c>
      <c r="F1793">
        <v>337</v>
      </c>
      <c r="G1793">
        <v>101.34</v>
      </c>
      <c r="H1793" t="s">
        <v>397</v>
      </c>
      <c r="I1793" t="s">
        <v>397</v>
      </c>
      <c r="J1793">
        <v>9222</v>
      </c>
      <c r="K1793">
        <v>3.7</v>
      </c>
      <c r="L1793">
        <v>0</v>
      </c>
      <c r="M1793">
        <v>0</v>
      </c>
    </row>
    <row r="1794" spans="1:13">
      <c r="A1794" s="28">
        <v>215100</v>
      </c>
      <c r="B1794" t="s">
        <v>1937</v>
      </c>
      <c r="C1794">
        <v>4775</v>
      </c>
      <c r="D1794">
        <v>5</v>
      </c>
      <c r="E1794">
        <v>0.1</v>
      </c>
      <c r="F1794" t="s">
        <v>397</v>
      </c>
      <c r="G1794" t="s">
        <v>397</v>
      </c>
      <c r="H1794" t="s">
        <v>397</v>
      </c>
      <c r="I1794" t="s">
        <v>397</v>
      </c>
      <c r="J1794">
        <v>1459</v>
      </c>
      <c r="K1794">
        <v>3.27</v>
      </c>
      <c r="L1794">
        <v>0</v>
      </c>
      <c r="M1794">
        <v>0</v>
      </c>
    </row>
    <row r="1795" spans="1:13">
      <c r="A1795" s="28">
        <v>277810</v>
      </c>
      <c r="B1795" t="s">
        <v>1938</v>
      </c>
      <c r="C1795">
        <v>176000</v>
      </c>
      <c r="D1795">
        <v>-1000</v>
      </c>
      <c r="E1795">
        <v>-0.56000000000000005</v>
      </c>
      <c r="F1795">
        <v>356</v>
      </c>
      <c r="G1795">
        <v>494.38</v>
      </c>
      <c r="H1795">
        <v>812</v>
      </c>
      <c r="I1795">
        <v>216.79</v>
      </c>
      <c r="J1795">
        <v>3663</v>
      </c>
      <c r="K1795">
        <v>48.05</v>
      </c>
      <c r="L1795">
        <v>0</v>
      </c>
      <c r="M1795">
        <v>0</v>
      </c>
    </row>
    <row r="1796" spans="1:13">
      <c r="A1796" s="28">
        <v>66900</v>
      </c>
      <c r="B1796" t="s">
        <v>1939</v>
      </c>
      <c r="C1796">
        <v>3090</v>
      </c>
      <c r="D1796">
        <v>-70</v>
      </c>
      <c r="E1796">
        <v>-2.2200000000000002</v>
      </c>
      <c r="F1796">
        <v>518</v>
      </c>
      <c r="G1796">
        <v>5.97</v>
      </c>
      <c r="H1796" t="s">
        <v>397</v>
      </c>
      <c r="I1796" t="s">
        <v>397</v>
      </c>
      <c r="J1796">
        <v>7244</v>
      </c>
      <c r="K1796">
        <v>0.43</v>
      </c>
      <c r="L1796">
        <v>0</v>
      </c>
      <c r="M1796">
        <v>0</v>
      </c>
    </row>
    <row r="1797" spans="1:13">
      <c r="A1797" s="28">
        <v>196490</v>
      </c>
      <c r="B1797" t="s">
        <v>1940</v>
      </c>
      <c r="C1797">
        <v>1782</v>
      </c>
      <c r="D1797">
        <v>0</v>
      </c>
      <c r="E1797">
        <v>0</v>
      </c>
      <c r="F1797" t="s">
        <v>397</v>
      </c>
      <c r="G1797" t="s">
        <v>397</v>
      </c>
      <c r="H1797" t="s">
        <v>397</v>
      </c>
      <c r="I1797" t="s">
        <v>397</v>
      </c>
      <c r="J1797">
        <v>2984</v>
      </c>
      <c r="K1797">
        <v>0.6</v>
      </c>
      <c r="L1797">
        <v>0</v>
      </c>
      <c r="M1797">
        <v>0</v>
      </c>
    </row>
    <row r="1798" spans="1:13">
      <c r="A1798" s="28">
        <v>109740</v>
      </c>
      <c r="B1798" t="s">
        <v>1941</v>
      </c>
      <c r="C1798">
        <v>5440</v>
      </c>
      <c r="D1798">
        <v>-20</v>
      </c>
      <c r="E1798">
        <v>-0.37</v>
      </c>
      <c r="F1798" t="s">
        <v>397</v>
      </c>
      <c r="G1798" t="s">
        <v>397</v>
      </c>
      <c r="H1798" t="s">
        <v>397</v>
      </c>
      <c r="I1798" t="s">
        <v>397</v>
      </c>
      <c r="J1798">
        <v>5020</v>
      </c>
      <c r="K1798">
        <v>1.08</v>
      </c>
      <c r="L1798">
        <v>0</v>
      </c>
      <c r="M1798">
        <v>0</v>
      </c>
    </row>
    <row r="1799" spans="1:13">
      <c r="A1799" s="28">
        <v>224060</v>
      </c>
      <c r="B1799" t="s">
        <v>1942</v>
      </c>
      <c r="C1799">
        <v>5470</v>
      </c>
      <c r="D1799">
        <v>170</v>
      </c>
      <c r="E1799">
        <v>3.21</v>
      </c>
      <c r="F1799" t="s">
        <v>397</v>
      </c>
      <c r="G1799" t="s">
        <v>397</v>
      </c>
      <c r="H1799" t="s">
        <v>397</v>
      </c>
      <c r="I1799" t="s">
        <v>397</v>
      </c>
      <c r="J1799">
        <v>14734</v>
      </c>
      <c r="K1799">
        <v>0.37</v>
      </c>
      <c r="L1799">
        <v>0</v>
      </c>
      <c r="M1799">
        <v>0</v>
      </c>
    </row>
    <row r="1800" spans="1:13">
      <c r="A1800" s="28">
        <v>460860</v>
      </c>
      <c r="B1800" t="s">
        <v>1943</v>
      </c>
      <c r="C1800">
        <v>11360</v>
      </c>
      <c r="D1800">
        <v>-70</v>
      </c>
      <c r="E1800">
        <v>-0.61</v>
      </c>
      <c r="F1800" t="s">
        <v>397</v>
      </c>
      <c r="G1800" t="s">
        <v>397</v>
      </c>
      <c r="H1800">
        <v>4828</v>
      </c>
      <c r="I1800">
        <v>2.35</v>
      </c>
      <c r="J1800" t="s">
        <v>397</v>
      </c>
      <c r="K1800" t="s">
        <v>397</v>
      </c>
      <c r="L1800">
        <v>0</v>
      </c>
      <c r="M1800">
        <v>0</v>
      </c>
    </row>
    <row r="1801" spans="1:13">
      <c r="A1801" s="28">
        <v>460850</v>
      </c>
      <c r="B1801" t="s">
        <v>1944</v>
      </c>
      <c r="C1801">
        <v>6180</v>
      </c>
      <c r="D1801">
        <v>-60</v>
      </c>
      <c r="E1801">
        <v>-0.96</v>
      </c>
      <c r="F1801" t="s">
        <v>397</v>
      </c>
      <c r="G1801" t="s">
        <v>397</v>
      </c>
      <c r="H1801" t="s">
        <v>397</v>
      </c>
      <c r="I1801" t="s">
        <v>397</v>
      </c>
      <c r="J1801" t="s">
        <v>397</v>
      </c>
      <c r="K1801" t="s">
        <v>397</v>
      </c>
      <c r="L1801">
        <v>0</v>
      </c>
      <c r="M1801">
        <v>0</v>
      </c>
    </row>
    <row r="1802" spans="1:13">
      <c r="A1802" s="28">
        <v>100130</v>
      </c>
      <c r="B1802" t="s">
        <v>1945</v>
      </c>
      <c r="C1802">
        <v>2940</v>
      </c>
      <c r="D1802">
        <v>25</v>
      </c>
      <c r="E1802">
        <v>0.86</v>
      </c>
      <c r="F1802" t="s">
        <v>397</v>
      </c>
      <c r="G1802" t="s">
        <v>397</v>
      </c>
      <c r="H1802" t="s">
        <v>397</v>
      </c>
      <c r="I1802" t="s">
        <v>397</v>
      </c>
      <c r="J1802">
        <v>4637</v>
      </c>
      <c r="K1802">
        <v>0.63</v>
      </c>
      <c r="L1802">
        <v>0</v>
      </c>
      <c r="M1802">
        <v>0</v>
      </c>
    </row>
    <row r="1803" spans="1:13">
      <c r="A1803" s="28">
        <v>261200</v>
      </c>
      <c r="B1803" t="s">
        <v>1946</v>
      </c>
      <c r="C1803">
        <v>9230</v>
      </c>
      <c r="D1803">
        <v>-150</v>
      </c>
      <c r="E1803">
        <v>-1.6</v>
      </c>
      <c r="F1803">
        <v>86</v>
      </c>
      <c r="G1803">
        <v>107.33</v>
      </c>
      <c r="H1803" t="s">
        <v>397</v>
      </c>
      <c r="I1803" t="s">
        <v>397</v>
      </c>
      <c r="J1803">
        <v>2073</v>
      </c>
      <c r="K1803">
        <v>4.45</v>
      </c>
      <c r="L1803">
        <v>0</v>
      </c>
      <c r="M1803">
        <v>0</v>
      </c>
    </row>
    <row r="1804" spans="1:13">
      <c r="A1804" s="28">
        <v>206560</v>
      </c>
      <c r="B1804" t="s">
        <v>1947</v>
      </c>
      <c r="C1804">
        <v>8030</v>
      </c>
      <c r="D1804">
        <v>-220</v>
      </c>
      <c r="E1804">
        <v>-2.67</v>
      </c>
      <c r="F1804" t="s">
        <v>397</v>
      </c>
      <c r="G1804" t="s">
        <v>397</v>
      </c>
      <c r="H1804" t="s">
        <v>397</v>
      </c>
      <c r="I1804" t="s">
        <v>397</v>
      </c>
      <c r="J1804">
        <v>2122</v>
      </c>
      <c r="K1804">
        <v>3.78</v>
      </c>
      <c r="L1804">
        <v>0</v>
      </c>
      <c r="M1804">
        <v>0</v>
      </c>
    </row>
    <row r="1805" spans="1:13">
      <c r="A1805" s="28">
        <v>263800</v>
      </c>
      <c r="B1805" t="s">
        <v>1948</v>
      </c>
      <c r="C1805">
        <v>5700</v>
      </c>
      <c r="D1805">
        <v>70</v>
      </c>
      <c r="E1805">
        <v>1.24</v>
      </c>
      <c r="F1805">
        <v>148</v>
      </c>
      <c r="G1805">
        <v>38.51</v>
      </c>
      <c r="H1805" t="s">
        <v>397</v>
      </c>
      <c r="I1805" t="s">
        <v>397</v>
      </c>
      <c r="J1805">
        <v>1934</v>
      </c>
      <c r="K1805">
        <v>2.95</v>
      </c>
      <c r="L1805">
        <v>0</v>
      </c>
      <c r="M1805">
        <v>0</v>
      </c>
    </row>
    <row r="1806" spans="1:13">
      <c r="A1806" s="28">
        <v>194480</v>
      </c>
      <c r="B1806" t="s">
        <v>1949</v>
      </c>
      <c r="C1806">
        <v>46050</v>
      </c>
      <c r="D1806">
        <v>-1550</v>
      </c>
      <c r="E1806">
        <v>-3.26</v>
      </c>
      <c r="F1806" t="s">
        <v>397</v>
      </c>
      <c r="G1806" t="s">
        <v>397</v>
      </c>
      <c r="H1806">
        <v>4486</v>
      </c>
      <c r="I1806">
        <v>10.26</v>
      </c>
      <c r="J1806">
        <v>16951</v>
      </c>
      <c r="K1806">
        <v>2.72</v>
      </c>
      <c r="L1806">
        <v>0</v>
      </c>
      <c r="M1806">
        <v>0</v>
      </c>
    </row>
    <row r="1807" spans="1:13">
      <c r="A1807" s="28">
        <v>24900</v>
      </c>
      <c r="B1807" t="s">
        <v>1950</v>
      </c>
      <c r="C1807">
        <v>4575</v>
      </c>
      <c r="D1807">
        <v>-85</v>
      </c>
      <c r="E1807">
        <v>-1.82</v>
      </c>
      <c r="F1807">
        <v>487</v>
      </c>
      <c r="G1807">
        <v>9.39</v>
      </c>
      <c r="H1807" t="s">
        <v>397</v>
      </c>
      <c r="I1807" t="s">
        <v>397</v>
      </c>
      <c r="J1807">
        <v>2608</v>
      </c>
      <c r="K1807">
        <v>1.75</v>
      </c>
      <c r="L1807">
        <v>0</v>
      </c>
      <c r="M1807">
        <v>0</v>
      </c>
    </row>
    <row r="1808" spans="1:13">
      <c r="A1808" s="28">
        <v>77360</v>
      </c>
      <c r="B1808" t="s">
        <v>1951</v>
      </c>
      <c r="C1808">
        <v>6520</v>
      </c>
      <c r="D1808">
        <v>30</v>
      </c>
      <c r="E1808">
        <v>0.46</v>
      </c>
      <c r="F1808">
        <v>134</v>
      </c>
      <c r="G1808">
        <v>48.66</v>
      </c>
      <c r="H1808" t="s">
        <v>397</v>
      </c>
      <c r="I1808" t="s">
        <v>397</v>
      </c>
      <c r="J1808">
        <v>6480</v>
      </c>
      <c r="K1808">
        <v>1.01</v>
      </c>
      <c r="L1808">
        <v>0</v>
      </c>
      <c r="M1808">
        <v>0</v>
      </c>
    </row>
    <row r="1809" spans="1:13">
      <c r="A1809" s="28">
        <v>317330</v>
      </c>
      <c r="B1809" t="s">
        <v>1952</v>
      </c>
      <c r="C1809">
        <v>32600</v>
      </c>
      <c r="D1809">
        <v>1550</v>
      </c>
      <c r="E1809">
        <v>4.99</v>
      </c>
      <c r="F1809">
        <v>885</v>
      </c>
      <c r="G1809">
        <v>36.840000000000003</v>
      </c>
      <c r="H1809" t="s">
        <v>397</v>
      </c>
      <c r="I1809" t="s">
        <v>397</v>
      </c>
      <c r="J1809">
        <v>10385</v>
      </c>
      <c r="K1809">
        <v>3.14</v>
      </c>
      <c r="L1809">
        <v>0</v>
      </c>
      <c r="M1809">
        <v>0</v>
      </c>
    </row>
    <row r="1810" spans="1:13">
      <c r="A1810" s="28">
        <v>213420</v>
      </c>
      <c r="B1810" t="s">
        <v>1953</v>
      </c>
      <c r="C1810">
        <v>39500</v>
      </c>
      <c r="D1810">
        <v>-900</v>
      </c>
      <c r="E1810">
        <v>-2.23</v>
      </c>
      <c r="F1810">
        <v>1574</v>
      </c>
      <c r="G1810">
        <v>25.1</v>
      </c>
      <c r="H1810">
        <v>2081</v>
      </c>
      <c r="I1810">
        <v>18.98</v>
      </c>
      <c r="J1810">
        <v>12991</v>
      </c>
      <c r="K1810">
        <v>3.04</v>
      </c>
      <c r="L1810">
        <v>0</v>
      </c>
      <c r="M1810">
        <v>0</v>
      </c>
    </row>
    <row r="1811" spans="1:13">
      <c r="A1811" s="28">
        <v>299170</v>
      </c>
      <c r="B1811" t="s">
        <v>1954</v>
      </c>
      <c r="C1811">
        <v>2000</v>
      </c>
      <c r="D1811">
        <v>-5</v>
      </c>
      <c r="E1811">
        <v>-0.25</v>
      </c>
      <c r="F1811">
        <v>145</v>
      </c>
      <c r="G1811">
        <v>13.79</v>
      </c>
      <c r="H1811" t="s">
        <v>397</v>
      </c>
      <c r="I1811" t="s">
        <v>397</v>
      </c>
      <c r="J1811">
        <v>1259</v>
      </c>
      <c r="K1811">
        <v>1.59</v>
      </c>
      <c r="L1811">
        <v>0</v>
      </c>
      <c r="M1811">
        <v>0</v>
      </c>
    </row>
    <row r="1812" spans="1:13">
      <c r="A1812" s="28">
        <v>376300</v>
      </c>
      <c r="B1812" t="s">
        <v>1955</v>
      </c>
      <c r="C1812">
        <v>29800</v>
      </c>
      <c r="D1812">
        <v>350</v>
      </c>
      <c r="E1812">
        <v>1.19</v>
      </c>
      <c r="F1812">
        <v>732</v>
      </c>
      <c r="G1812">
        <v>40.71</v>
      </c>
      <c r="H1812">
        <v>1643</v>
      </c>
      <c r="I1812">
        <v>18.14</v>
      </c>
      <c r="J1812">
        <v>5988</v>
      </c>
      <c r="K1812">
        <v>4.9800000000000004</v>
      </c>
      <c r="L1812">
        <v>0</v>
      </c>
      <c r="M1812">
        <v>0</v>
      </c>
    </row>
    <row r="1813" spans="1:13">
      <c r="A1813" s="28">
        <v>393890</v>
      </c>
      <c r="B1813" t="s">
        <v>1956</v>
      </c>
      <c r="C1813">
        <v>40000</v>
      </c>
      <c r="D1813">
        <v>-2150</v>
      </c>
      <c r="E1813">
        <v>-5.0999999999999996</v>
      </c>
      <c r="F1813">
        <v>1940</v>
      </c>
      <c r="G1813">
        <v>20.62</v>
      </c>
      <c r="H1813">
        <v>1357</v>
      </c>
      <c r="I1813">
        <v>29.47</v>
      </c>
      <c r="J1813">
        <v>27737</v>
      </c>
      <c r="K1813">
        <v>1.44</v>
      </c>
      <c r="L1813">
        <v>0</v>
      </c>
      <c r="M1813">
        <v>0</v>
      </c>
    </row>
    <row r="1814" spans="1:13">
      <c r="A1814" s="28">
        <v>32860</v>
      </c>
      <c r="B1814" t="s">
        <v>1957</v>
      </c>
      <c r="C1814">
        <v>3640</v>
      </c>
      <c r="D1814">
        <v>0</v>
      </c>
      <c r="E1814">
        <v>0</v>
      </c>
      <c r="F1814" t="s">
        <v>397</v>
      </c>
      <c r="G1814" t="s">
        <v>397</v>
      </c>
      <c r="H1814" t="s">
        <v>397</v>
      </c>
      <c r="I1814" t="s">
        <v>397</v>
      </c>
      <c r="J1814">
        <v>1411</v>
      </c>
      <c r="K1814">
        <v>2.58</v>
      </c>
      <c r="L1814">
        <v>0</v>
      </c>
      <c r="M1814">
        <v>0</v>
      </c>
    </row>
    <row r="1815" spans="1:13">
      <c r="A1815" s="28">
        <v>21045</v>
      </c>
      <c r="B1815" t="s">
        <v>1958</v>
      </c>
      <c r="C1815">
        <v>8430</v>
      </c>
      <c r="D1815">
        <v>-10</v>
      </c>
      <c r="E1815">
        <v>-0.12</v>
      </c>
      <c r="F1815" t="s">
        <v>397</v>
      </c>
      <c r="G1815" t="s">
        <v>397</v>
      </c>
      <c r="H1815" t="s">
        <v>397</v>
      </c>
      <c r="I1815" t="s">
        <v>397</v>
      </c>
      <c r="J1815" t="s">
        <v>397</v>
      </c>
      <c r="K1815" t="s">
        <v>397</v>
      </c>
      <c r="L1815">
        <v>0</v>
      </c>
      <c r="M1815">
        <v>0</v>
      </c>
    </row>
    <row r="1816" spans="1:13">
      <c r="A1816" s="28">
        <v>21040</v>
      </c>
      <c r="B1816" t="s">
        <v>1959</v>
      </c>
      <c r="C1816">
        <v>3995</v>
      </c>
      <c r="D1816">
        <v>-25</v>
      </c>
      <c r="E1816">
        <v>-0.62</v>
      </c>
      <c r="F1816" t="s">
        <v>397</v>
      </c>
      <c r="G1816" t="s">
        <v>397</v>
      </c>
      <c r="H1816" t="s">
        <v>397</v>
      </c>
      <c r="I1816" t="s">
        <v>397</v>
      </c>
      <c r="J1816">
        <v>6340</v>
      </c>
      <c r="K1816">
        <v>0.63</v>
      </c>
      <c r="L1816">
        <v>0</v>
      </c>
      <c r="M1816">
        <v>0</v>
      </c>
    </row>
    <row r="1817" spans="1:13">
      <c r="A1817" s="28">
        <v>69460</v>
      </c>
      <c r="B1817" t="s">
        <v>1960</v>
      </c>
      <c r="C1817">
        <v>1035</v>
      </c>
      <c r="D1817">
        <v>-6</v>
      </c>
      <c r="E1817">
        <v>-0.57999999999999996</v>
      </c>
      <c r="F1817">
        <v>114</v>
      </c>
      <c r="G1817">
        <v>9.08</v>
      </c>
      <c r="H1817" t="s">
        <v>397</v>
      </c>
      <c r="I1817" t="s">
        <v>397</v>
      </c>
      <c r="J1817">
        <v>1456</v>
      </c>
      <c r="K1817">
        <v>0.71</v>
      </c>
      <c r="L1817">
        <v>0</v>
      </c>
      <c r="M1817">
        <v>0</v>
      </c>
    </row>
    <row r="1818" spans="1:13">
      <c r="A1818" s="28">
        <v>5880</v>
      </c>
      <c r="B1818" t="s">
        <v>1961</v>
      </c>
      <c r="C1818">
        <v>1969</v>
      </c>
      <c r="D1818">
        <v>-41</v>
      </c>
      <c r="E1818">
        <v>-2.04</v>
      </c>
      <c r="F1818">
        <v>507</v>
      </c>
      <c r="G1818">
        <v>3.88</v>
      </c>
      <c r="H1818">
        <v>461</v>
      </c>
      <c r="I1818">
        <v>4.2699999999999996</v>
      </c>
      <c r="J1818">
        <v>4912</v>
      </c>
      <c r="K1818">
        <v>0.4</v>
      </c>
      <c r="L1818">
        <v>0</v>
      </c>
      <c r="M1818">
        <v>0</v>
      </c>
    </row>
    <row r="1819" spans="1:13">
      <c r="A1819" s="28">
        <v>1440</v>
      </c>
      <c r="B1819" t="s">
        <v>1962</v>
      </c>
      <c r="C1819">
        <v>10100</v>
      </c>
      <c r="D1819">
        <v>-160</v>
      </c>
      <c r="E1819">
        <v>-1.56</v>
      </c>
      <c r="F1819">
        <v>164</v>
      </c>
      <c r="G1819">
        <v>61.59</v>
      </c>
      <c r="H1819" t="s">
        <v>397</v>
      </c>
      <c r="I1819" t="s">
        <v>397</v>
      </c>
      <c r="J1819">
        <v>6359</v>
      </c>
      <c r="K1819">
        <v>1.59</v>
      </c>
      <c r="L1819">
        <v>0</v>
      </c>
      <c r="M1819">
        <v>0</v>
      </c>
    </row>
    <row r="1820" spans="1:13">
      <c r="A1820" s="28">
        <v>1070</v>
      </c>
      <c r="B1820" t="s">
        <v>1963</v>
      </c>
      <c r="C1820">
        <v>7350</v>
      </c>
      <c r="D1820">
        <v>-10</v>
      </c>
      <c r="E1820">
        <v>-0.14000000000000001</v>
      </c>
      <c r="F1820" t="s">
        <v>397</v>
      </c>
      <c r="G1820" t="s">
        <v>397</v>
      </c>
      <c r="H1820" t="s">
        <v>397</v>
      </c>
      <c r="I1820" t="s">
        <v>397</v>
      </c>
      <c r="J1820">
        <v>37439</v>
      </c>
      <c r="K1820">
        <v>0.2</v>
      </c>
      <c r="L1820">
        <v>0</v>
      </c>
      <c r="M1820">
        <v>0</v>
      </c>
    </row>
    <row r="1821" spans="1:13">
      <c r="A1821" s="28">
        <v>10170</v>
      </c>
      <c r="B1821" t="s">
        <v>1964</v>
      </c>
      <c r="C1821">
        <v>1061</v>
      </c>
      <c r="D1821">
        <v>-9</v>
      </c>
      <c r="E1821">
        <v>-0.84</v>
      </c>
      <c r="F1821" t="s">
        <v>397</v>
      </c>
      <c r="G1821" t="s">
        <v>397</v>
      </c>
      <c r="H1821" t="s">
        <v>397</v>
      </c>
      <c r="I1821" t="s">
        <v>397</v>
      </c>
      <c r="J1821">
        <v>1420</v>
      </c>
      <c r="K1821">
        <v>0.75</v>
      </c>
      <c r="L1821">
        <v>0</v>
      </c>
      <c r="M1821">
        <v>0</v>
      </c>
    </row>
    <row r="1822" spans="1:13">
      <c r="A1822" s="28">
        <v>96350</v>
      </c>
      <c r="B1822" t="s">
        <v>1965</v>
      </c>
      <c r="C1822">
        <v>494</v>
      </c>
      <c r="D1822">
        <v>-3</v>
      </c>
      <c r="E1822">
        <v>-0.6</v>
      </c>
      <c r="F1822" t="s">
        <v>397</v>
      </c>
      <c r="G1822" t="s">
        <v>397</v>
      </c>
      <c r="H1822" t="s">
        <v>397</v>
      </c>
      <c r="I1822" t="s">
        <v>397</v>
      </c>
      <c r="J1822">
        <v>166</v>
      </c>
      <c r="K1822">
        <v>2.98</v>
      </c>
      <c r="L1822">
        <v>0</v>
      </c>
      <c r="M1822">
        <v>0</v>
      </c>
    </row>
    <row r="1823" spans="1:13">
      <c r="A1823" s="28">
        <v>12800</v>
      </c>
      <c r="B1823" t="s">
        <v>1966</v>
      </c>
      <c r="C1823">
        <v>1469</v>
      </c>
      <c r="D1823">
        <v>69</v>
      </c>
      <c r="E1823">
        <v>4.93</v>
      </c>
      <c r="F1823">
        <v>48</v>
      </c>
      <c r="G1823">
        <v>30.6</v>
      </c>
      <c r="H1823" t="s">
        <v>397</v>
      </c>
      <c r="I1823" t="s">
        <v>397</v>
      </c>
      <c r="J1823">
        <v>3225</v>
      </c>
      <c r="K1823">
        <v>0.46</v>
      </c>
      <c r="L1823">
        <v>0</v>
      </c>
      <c r="M1823">
        <v>0</v>
      </c>
    </row>
    <row r="1824" spans="1:13">
      <c r="A1824" s="28">
        <v>4140</v>
      </c>
      <c r="B1824" t="s">
        <v>1967</v>
      </c>
      <c r="C1824">
        <v>2000</v>
      </c>
      <c r="D1824">
        <v>-20</v>
      </c>
      <c r="E1824">
        <v>-0.99</v>
      </c>
      <c r="F1824">
        <v>17</v>
      </c>
      <c r="G1824">
        <v>117.65</v>
      </c>
      <c r="H1824" t="s">
        <v>397</v>
      </c>
      <c r="I1824" t="s">
        <v>397</v>
      </c>
      <c r="J1824">
        <v>2685</v>
      </c>
      <c r="K1824">
        <v>0.74</v>
      </c>
      <c r="L1824">
        <v>0</v>
      </c>
      <c r="M1824">
        <v>0</v>
      </c>
    </row>
    <row r="1825" spans="1:13">
      <c r="A1825" s="28">
        <v>99410</v>
      </c>
      <c r="B1825" t="s">
        <v>1968</v>
      </c>
      <c r="C1825">
        <v>2525</v>
      </c>
      <c r="D1825">
        <v>35</v>
      </c>
      <c r="E1825">
        <v>1.41</v>
      </c>
      <c r="F1825">
        <v>95</v>
      </c>
      <c r="G1825">
        <v>26.58</v>
      </c>
      <c r="H1825" t="s">
        <v>397</v>
      </c>
      <c r="I1825" t="s">
        <v>397</v>
      </c>
      <c r="J1825">
        <v>2237</v>
      </c>
      <c r="K1825">
        <v>1.1299999999999999</v>
      </c>
      <c r="L1825">
        <v>0</v>
      </c>
      <c r="M1825">
        <v>0</v>
      </c>
    </row>
    <row r="1826" spans="1:13">
      <c r="A1826" s="28">
        <v>2210</v>
      </c>
      <c r="B1826" t="s">
        <v>1969</v>
      </c>
      <c r="C1826">
        <v>5100</v>
      </c>
      <c r="D1826">
        <v>-100</v>
      </c>
      <c r="E1826">
        <v>-1.92</v>
      </c>
      <c r="F1826" t="s">
        <v>397</v>
      </c>
      <c r="G1826" t="s">
        <v>397</v>
      </c>
      <c r="H1826" t="s">
        <v>397</v>
      </c>
      <c r="I1826" t="s">
        <v>397</v>
      </c>
      <c r="J1826">
        <v>1872</v>
      </c>
      <c r="K1826">
        <v>2.72</v>
      </c>
      <c r="L1826">
        <v>0</v>
      </c>
      <c r="M1826">
        <v>0</v>
      </c>
    </row>
    <row r="1827" spans="1:13">
      <c r="A1827" s="28">
        <v>84670</v>
      </c>
      <c r="B1827" t="s">
        <v>1970</v>
      </c>
      <c r="C1827">
        <v>11910</v>
      </c>
      <c r="D1827">
        <v>20</v>
      </c>
      <c r="E1827">
        <v>0.17</v>
      </c>
      <c r="F1827" t="s">
        <v>397</v>
      </c>
      <c r="G1827" t="s">
        <v>397</v>
      </c>
      <c r="H1827" t="s">
        <v>397</v>
      </c>
      <c r="I1827" t="s">
        <v>397</v>
      </c>
      <c r="J1827">
        <v>28704</v>
      </c>
      <c r="K1827">
        <v>0.41</v>
      </c>
      <c r="L1827">
        <v>0</v>
      </c>
      <c r="M1827">
        <v>0</v>
      </c>
    </row>
    <row r="1828" spans="1:13">
      <c r="A1828" s="28">
        <v>263720</v>
      </c>
      <c r="B1828" t="s">
        <v>1971</v>
      </c>
      <c r="C1828">
        <v>23750</v>
      </c>
      <c r="D1828">
        <v>-500</v>
      </c>
      <c r="E1828">
        <v>-2.06</v>
      </c>
      <c r="F1828">
        <v>504</v>
      </c>
      <c r="G1828">
        <v>47.12</v>
      </c>
      <c r="H1828" t="s">
        <v>397</v>
      </c>
      <c r="I1828" t="s">
        <v>397</v>
      </c>
      <c r="J1828">
        <v>6066</v>
      </c>
      <c r="K1828">
        <v>3.92</v>
      </c>
      <c r="L1828">
        <v>0</v>
      </c>
      <c r="M1828">
        <v>0</v>
      </c>
    </row>
    <row r="1829" spans="1:13">
      <c r="A1829" s="28">
        <v>214680</v>
      </c>
      <c r="B1829" t="s">
        <v>1972</v>
      </c>
      <c r="C1829">
        <v>3555</v>
      </c>
      <c r="D1829">
        <v>-80</v>
      </c>
      <c r="E1829">
        <v>-2.2000000000000002</v>
      </c>
      <c r="F1829">
        <v>103</v>
      </c>
      <c r="G1829">
        <v>34.51</v>
      </c>
      <c r="H1829" t="s">
        <v>397</v>
      </c>
      <c r="I1829" t="s">
        <v>397</v>
      </c>
      <c r="J1829">
        <v>1041</v>
      </c>
      <c r="K1829">
        <v>3.41</v>
      </c>
      <c r="L1829">
        <v>0</v>
      </c>
      <c r="M1829">
        <v>0</v>
      </c>
    </row>
    <row r="1830" spans="1:13">
      <c r="A1830" s="28">
        <v>92200</v>
      </c>
      <c r="B1830" t="s">
        <v>1973</v>
      </c>
      <c r="C1830">
        <v>5220</v>
      </c>
      <c r="D1830">
        <v>230</v>
      </c>
      <c r="E1830">
        <v>4.6100000000000003</v>
      </c>
      <c r="F1830">
        <v>79</v>
      </c>
      <c r="G1830">
        <v>66.08</v>
      </c>
      <c r="H1830" t="s">
        <v>397</v>
      </c>
      <c r="I1830" t="s">
        <v>397</v>
      </c>
      <c r="J1830">
        <v>2625</v>
      </c>
      <c r="K1830">
        <v>1.99</v>
      </c>
      <c r="L1830">
        <v>0</v>
      </c>
      <c r="M1830">
        <v>0</v>
      </c>
    </row>
    <row r="1831" spans="1:13">
      <c r="A1831" s="28">
        <v>16670</v>
      </c>
      <c r="B1831" t="s">
        <v>1974</v>
      </c>
      <c r="C1831">
        <v>230</v>
      </c>
      <c r="D1831">
        <v>2</v>
      </c>
      <c r="E1831">
        <v>0.88</v>
      </c>
      <c r="F1831" t="s">
        <v>397</v>
      </c>
      <c r="G1831" t="s">
        <v>397</v>
      </c>
      <c r="H1831" t="s">
        <v>397</v>
      </c>
      <c r="I1831" t="s">
        <v>397</v>
      </c>
      <c r="J1831">
        <v>515</v>
      </c>
      <c r="K1831">
        <v>0.45</v>
      </c>
      <c r="L1831">
        <v>0</v>
      </c>
      <c r="M1831">
        <v>0</v>
      </c>
    </row>
    <row r="1832" spans="1:13">
      <c r="A1832" s="28">
        <v>217620</v>
      </c>
      <c r="B1832" t="s">
        <v>1975</v>
      </c>
      <c r="C1832">
        <v>441</v>
      </c>
      <c r="D1832">
        <v>-58</v>
      </c>
      <c r="E1832">
        <v>-11.62</v>
      </c>
      <c r="F1832" t="s">
        <v>397</v>
      </c>
      <c r="G1832" t="s">
        <v>397</v>
      </c>
      <c r="H1832" t="s">
        <v>397</v>
      </c>
      <c r="I1832" t="s">
        <v>397</v>
      </c>
      <c r="J1832">
        <v>214</v>
      </c>
      <c r="K1832">
        <v>2.06</v>
      </c>
      <c r="L1832">
        <v>0</v>
      </c>
      <c r="M1832">
        <v>0</v>
      </c>
    </row>
    <row r="1833" spans="1:13">
      <c r="A1833" s="28">
        <v>362990</v>
      </c>
      <c r="B1833" t="s">
        <v>1976</v>
      </c>
      <c r="C1833">
        <v>2950</v>
      </c>
      <c r="D1833">
        <v>-95</v>
      </c>
      <c r="E1833">
        <v>-3.12</v>
      </c>
      <c r="F1833" t="s">
        <v>397</v>
      </c>
      <c r="G1833" t="s">
        <v>397</v>
      </c>
      <c r="H1833" t="s">
        <v>397</v>
      </c>
      <c r="I1833" t="s">
        <v>397</v>
      </c>
      <c r="J1833" t="s">
        <v>397</v>
      </c>
      <c r="K1833" t="s">
        <v>397</v>
      </c>
      <c r="L1833">
        <v>0</v>
      </c>
      <c r="M1833">
        <v>0</v>
      </c>
    </row>
    <row r="1834" spans="1:13">
      <c r="A1834" s="28">
        <v>60570</v>
      </c>
      <c r="B1834" t="s">
        <v>1977</v>
      </c>
      <c r="C1834">
        <v>3230</v>
      </c>
      <c r="D1834">
        <v>55</v>
      </c>
      <c r="E1834">
        <v>1.73</v>
      </c>
      <c r="F1834">
        <v>480</v>
      </c>
      <c r="G1834">
        <v>6.73</v>
      </c>
      <c r="H1834" t="s">
        <v>397</v>
      </c>
      <c r="I1834" t="s">
        <v>397</v>
      </c>
      <c r="J1834">
        <v>2951</v>
      </c>
      <c r="K1834">
        <v>1.0900000000000001</v>
      </c>
      <c r="L1834">
        <v>0</v>
      </c>
      <c r="M1834">
        <v>0</v>
      </c>
    </row>
    <row r="1835" spans="1:13">
      <c r="A1835" s="28">
        <v>223250</v>
      </c>
      <c r="B1835" t="s">
        <v>1978</v>
      </c>
      <c r="C1835">
        <v>2865</v>
      </c>
      <c r="D1835">
        <v>-30</v>
      </c>
      <c r="E1835">
        <v>-1.04</v>
      </c>
      <c r="F1835">
        <v>194</v>
      </c>
      <c r="G1835">
        <v>14.77</v>
      </c>
      <c r="H1835" t="s">
        <v>397</v>
      </c>
      <c r="I1835" t="s">
        <v>397</v>
      </c>
      <c r="J1835">
        <v>2127</v>
      </c>
      <c r="K1835">
        <v>1.35</v>
      </c>
      <c r="L1835">
        <v>0</v>
      </c>
      <c r="M1835">
        <v>0</v>
      </c>
    </row>
    <row r="1836" spans="1:13">
      <c r="A1836" s="28">
        <v>203650</v>
      </c>
      <c r="B1836" t="s">
        <v>1979</v>
      </c>
      <c r="C1836">
        <v>3725</v>
      </c>
      <c r="D1836">
        <v>-70</v>
      </c>
      <c r="E1836">
        <v>-1.84</v>
      </c>
      <c r="F1836">
        <v>191</v>
      </c>
      <c r="G1836">
        <v>19.5</v>
      </c>
      <c r="H1836" t="s">
        <v>397</v>
      </c>
      <c r="I1836" t="s">
        <v>397</v>
      </c>
      <c r="J1836">
        <v>1683</v>
      </c>
      <c r="K1836">
        <v>2.21</v>
      </c>
      <c r="L1836">
        <v>0</v>
      </c>
      <c r="M1836">
        <v>0</v>
      </c>
    </row>
    <row r="1837" spans="1:13">
      <c r="A1837" s="28">
        <v>30350</v>
      </c>
      <c r="B1837" t="s">
        <v>1980</v>
      </c>
      <c r="C1837">
        <v>621</v>
      </c>
      <c r="D1837">
        <v>143</v>
      </c>
      <c r="E1837">
        <v>29.92</v>
      </c>
      <c r="F1837" t="s">
        <v>397</v>
      </c>
      <c r="G1837" t="s">
        <v>397</v>
      </c>
      <c r="H1837" t="s">
        <v>397</v>
      </c>
      <c r="I1837" t="s">
        <v>397</v>
      </c>
      <c r="J1837">
        <v>972</v>
      </c>
      <c r="K1837">
        <v>0.64</v>
      </c>
      <c r="L1837">
        <v>0</v>
      </c>
      <c r="M1837">
        <v>0</v>
      </c>
    </row>
    <row r="1838" spans="1:13">
      <c r="A1838" s="28">
        <v>73190</v>
      </c>
      <c r="B1838" t="s">
        <v>1981</v>
      </c>
      <c r="C1838">
        <v>2735</v>
      </c>
      <c r="D1838">
        <v>35</v>
      </c>
      <c r="E1838">
        <v>1.3</v>
      </c>
      <c r="F1838" t="s">
        <v>397</v>
      </c>
      <c r="G1838" t="s">
        <v>397</v>
      </c>
      <c r="H1838" t="s">
        <v>397</v>
      </c>
      <c r="I1838" t="s">
        <v>397</v>
      </c>
      <c r="J1838">
        <v>1865</v>
      </c>
      <c r="K1838">
        <v>1.47</v>
      </c>
      <c r="L1838">
        <v>0</v>
      </c>
      <c r="M1838">
        <v>0</v>
      </c>
    </row>
    <row r="1839" spans="1:13">
      <c r="A1839" s="28" t="s">
        <v>1982</v>
      </c>
      <c r="B1839" t="s">
        <v>1983</v>
      </c>
      <c r="C1839">
        <v>8370</v>
      </c>
      <c r="D1839">
        <v>-10</v>
      </c>
      <c r="E1839">
        <v>-0.12</v>
      </c>
      <c r="F1839" t="s">
        <v>397</v>
      </c>
      <c r="G1839" t="s">
        <v>397</v>
      </c>
      <c r="H1839" t="s">
        <v>397</v>
      </c>
      <c r="I1839" t="s">
        <v>397</v>
      </c>
      <c r="J1839" t="s">
        <v>397</v>
      </c>
      <c r="K1839" t="s">
        <v>397</v>
      </c>
      <c r="L1839">
        <v>0</v>
      </c>
      <c r="M1839">
        <v>0</v>
      </c>
    </row>
    <row r="1840" spans="1:13">
      <c r="A1840" s="28" t="s">
        <v>1984</v>
      </c>
      <c r="B1840" t="s">
        <v>1985</v>
      </c>
      <c r="C1840">
        <v>6100</v>
      </c>
      <c r="D1840">
        <v>-120</v>
      </c>
      <c r="E1840">
        <v>-1.93</v>
      </c>
      <c r="F1840" t="s">
        <v>397</v>
      </c>
      <c r="G1840" t="s">
        <v>397</v>
      </c>
      <c r="H1840" t="s">
        <v>397</v>
      </c>
      <c r="I1840" t="s">
        <v>397</v>
      </c>
      <c r="J1840" t="s">
        <v>397</v>
      </c>
      <c r="K1840" t="s">
        <v>397</v>
      </c>
      <c r="L1840">
        <v>0</v>
      </c>
      <c r="M1840">
        <v>0</v>
      </c>
    </row>
    <row r="1841" spans="1:13">
      <c r="A1841" s="28">
        <v>336260</v>
      </c>
      <c r="B1841" t="s">
        <v>1986</v>
      </c>
      <c r="C1841">
        <v>19790</v>
      </c>
      <c r="D1841">
        <v>-210</v>
      </c>
      <c r="E1841">
        <v>-1.05</v>
      </c>
      <c r="F1841">
        <v>47</v>
      </c>
      <c r="G1841">
        <v>421.06</v>
      </c>
      <c r="H1841">
        <v>144</v>
      </c>
      <c r="I1841">
        <v>137.36000000000001</v>
      </c>
      <c r="J1841">
        <v>7988</v>
      </c>
      <c r="K1841">
        <v>2.48</v>
      </c>
      <c r="L1841">
        <v>0</v>
      </c>
      <c r="M1841">
        <v>0</v>
      </c>
    </row>
    <row r="1842" spans="1:13">
      <c r="A1842" s="28">
        <v>34020</v>
      </c>
      <c r="B1842" t="s">
        <v>1987</v>
      </c>
      <c r="C1842">
        <v>17980</v>
      </c>
      <c r="D1842">
        <v>-250</v>
      </c>
      <c r="E1842">
        <v>-1.37</v>
      </c>
      <c r="F1842" t="s">
        <v>397</v>
      </c>
      <c r="G1842" t="s">
        <v>397</v>
      </c>
      <c r="H1842">
        <v>432</v>
      </c>
      <c r="I1842">
        <v>41.65</v>
      </c>
      <c r="J1842">
        <v>11146</v>
      </c>
      <c r="K1842">
        <v>1.61</v>
      </c>
      <c r="L1842">
        <v>0</v>
      </c>
      <c r="M1842">
        <v>0</v>
      </c>
    </row>
    <row r="1843" spans="1:13">
      <c r="A1843" s="28">
        <v>454910</v>
      </c>
      <c r="B1843" t="s">
        <v>1988</v>
      </c>
      <c r="C1843">
        <v>87100</v>
      </c>
      <c r="D1843">
        <v>-4900</v>
      </c>
      <c r="E1843">
        <v>-5.33</v>
      </c>
      <c r="F1843" t="s">
        <v>397</v>
      </c>
      <c r="G1843" t="s">
        <v>397</v>
      </c>
      <c r="H1843">
        <v>177</v>
      </c>
      <c r="I1843">
        <v>490.94</v>
      </c>
      <c r="J1843">
        <v>880</v>
      </c>
      <c r="K1843">
        <v>98.98</v>
      </c>
      <c r="L1843">
        <v>0</v>
      </c>
      <c r="M1843">
        <v>0</v>
      </c>
    </row>
    <row r="1844" spans="1:13">
      <c r="A1844" s="28">
        <v>25900</v>
      </c>
      <c r="B1844" t="s">
        <v>1989</v>
      </c>
      <c r="C1844">
        <v>62800</v>
      </c>
      <c r="D1844">
        <v>-200</v>
      </c>
      <c r="E1844">
        <v>-0.32</v>
      </c>
      <c r="F1844">
        <v>2099</v>
      </c>
      <c r="G1844">
        <v>29.92</v>
      </c>
      <c r="H1844" t="s">
        <v>397</v>
      </c>
      <c r="I1844" t="s">
        <v>397</v>
      </c>
      <c r="J1844">
        <v>36422</v>
      </c>
      <c r="K1844">
        <v>1.72</v>
      </c>
      <c r="L1844">
        <v>0</v>
      </c>
      <c r="M1844">
        <v>0</v>
      </c>
    </row>
    <row r="1845" spans="1:13">
      <c r="A1845" s="28">
        <v>23790</v>
      </c>
      <c r="B1845" t="s">
        <v>1990</v>
      </c>
      <c r="C1845">
        <v>914</v>
      </c>
      <c r="D1845">
        <v>6</v>
      </c>
      <c r="E1845">
        <v>0.66</v>
      </c>
      <c r="F1845" t="s">
        <v>397</v>
      </c>
      <c r="G1845" t="s">
        <v>397</v>
      </c>
      <c r="H1845" t="s">
        <v>397</v>
      </c>
      <c r="I1845" t="s">
        <v>397</v>
      </c>
      <c r="J1845">
        <v>2298</v>
      </c>
      <c r="K1845">
        <v>0.4</v>
      </c>
      <c r="L1845">
        <v>0</v>
      </c>
      <c r="M1845">
        <v>0</v>
      </c>
    </row>
    <row r="1846" spans="1:13">
      <c r="A1846" s="28">
        <v>94170</v>
      </c>
      <c r="B1846" t="s">
        <v>1991</v>
      </c>
      <c r="C1846">
        <v>20450</v>
      </c>
      <c r="D1846">
        <v>1140</v>
      </c>
      <c r="E1846">
        <v>5.9</v>
      </c>
      <c r="F1846" t="s">
        <v>397</v>
      </c>
      <c r="G1846" t="s">
        <v>397</v>
      </c>
      <c r="H1846" t="s">
        <v>397</v>
      </c>
      <c r="I1846" t="s">
        <v>397</v>
      </c>
      <c r="J1846">
        <v>1227</v>
      </c>
      <c r="K1846">
        <v>16.670000000000002</v>
      </c>
      <c r="L1846">
        <v>0</v>
      </c>
      <c r="M1846">
        <v>0</v>
      </c>
    </row>
    <row r="1847" spans="1:13">
      <c r="A1847" s="28">
        <v>88910</v>
      </c>
      <c r="B1847" t="s">
        <v>1992</v>
      </c>
      <c r="C1847">
        <v>2765</v>
      </c>
      <c r="D1847">
        <v>-35</v>
      </c>
      <c r="E1847">
        <v>-1.25</v>
      </c>
      <c r="F1847">
        <v>628</v>
      </c>
      <c r="G1847">
        <v>4.4000000000000004</v>
      </c>
      <c r="H1847" t="s">
        <v>397</v>
      </c>
      <c r="I1847" t="s">
        <v>397</v>
      </c>
      <c r="J1847">
        <v>7525</v>
      </c>
      <c r="K1847">
        <v>0.37</v>
      </c>
      <c r="L1847">
        <v>0</v>
      </c>
      <c r="M1847">
        <v>0</v>
      </c>
    </row>
    <row r="1848" spans="1:13">
      <c r="A1848" s="28">
        <v>228340</v>
      </c>
      <c r="B1848" t="s">
        <v>1993</v>
      </c>
      <c r="C1848">
        <v>2215</v>
      </c>
      <c r="D1848">
        <v>15</v>
      </c>
      <c r="E1848">
        <v>0.68</v>
      </c>
      <c r="F1848">
        <v>245</v>
      </c>
      <c r="G1848">
        <v>9.0399999999999991</v>
      </c>
      <c r="H1848" t="s">
        <v>397</v>
      </c>
      <c r="I1848" t="s">
        <v>397</v>
      </c>
      <c r="J1848">
        <v>6146</v>
      </c>
      <c r="K1848">
        <v>0.36</v>
      </c>
      <c r="L1848">
        <v>0</v>
      </c>
      <c r="M1848">
        <v>0</v>
      </c>
    </row>
    <row r="1849" spans="1:13">
      <c r="A1849" s="28">
        <v>8970</v>
      </c>
      <c r="B1849" t="s">
        <v>1994</v>
      </c>
      <c r="C1849">
        <v>679</v>
      </c>
      <c r="D1849">
        <v>-1</v>
      </c>
      <c r="E1849">
        <v>-0.15</v>
      </c>
      <c r="F1849">
        <v>33</v>
      </c>
      <c r="G1849">
        <v>20.58</v>
      </c>
      <c r="H1849" t="s">
        <v>397</v>
      </c>
      <c r="I1849" t="s">
        <v>397</v>
      </c>
      <c r="J1849">
        <v>740</v>
      </c>
      <c r="K1849">
        <v>0.92</v>
      </c>
      <c r="L1849">
        <v>0</v>
      </c>
      <c r="M1849">
        <v>0</v>
      </c>
    </row>
    <row r="1850" spans="1:13">
      <c r="A1850" s="28">
        <v>82640</v>
      </c>
      <c r="B1850" t="s">
        <v>1995</v>
      </c>
      <c r="C1850">
        <v>6240</v>
      </c>
      <c r="D1850">
        <v>-110</v>
      </c>
      <c r="E1850">
        <v>-1.73</v>
      </c>
      <c r="F1850">
        <v>475</v>
      </c>
      <c r="G1850">
        <v>13.14</v>
      </c>
      <c r="H1850">
        <v>1710</v>
      </c>
      <c r="I1850">
        <v>3.65</v>
      </c>
      <c r="J1850">
        <v>12252</v>
      </c>
      <c r="K1850">
        <v>0.51</v>
      </c>
      <c r="L1850">
        <v>0</v>
      </c>
      <c r="M1850">
        <v>0</v>
      </c>
    </row>
    <row r="1851" spans="1:13">
      <c r="A1851" s="28">
        <v>100590</v>
      </c>
      <c r="B1851" t="s">
        <v>1996</v>
      </c>
      <c r="C1851">
        <v>5090</v>
      </c>
      <c r="D1851">
        <v>-60</v>
      </c>
      <c r="E1851">
        <v>-1.17</v>
      </c>
      <c r="F1851">
        <v>36</v>
      </c>
      <c r="G1851">
        <v>141.38999999999999</v>
      </c>
      <c r="H1851" t="s">
        <v>397</v>
      </c>
      <c r="I1851" t="s">
        <v>397</v>
      </c>
      <c r="J1851">
        <v>5967</v>
      </c>
      <c r="K1851">
        <v>0.85</v>
      </c>
      <c r="L1851">
        <v>0</v>
      </c>
      <c r="M1851">
        <v>0</v>
      </c>
    </row>
    <row r="1852" spans="1:13">
      <c r="A1852" s="28">
        <v>446540</v>
      </c>
      <c r="B1852" t="s">
        <v>1997</v>
      </c>
      <c r="C1852">
        <v>5820</v>
      </c>
      <c r="D1852">
        <v>-300</v>
      </c>
      <c r="E1852">
        <v>-4.9000000000000004</v>
      </c>
      <c r="F1852">
        <v>427</v>
      </c>
      <c r="G1852">
        <v>13.63</v>
      </c>
      <c r="H1852" t="s">
        <v>397</v>
      </c>
      <c r="I1852" t="s">
        <v>397</v>
      </c>
      <c r="J1852">
        <v>1608</v>
      </c>
      <c r="K1852">
        <v>3.62</v>
      </c>
      <c r="L1852">
        <v>0</v>
      </c>
      <c r="M1852">
        <v>0</v>
      </c>
    </row>
    <row r="1853" spans="1:13">
      <c r="A1853" s="28">
        <v>2880</v>
      </c>
      <c r="B1853" t="s">
        <v>1998</v>
      </c>
      <c r="C1853">
        <v>1241</v>
      </c>
      <c r="D1853">
        <v>27</v>
      </c>
      <c r="E1853">
        <v>2.2200000000000002</v>
      </c>
      <c r="F1853" t="s">
        <v>397</v>
      </c>
      <c r="G1853" t="s">
        <v>397</v>
      </c>
      <c r="H1853" t="s">
        <v>397</v>
      </c>
      <c r="I1853" t="s">
        <v>397</v>
      </c>
      <c r="J1853">
        <v>2826</v>
      </c>
      <c r="K1853">
        <v>0.44</v>
      </c>
      <c r="L1853">
        <v>0</v>
      </c>
      <c r="M1853">
        <v>0</v>
      </c>
    </row>
    <row r="1854" spans="1:13">
      <c r="A1854" s="28">
        <v>5030</v>
      </c>
      <c r="B1854" t="s">
        <v>1999</v>
      </c>
      <c r="C1854">
        <v>486</v>
      </c>
      <c r="D1854">
        <v>0</v>
      </c>
      <c r="E1854">
        <v>0</v>
      </c>
      <c r="F1854" t="s">
        <v>397</v>
      </c>
      <c r="G1854" t="s">
        <v>397</v>
      </c>
      <c r="H1854" t="s">
        <v>397</v>
      </c>
      <c r="I1854" t="s">
        <v>397</v>
      </c>
      <c r="J1854">
        <v>316</v>
      </c>
      <c r="K1854">
        <v>1.54</v>
      </c>
      <c r="L1854">
        <v>0</v>
      </c>
      <c r="M1854">
        <v>0</v>
      </c>
    </row>
    <row r="1855" spans="1:13">
      <c r="A1855" s="28">
        <v>121800</v>
      </c>
      <c r="B1855" t="s">
        <v>2000</v>
      </c>
      <c r="C1855">
        <v>3320</v>
      </c>
      <c r="D1855">
        <v>0</v>
      </c>
      <c r="E1855">
        <v>0</v>
      </c>
      <c r="F1855" t="s">
        <v>397</v>
      </c>
      <c r="G1855" t="s">
        <v>397</v>
      </c>
      <c r="H1855" t="s">
        <v>397</v>
      </c>
      <c r="I1855" t="s">
        <v>397</v>
      </c>
      <c r="J1855">
        <v>10366</v>
      </c>
      <c r="K1855">
        <v>0.32</v>
      </c>
      <c r="L1855">
        <v>0</v>
      </c>
      <c r="M1855">
        <v>0</v>
      </c>
    </row>
    <row r="1856" spans="1:13">
      <c r="A1856" s="28">
        <v>126340</v>
      </c>
      <c r="B1856" t="s">
        <v>2001</v>
      </c>
      <c r="C1856">
        <v>45100</v>
      </c>
      <c r="D1856">
        <v>-500</v>
      </c>
      <c r="E1856">
        <v>-1.1000000000000001</v>
      </c>
      <c r="F1856">
        <v>2001</v>
      </c>
      <c r="G1856">
        <v>22.54</v>
      </c>
      <c r="H1856" t="s">
        <v>397</v>
      </c>
      <c r="I1856" t="s">
        <v>397</v>
      </c>
      <c r="J1856">
        <v>10472</v>
      </c>
      <c r="K1856">
        <v>4.3099999999999996</v>
      </c>
      <c r="L1856">
        <v>0</v>
      </c>
      <c r="M1856">
        <v>0</v>
      </c>
    </row>
    <row r="1857" spans="1:13">
      <c r="A1857" s="28">
        <v>369370</v>
      </c>
      <c r="B1857" t="s">
        <v>2002</v>
      </c>
      <c r="C1857">
        <v>2310</v>
      </c>
      <c r="D1857">
        <v>0</v>
      </c>
      <c r="E1857">
        <v>0</v>
      </c>
      <c r="F1857" t="s">
        <v>397</v>
      </c>
      <c r="G1857" t="s">
        <v>397</v>
      </c>
      <c r="H1857" t="s">
        <v>397</v>
      </c>
      <c r="I1857" t="s">
        <v>397</v>
      </c>
      <c r="J1857">
        <v>845</v>
      </c>
      <c r="K1857">
        <v>2.73</v>
      </c>
      <c r="L1857">
        <v>0</v>
      </c>
      <c r="M1857">
        <v>0</v>
      </c>
    </row>
    <row r="1858" spans="1:13">
      <c r="A1858" s="28">
        <v>33560</v>
      </c>
      <c r="B1858" t="s">
        <v>2003</v>
      </c>
      <c r="C1858">
        <v>3325</v>
      </c>
      <c r="D1858">
        <v>160</v>
      </c>
      <c r="E1858">
        <v>5.0599999999999996</v>
      </c>
      <c r="F1858" t="s">
        <v>397</v>
      </c>
      <c r="G1858" t="s">
        <v>397</v>
      </c>
      <c r="H1858" t="s">
        <v>397</v>
      </c>
      <c r="I1858" t="s">
        <v>397</v>
      </c>
      <c r="J1858">
        <v>9397</v>
      </c>
      <c r="K1858">
        <v>0.35</v>
      </c>
      <c r="L1858">
        <v>0</v>
      </c>
      <c r="M1858">
        <v>0</v>
      </c>
    </row>
    <row r="1859" spans="1:13">
      <c r="A1859" s="28">
        <v>439580</v>
      </c>
      <c r="B1859" t="s">
        <v>2004</v>
      </c>
      <c r="C1859">
        <v>15070</v>
      </c>
      <c r="D1859">
        <v>-300</v>
      </c>
      <c r="E1859">
        <v>-1.95</v>
      </c>
      <c r="F1859" t="s">
        <v>397</v>
      </c>
      <c r="G1859" t="s">
        <v>397</v>
      </c>
      <c r="H1859" t="s">
        <v>397</v>
      </c>
      <c r="I1859" t="s">
        <v>397</v>
      </c>
      <c r="J1859">
        <v>152</v>
      </c>
      <c r="K1859">
        <v>99.14</v>
      </c>
      <c r="L1859">
        <v>0</v>
      </c>
      <c r="M1859">
        <v>0</v>
      </c>
    </row>
    <row r="1860" spans="1:13">
      <c r="A1860" s="28">
        <v>44480</v>
      </c>
      <c r="B1860" t="s">
        <v>2005</v>
      </c>
      <c r="C1860">
        <v>856</v>
      </c>
      <c r="D1860">
        <v>-39</v>
      </c>
      <c r="E1860">
        <v>-4.3600000000000003</v>
      </c>
      <c r="F1860" t="s">
        <v>397</v>
      </c>
      <c r="G1860" t="s">
        <v>397</v>
      </c>
      <c r="H1860" t="s">
        <v>397</v>
      </c>
      <c r="I1860" t="s">
        <v>397</v>
      </c>
      <c r="J1860">
        <v>873</v>
      </c>
      <c r="K1860">
        <v>0.98</v>
      </c>
      <c r="L1860">
        <v>0</v>
      </c>
      <c r="M1860">
        <v>0</v>
      </c>
    </row>
    <row r="1861" spans="1:13">
      <c r="A1861" s="28">
        <v>18290</v>
      </c>
      <c r="B1861" t="s">
        <v>2006</v>
      </c>
      <c r="C1861">
        <v>16170</v>
      </c>
      <c r="D1861">
        <v>-990</v>
      </c>
      <c r="E1861">
        <v>-5.77</v>
      </c>
      <c r="F1861">
        <v>342</v>
      </c>
      <c r="G1861">
        <v>47.28</v>
      </c>
      <c r="H1861">
        <v>1492</v>
      </c>
      <c r="I1861">
        <v>10.83</v>
      </c>
      <c r="J1861">
        <v>2395</v>
      </c>
      <c r="K1861">
        <v>6.75</v>
      </c>
      <c r="L1861">
        <v>0</v>
      </c>
      <c r="M1861">
        <v>0</v>
      </c>
    </row>
    <row r="1862" spans="1:13">
      <c r="A1862" s="28">
        <v>365900</v>
      </c>
      <c r="B1862" t="s">
        <v>2007</v>
      </c>
      <c r="C1862">
        <v>3990</v>
      </c>
      <c r="D1862">
        <v>40</v>
      </c>
      <c r="E1862">
        <v>1.01</v>
      </c>
      <c r="F1862">
        <v>191</v>
      </c>
      <c r="G1862">
        <v>20.89</v>
      </c>
      <c r="H1862" t="s">
        <v>397</v>
      </c>
      <c r="I1862" t="s">
        <v>397</v>
      </c>
      <c r="J1862">
        <v>6716</v>
      </c>
      <c r="K1862">
        <v>0.59</v>
      </c>
      <c r="L1862">
        <v>0</v>
      </c>
      <c r="M1862">
        <v>0</v>
      </c>
    </row>
    <row r="1863" spans="1:13">
      <c r="A1863" s="28">
        <v>288330</v>
      </c>
      <c r="B1863" t="s">
        <v>2008</v>
      </c>
      <c r="C1863">
        <v>3205</v>
      </c>
      <c r="D1863">
        <v>0</v>
      </c>
      <c r="E1863">
        <v>0</v>
      </c>
      <c r="F1863" t="s">
        <v>397</v>
      </c>
      <c r="G1863" t="s">
        <v>397</v>
      </c>
      <c r="H1863" t="s">
        <v>397</v>
      </c>
      <c r="I1863" t="s">
        <v>397</v>
      </c>
      <c r="J1863">
        <v>2607</v>
      </c>
      <c r="K1863">
        <v>1.23</v>
      </c>
      <c r="L1863">
        <v>0</v>
      </c>
      <c r="M1863">
        <v>0</v>
      </c>
    </row>
    <row r="1864" spans="1:13">
      <c r="A1864" s="28">
        <v>406820</v>
      </c>
      <c r="B1864" t="s">
        <v>2009</v>
      </c>
      <c r="C1864">
        <v>13940</v>
      </c>
      <c r="D1864">
        <v>-100</v>
      </c>
      <c r="E1864">
        <v>-0.71</v>
      </c>
      <c r="F1864">
        <v>1089</v>
      </c>
      <c r="G1864">
        <v>12.8</v>
      </c>
      <c r="H1864" t="s">
        <v>397</v>
      </c>
      <c r="I1864" t="s">
        <v>397</v>
      </c>
      <c r="J1864">
        <v>10616</v>
      </c>
      <c r="K1864">
        <v>1.31</v>
      </c>
      <c r="L1864">
        <v>0</v>
      </c>
      <c r="M1864">
        <v>0</v>
      </c>
    </row>
    <row r="1865" spans="1:13">
      <c r="A1865" s="28">
        <v>338220</v>
      </c>
      <c r="B1865" t="s">
        <v>2010</v>
      </c>
      <c r="C1865">
        <v>34400</v>
      </c>
      <c r="D1865">
        <v>-1300</v>
      </c>
      <c r="E1865">
        <v>-3.64</v>
      </c>
      <c r="F1865" t="s">
        <v>397</v>
      </c>
      <c r="G1865" t="s">
        <v>397</v>
      </c>
      <c r="H1865">
        <v>45</v>
      </c>
      <c r="I1865">
        <v>762.78</v>
      </c>
      <c r="J1865">
        <v>1643</v>
      </c>
      <c r="K1865">
        <v>20.94</v>
      </c>
      <c r="L1865">
        <v>0</v>
      </c>
      <c r="M1865">
        <v>0</v>
      </c>
    </row>
    <row r="1866" spans="1:13">
      <c r="A1866" s="28">
        <v>14470</v>
      </c>
      <c r="B1866" t="s">
        <v>355</v>
      </c>
      <c r="C1866">
        <v>2515</v>
      </c>
      <c r="D1866">
        <v>5</v>
      </c>
      <c r="E1866">
        <v>0.2</v>
      </c>
      <c r="F1866">
        <v>582</v>
      </c>
      <c r="G1866">
        <v>4.32</v>
      </c>
      <c r="H1866" t="s">
        <v>397</v>
      </c>
      <c r="I1866" t="s">
        <v>397</v>
      </c>
      <c r="J1866">
        <v>3441</v>
      </c>
      <c r="K1866">
        <v>0.73</v>
      </c>
      <c r="L1866">
        <v>0</v>
      </c>
      <c r="M1866">
        <v>0</v>
      </c>
    </row>
    <row r="1867" spans="1:13">
      <c r="A1867" s="28">
        <v>82800</v>
      </c>
      <c r="B1867" t="s">
        <v>2011</v>
      </c>
      <c r="C1867">
        <v>3020</v>
      </c>
      <c r="D1867">
        <v>-45</v>
      </c>
      <c r="E1867">
        <v>-1.47</v>
      </c>
      <c r="F1867" t="s">
        <v>397</v>
      </c>
      <c r="G1867" t="s">
        <v>397</v>
      </c>
      <c r="H1867" t="s">
        <v>397</v>
      </c>
      <c r="I1867" t="s">
        <v>397</v>
      </c>
      <c r="J1867">
        <v>2260</v>
      </c>
      <c r="K1867">
        <v>1.34</v>
      </c>
      <c r="L1867">
        <v>0</v>
      </c>
      <c r="M1867">
        <v>0</v>
      </c>
    </row>
    <row r="1868" spans="1:13">
      <c r="A1868" s="28">
        <v>3000</v>
      </c>
      <c r="B1868" t="s">
        <v>2012</v>
      </c>
      <c r="C1868">
        <v>6390</v>
      </c>
      <c r="D1868">
        <v>-40</v>
      </c>
      <c r="E1868">
        <v>-0.62</v>
      </c>
      <c r="F1868" t="s">
        <v>397</v>
      </c>
      <c r="G1868" t="s">
        <v>397</v>
      </c>
      <c r="H1868" t="s">
        <v>397</v>
      </c>
      <c r="I1868" t="s">
        <v>397</v>
      </c>
      <c r="J1868">
        <v>3845</v>
      </c>
      <c r="K1868">
        <v>1.66</v>
      </c>
      <c r="L1868">
        <v>0</v>
      </c>
      <c r="M1868">
        <v>0</v>
      </c>
    </row>
    <row r="1869" spans="1:13">
      <c r="A1869" s="28">
        <v>226340</v>
      </c>
      <c r="B1869" t="s">
        <v>2013</v>
      </c>
      <c r="C1869">
        <v>2200</v>
      </c>
      <c r="D1869">
        <v>-40</v>
      </c>
      <c r="E1869">
        <v>-1.79</v>
      </c>
      <c r="F1869">
        <v>65</v>
      </c>
      <c r="G1869">
        <v>33.85</v>
      </c>
      <c r="H1869">
        <v>276</v>
      </c>
      <c r="I1869">
        <v>7.98</v>
      </c>
      <c r="J1869">
        <v>835</v>
      </c>
      <c r="K1869">
        <v>2.63</v>
      </c>
      <c r="L1869">
        <v>0</v>
      </c>
      <c r="M1869">
        <v>0</v>
      </c>
    </row>
    <row r="1870" spans="1:13">
      <c r="A1870" s="28">
        <v>890</v>
      </c>
      <c r="B1870" t="s">
        <v>2014</v>
      </c>
      <c r="C1870">
        <v>500</v>
      </c>
      <c r="D1870">
        <v>-6</v>
      </c>
      <c r="E1870">
        <v>-1.19</v>
      </c>
      <c r="F1870" t="s">
        <v>397</v>
      </c>
      <c r="G1870" t="s">
        <v>397</v>
      </c>
      <c r="H1870" t="s">
        <v>397</v>
      </c>
      <c r="I1870" t="s">
        <v>397</v>
      </c>
      <c r="J1870">
        <v>593</v>
      </c>
      <c r="K1870">
        <v>0.84</v>
      </c>
      <c r="L1870">
        <v>0</v>
      </c>
      <c r="M1870">
        <v>0</v>
      </c>
    </row>
    <row r="1871" spans="1:13">
      <c r="A1871" s="28">
        <v>6910</v>
      </c>
      <c r="B1871" t="s">
        <v>2015</v>
      </c>
      <c r="C1871">
        <v>3240</v>
      </c>
      <c r="D1871">
        <v>-35</v>
      </c>
      <c r="E1871">
        <v>-1.07</v>
      </c>
      <c r="F1871" t="s">
        <v>397</v>
      </c>
      <c r="G1871" t="s">
        <v>397</v>
      </c>
      <c r="H1871" t="s">
        <v>397</v>
      </c>
      <c r="I1871" t="s">
        <v>397</v>
      </c>
      <c r="J1871">
        <v>1651</v>
      </c>
      <c r="K1871">
        <v>1.96</v>
      </c>
      <c r="L1871">
        <v>0</v>
      </c>
      <c r="M1871">
        <v>0</v>
      </c>
    </row>
    <row r="1872" spans="1:13">
      <c r="A1872" s="28">
        <v>310210</v>
      </c>
      <c r="B1872" t="s">
        <v>2016</v>
      </c>
      <c r="C1872">
        <v>37400</v>
      </c>
      <c r="D1872">
        <v>-1450</v>
      </c>
      <c r="E1872">
        <v>-3.73</v>
      </c>
      <c r="F1872" t="s">
        <v>397</v>
      </c>
      <c r="G1872" t="s">
        <v>397</v>
      </c>
      <c r="H1872" t="s">
        <v>397</v>
      </c>
      <c r="I1872" t="s">
        <v>397</v>
      </c>
      <c r="J1872">
        <v>2291</v>
      </c>
      <c r="K1872">
        <v>16.32</v>
      </c>
      <c r="L1872">
        <v>0</v>
      </c>
      <c r="M1872">
        <v>0</v>
      </c>
    </row>
    <row r="1873" spans="1:13">
      <c r="A1873" s="28">
        <v>424760</v>
      </c>
      <c r="B1873" t="s">
        <v>2017</v>
      </c>
      <c r="C1873">
        <v>1515</v>
      </c>
      <c r="D1873">
        <v>-10</v>
      </c>
      <c r="E1873">
        <v>-0.66</v>
      </c>
      <c r="F1873" t="s">
        <v>397</v>
      </c>
      <c r="G1873" t="s">
        <v>397</v>
      </c>
      <c r="H1873" t="s">
        <v>397</v>
      </c>
      <c r="I1873" t="s">
        <v>397</v>
      </c>
      <c r="J1873" t="s">
        <v>397</v>
      </c>
      <c r="K1873" t="s">
        <v>397</v>
      </c>
      <c r="L1873">
        <v>0</v>
      </c>
      <c r="M1873">
        <v>0</v>
      </c>
    </row>
    <row r="1874" spans="1:13">
      <c r="A1874" s="28">
        <v>299910</v>
      </c>
      <c r="B1874" t="s">
        <v>2018</v>
      </c>
      <c r="C1874">
        <v>6880</v>
      </c>
      <c r="D1874">
        <v>0</v>
      </c>
      <c r="E1874">
        <v>0</v>
      </c>
      <c r="F1874" t="s">
        <v>397</v>
      </c>
      <c r="G1874" t="s">
        <v>397</v>
      </c>
      <c r="H1874" t="s">
        <v>397</v>
      </c>
      <c r="I1874" t="s">
        <v>397</v>
      </c>
      <c r="J1874" t="s">
        <v>397</v>
      </c>
      <c r="K1874" t="s">
        <v>397</v>
      </c>
      <c r="L1874">
        <v>0</v>
      </c>
      <c r="M1874">
        <v>0</v>
      </c>
    </row>
    <row r="1875" spans="1:13">
      <c r="A1875" s="28">
        <v>177350</v>
      </c>
      <c r="B1875" t="s">
        <v>2019</v>
      </c>
      <c r="C1875">
        <v>632</v>
      </c>
      <c r="D1875">
        <v>-21</v>
      </c>
      <c r="E1875">
        <v>-3.22</v>
      </c>
      <c r="F1875" t="s">
        <v>397</v>
      </c>
      <c r="G1875" t="s">
        <v>397</v>
      </c>
      <c r="H1875" t="s">
        <v>397</v>
      </c>
      <c r="I1875" t="s">
        <v>397</v>
      </c>
      <c r="J1875">
        <v>770</v>
      </c>
      <c r="K1875">
        <v>0.82</v>
      </c>
      <c r="L1875">
        <v>0</v>
      </c>
      <c r="M1875">
        <v>0</v>
      </c>
    </row>
    <row r="1876" spans="1:13">
      <c r="A1876" s="28">
        <v>206400</v>
      </c>
      <c r="B1876" t="s">
        <v>2020</v>
      </c>
      <c r="C1876">
        <v>4395</v>
      </c>
      <c r="D1876">
        <v>80</v>
      </c>
      <c r="E1876">
        <v>1.85</v>
      </c>
      <c r="F1876" t="s">
        <v>397</v>
      </c>
      <c r="G1876" t="s">
        <v>397</v>
      </c>
      <c r="H1876" t="s">
        <v>397</v>
      </c>
      <c r="I1876" t="s">
        <v>397</v>
      </c>
      <c r="J1876">
        <v>2426</v>
      </c>
      <c r="K1876">
        <v>1.81</v>
      </c>
      <c r="L1876">
        <v>0</v>
      </c>
      <c r="M1876">
        <v>0</v>
      </c>
    </row>
    <row r="1877" spans="1:13">
      <c r="A1877" s="28">
        <v>382900</v>
      </c>
      <c r="B1877" t="s">
        <v>2021</v>
      </c>
      <c r="C1877">
        <v>18520</v>
      </c>
      <c r="D1877">
        <v>590</v>
      </c>
      <c r="E1877">
        <v>3.29</v>
      </c>
      <c r="F1877">
        <v>292</v>
      </c>
      <c r="G1877">
        <v>63.42</v>
      </c>
      <c r="H1877" t="s">
        <v>397</v>
      </c>
      <c r="I1877" t="s">
        <v>397</v>
      </c>
      <c r="J1877">
        <v>12395</v>
      </c>
      <c r="K1877">
        <v>1.49</v>
      </c>
      <c r="L1877">
        <v>0</v>
      </c>
      <c r="M1877">
        <v>0</v>
      </c>
    </row>
    <row r="1878" spans="1:13">
      <c r="A1878" s="28">
        <v>2410</v>
      </c>
      <c r="B1878" t="s">
        <v>2022</v>
      </c>
      <c r="C1878">
        <v>1713</v>
      </c>
      <c r="D1878">
        <v>-20</v>
      </c>
      <c r="E1878">
        <v>-1.1499999999999999</v>
      </c>
      <c r="F1878" t="s">
        <v>397</v>
      </c>
      <c r="G1878" t="s">
        <v>397</v>
      </c>
      <c r="H1878" t="s">
        <v>397</v>
      </c>
      <c r="I1878" t="s">
        <v>397</v>
      </c>
      <c r="J1878">
        <v>3085</v>
      </c>
      <c r="K1878">
        <v>0.56000000000000005</v>
      </c>
      <c r="L1878">
        <v>0</v>
      </c>
      <c r="M1878">
        <v>0</v>
      </c>
    </row>
    <row r="1879" spans="1:13">
      <c r="A1879" s="28">
        <v>148140</v>
      </c>
      <c r="B1879" t="s">
        <v>2023</v>
      </c>
      <c r="C1879">
        <v>6140</v>
      </c>
      <c r="D1879">
        <v>0</v>
      </c>
      <c r="E1879">
        <v>0</v>
      </c>
      <c r="F1879" t="s">
        <v>397</v>
      </c>
      <c r="G1879" t="s">
        <v>397</v>
      </c>
      <c r="H1879" t="s">
        <v>397</v>
      </c>
      <c r="I1879" t="s">
        <v>397</v>
      </c>
      <c r="J1879" t="s">
        <v>397</v>
      </c>
      <c r="K1879" t="s">
        <v>397</v>
      </c>
      <c r="L1879">
        <v>0</v>
      </c>
      <c r="M1879">
        <v>0</v>
      </c>
    </row>
    <row r="1880" spans="1:13">
      <c r="A1880" s="28">
        <v>2070</v>
      </c>
      <c r="B1880" t="s">
        <v>2024</v>
      </c>
      <c r="C1880">
        <v>1103</v>
      </c>
      <c r="D1880">
        <v>16</v>
      </c>
      <c r="E1880">
        <v>1.47</v>
      </c>
      <c r="F1880" t="s">
        <v>397</v>
      </c>
      <c r="G1880" t="s">
        <v>397</v>
      </c>
      <c r="H1880" t="s">
        <v>397</v>
      </c>
      <c r="I1880" t="s">
        <v>397</v>
      </c>
      <c r="J1880">
        <v>3232</v>
      </c>
      <c r="K1880">
        <v>0.34</v>
      </c>
      <c r="L1880">
        <v>0</v>
      </c>
      <c r="M1880">
        <v>0</v>
      </c>
    </row>
    <row r="1881" spans="1:13">
      <c r="A1881" s="28">
        <v>235980</v>
      </c>
      <c r="B1881" t="s">
        <v>2025</v>
      </c>
      <c r="C1881">
        <v>14890</v>
      </c>
      <c r="D1881">
        <v>-700</v>
      </c>
      <c r="E1881">
        <v>-4.49</v>
      </c>
      <c r="F1881" t="s">
        <v>397</v>
      </c>
      <c r="G1881" t="s">
        <v>397</v>
      </c>
      <c r="H1881" t="s">
        <v>397</v>
      </c>
      <c r="I1881" t="s">
        <v>397</v>
      </c>
      <c r="J1881">
        <v>1345</v>
      </c>
      <c r="K1881">
        <v>11.07</v>
      </c>
      <c r="L1881">
        <v>0</v>
      </c>
      <c r="M1881">
        <v>0</v>
      </c>
    </row>
    <row r="1882" spans="1:13">
      <c r="A1882" s="28">
        <v>307870</v>
      </c>
      <c r="B1882" t="s">
        <v>2026</v>
      </c>
      <c r="C1882">
        <v>1608</v>
      </c>
      <c r="D1882">
        <v>-70</v>
      </c>
      <c r="E1882">
        <v>-4.17</v>
      </c>
      <c r="F1882" t="s">
        <v>397</v>
      </c>
      <c r="G1882" t="s">
        <v>397</v>
      </c>
      <c r="H1882" t="s">
        <v>397</v>
      </c>
      <c r="I1882" t="s">
        <v>397</v>
      </c>
      <c r="J1882">
        <v>564</v>
      </c>
      <c r="K1882">
        <v>2.85</v>
      </c>
      <c r="L1882">
        <v>0</v>
      </c>
      <c r="M1882">
        <v>0</v>
      </c>
    </row>
    <row r="1883" spans="1:13">
      <c r="A1883" s="28">
        <v>1470</v>
      </c>
      <c r="B1883" t="s">
        <v>2027</v>
      </c>
      <c r="C1883">
        <v>2690</v>
      </c>
      <c r="D1883">
        <v>315</v>
      </c>
      <c r="E1883">
        <v>13.26</v>
      </c>
      <c r="F1883" t="s">
        <v>397</v>
      </c>
      <c r="G1883" t="s">
        <v>397</v>
      </c>
      <c r="H1883" t="s">
        <v>397</v>
      </c>
      <c r="I1883" t="s">
        <v>397</v>
      </c>
      <c r="J1883">
        <v>975</v>
      </c>
      <c r="K1883">
        <v>2.76</v>
      </c>
      <c r="L1883">
        <v>0</v>
      </c>
      <c r="M1883">
        <v>0</v>
      </c>
    </row>
    <row r="1884" spans="1:13">
      <c r="A1884" s="28">
        <v>9620</v>
      </c>
      <c r="B1884" t="s">
        <v>2028</v>
      </c>
      <c r="C1884">
        <v>1001</v>
      </c>
      <c r="D1884">
        <v>26</v>
      </c>
      <c r="E1884">
        <v>2.67</v>
      </c>
      <c r="F1884" t="s">
        <v>397</v>
      </c>
      <c r="G1884" t="s">
        <v>397</v>
      </c>
      <c r="H1884" t="s">
        <v>397</v>
      </c>
      <c r="I1884" t="s">
        <v>397</v>
      </c>
      <c r="J1884">
        <v>535</v>
      </c>
      <c r="K1884">
        <v>1.87</v>
      </c>
      <c r="L1884">
        <v>0</v>
      </c>
      <c r="M1884">
        <v>0</v>
      </c>
    </row>
    <row r="1885" spans="1:13">
      <c r="A1885" s="28">
        <v>419050</v>
      </c>
      <c r="B1885" t="s">
        <v>2029</v>
      </c>
      <c r="C1885">
        <v>2830</v>
      </c>
      <c r="D1885">
        <v>-30</v>
      </c>
      <c r="E1885">
        <v>-1.05</v>
      </c>
      <c r="F1885">
        <v>165</v>
      </c>
      <c r="G1885">
        <v>17.149999999999999</v>
      </c>
      <c r="H1885" t="s">
        <v>397</v>
      </c>
      <c r="I1885" t="s">
        <v>397</v>
      </c>
      <c r="J1885">
        <v>910</v>
      </c>
      <c r="K1885">
        <v>3.11</v>
      </c>
      <c r="L1885">
        <v>0</v>
      </c>
      <c r="M1885">
        <v>0</v>
      </c>
    </row>
    <row r="1886" spans="1:13">
      <c r="A1886" s="28">
        <v>122350</v>
      </c>
      <c r="B1886" t="s">
        <v>2030</v>
      </c>
      <c r="C1886">
        <v>1975</v>
      </c>
      <c r="D1886">
        <v>-5</v>
      </c>
      <c r="E1886">
        <v>-0.25</v>
      </c>
      <c r="F1886" t="s">
        <v>397</v>
      </c>
      <c r="G1886" t="s">
        <v>397</v>
      </c>
      <c r="H1886" t="s">
        <v>397</v>
      </c>
      <c r="I1886" t="s">
        <v>397</v>
      </c>
      <c r="J1886">
        <v>3011</v>
      </c>
      <c r="K1886">
        <v>0.66</v>
      </c>
      <c r="L1886">
        <v>0</v>
      </c>
      <c r="M1886">
        <v>0</v>
      </c>
    </row>
    <row r="1887" spans="1:13">
      <c r="A1887" s="28">
        <v>452430</v>
      </c>
      <c r="B1887" t="s">
        <v>2031</v>
      </c>
      <c r="C1887">
        <v>41600</v>
      </c>
      <c r="D1887">
        <v>-2100</v>
      </c>
      <c r="E1887">
        <v>-4.8099999999999996</v>
      </c>
      <c r="F1887" t="s">
        <v>397</v>
      </c>
      <c r="G1887" t="s">
        <v>397</v>
      </c>
      <c r="H1887" t="s">
        <v>397</v>
      </c>
      <c r="I1887" t="s">
        <v>397</v>
      </c>
      <c r="J1887" t="s">
        <v>397</v>
      </c>
      <c r="K1887" t="s">
        <v>397</v>
      </c>
      <c r="L1887">
        <v>0</v>
      </c>
      <c r="M1887">
        <v>0</v>
      </c>
    </row>
    <row r="1888" spans="1:13">
      <c r="A1888" s="28">
        <v>8040</v>
      </c>
      <c r="B1888" t="s">
        <v>2032</v>
      </c>
      <c r="C1888">
        <v>969</v>
      </c>
      <c r="D1888">
        <v>1</v>
      </c>
      <c r="E1888">
        <v>0.1</v>
      </c>
      <c r="F1888">
        <v>8</v>
      </c>
      <c r="G1888">
        <v>121.13</v>
      </c>
      <c r="H1888" t="s">
        <v>397</v>
      </c>
      <c r="I1888" t="s">
        <v>397</v>
      </c>
      <c r="J1888">
        <v>1639</v>
      </c>
      <c r="K1888">
        <v>0.59</v>
      </c>
      <c r="L1888">
        <v>0</v>
      </c>
      <c r="M1888">
        <v>0</v>
      </c>
    </row>
    <row r="1889" spans="1:13">
      <c r="A1889" s="28">
        <v>210120</v>
      </c>
      <c r="B1889" t="s">
        <v>2033</v>
      </c>
      <c r="C1889">
        <v>18390</v>
      </c>
      <c r="D1889">
        <v>-110</v>
      </c>
      <c r="E1889">
        <v>-0.59</v>
      </c>
      <c r="F1889">
        <v>537</v>
      </c>
      <c r="G1889">
        <v>34.25</v>
      </c>
      <c r="H1889" t="s">
        <v>397</v>
      </c>
      <c r="I1889" t="s">
        <v>397</v>
      </c>
      <c r="J1889">
        <v>4735</v>
      </c>
      <c r="K1889">
        <v>3.88</v>
      </c>
      <c r="L1889">
        <v>0</v>
      </c>
      <c r="M1889">
        <v>0</v>
      </c>
    </row>
    <row r="1890" spans="1:13">
      <c r="A1890" s="28">
        <v>65450</v>
      </c>
      <c r="B1890" t="s">
        <v>2034</v>
      </c>
      <c r="C1890">
        <v>5100</v>
      </c>
      <c r="D1890">
        <v>-30</v>
      </c>
      <c r="E1890">
        <v>-0.57999999999999996</v>
      </c>
      <c r="F1890" t="s">
        <v>397</v>
      </c>
      <c r="G1890" t="s">
        <v>397</v>
      </c>
      <c r="H1890" t="s">
        <v>397</v>
      </c>
      <c r="I1890" t="s">
        <v>397</v>
      </c>
      <c r="J1890">
        <v>2130</v>
      </c>
      <c r="K1890">
        <v>2.39</v>
      </c>
      <c r="L1890">
        <v>0</v>
      </c>
      <c r="M1890">
        <v>0</v>
      </c>
    </row>
    <row r="1891" spans="1:13">
      <c r="A1891" s="28">
        <v>238200</v>
      </c>
      <c r="B1891" t="s">
        <v>2035</v>
      </c>
      <c r="C1891">
        <v>5340</v>
      </c>
      <c r="D1891">
        <v>180</v>
      </c>
      <c r="E1891">
        <v>3.49</v>
      </c>
      <c r="F1891">
        <v>189</v>
      </c>
      <c r="G1891">
        <v>28.25</v>
      </c>
      <c r="H1891" t="s">
        <v>397</v>
      </c>
      <c r="I1891" t="s">
        <v>397</v>
      </c>
      <c r="J1891">
        <v>6417</v>
      </c>
      <c r="K1891">
        <v>0.83</v>
      </c>
      <c r="L1891">
        <v>0</v>
      </c>
      <c r="M1891">
        <v>0</v>
      </c>
    </row>
    <row r="1892" spans="1:13">
      <c r="A1892" s="28">
        <v>148780</v>
      </c>
      <c r="B1892" t="s">
        <v>2036</v>
      </c>
      <c r="C1892">
        <v>1499</v>
      </c>
      <c r="D1892">
        <v>-13</v>
      </c>
      <c r="E1892">
        <v>-0.86</v>
      </c>
      <c r="F1892" t="s">
        <v>397</v>
      </c>
      <c r="G1892" t="s">
        <v>397</v>
      </c>
      <c r="H1892" t="s">
        <v>397</v>
      </c>
      <c r="I1892" t="s">
        <v>397</v>
      </c>
      <c r="J1892">
        <v>379</v>
      </c>
      <c r="K1892">
        <v>3.96</v>
      </c>
      <c r="L1892">
        <v>0</v>
      </c>
      <c r="M1892">
        <v>0</v>
      </c>
    </row>
    <row r="1893" spans="1:13">
      <c r="A1893" s="28">
        <v>357880</v>
      </c>
      <c r="B1893" t="s">
        <v>2037</v>
      </c>
      <c r="C1893">
        <v>5490</v>
      </c>
      <c r="D1893">
        <v>-10</v>
      </c>
      <c r="E1893">
        <v>-0.18</v>
      </c>
      <c r="F1893" t="s">
        <v>397</v>
      </c>
      <c r="G1893" t="s">
        <v>397</v>
      </c>
      <c r="H1893" t="s">
        <v>397</v>
      </c>
      <c r="I1893" t="s">
        <v>397</v>
      </c>
      <c r="J1893">
        <v>3236</v>
      </c>
      <c r="K1893">
        <v>1.7</v>
      </c>
      <c r="L1893">
        <v>0</v>
      </c>
      <c r="M1893">
        <v>0</v>
      </c>
    </row>
    <row r="1894" spans="1:13">
      <c r="A1894" s="28">
        <v>50090</v>
      </c>
      <c r="B1894" t="s">
        <v>2038</v>
      </c>
      <c r="C1894">
        <v>1011</v>
      </c>
      <c r="D1894">
        <v>-4</v>
      </c>
      <c r="E1894">
        <v>-0.39</v>
      </c>
      <c r="F1894" t="s">
        <v>397</v>
      </c>
      <c r="G1894" t="s">
        <v>397</v>
      </c>
      <c r="H1894" t="s">
        <v>397</v>
      </c>
      <c r="I1894" t="s">
        <v>397</v>
      </c>
      <c r="J1894">
        <v>1128</v>
      </c>
      <c r="K1894">
        <v>0.9</v>
      </c>
      <c r="L1894">
        <v>0</v>
      </c>
      <c r="M1894">
        <v>0</v>
      </c>
    </row>
    <row r="1895" spans="1:13">
      <c r="A1895" s="28">
        <v>419540</v>
      </c>
      <c r="B1895" t="s">
        <v>2039</v>
      </c>
      <c r="C1895">
        <v>2145</v>
      </c>
      <c r="D1895">
        <v>15</v>
      </c>
      <c r="E1895">
        <v>0.7</v>
      </c>
      <c r="F1895" t="s">
        <v>397</v>
      </c>
      <c r="G1895" t="s">
        <v>397</v>
      </c>
      <c r="H1895" t="s">
        <v>397</v>
      </c>
      <c r="I1895" t="s">
        <v>397</v>
      </c>
      <c r="J1895">
        <v>752</v>
      </c>
      <c r="K1895">
        <v>2.85</v>
      </c>
      <c r="L1895">
        <v>0</v>
      </c>
      <c r="M1895">
        <v>0</v>
      </c>
    </row>
    <row r="1896" spans="1:13">
      <c r="A1896" s="28">
        <v>30790</v>
      </c>
      <c r="B1896" t="s">
        <v>2040</v>
      </c>
      <c r="C1896">
        <v>904</v>
      </c>
      <c r="D1896">
        <v>0</v>
      </c>
      <c r="E1896">
        <v>0</v>
      </c>
      <c r="F1896" t="s">
        <v>397</v>
      </c>
      <c r="G1896" t="s">
        <v>397</v>
      </c>
      <c r="H1896" t="s">
        <v>397</v>
      </c>
      <c r="I1896" t="s">
        <v>397</v>
      </c>
      <c r="J1896">
        <v>277</v>
      </c>
      <c r="K1896">
        <v>3.26</v>
      </c>
      <c r="L1896">
        <v>0</v>
      </c>
      <c r="M1896">
        <v>0</v>
      </c>
    </row>
    <row r="1897" spans="1:13">
      <c r="A1897" s="28">
        <v>54220</v>
      </c>
      <c r="B1897" t="s">
        <v>2041</v>
      </c>
      <c r="C1897">
        <v>548</v>
      </c>
      <c r="D1897">
        <v>4</v>
      </c>
      <c r="E1897">
        <v>0.74</v>
      </c>
      <c r="F1897" t="s">
        <v>397</v>
      </c>
      <c r="G1897" t="s">
        <v>397</v>
      </c>
      <c r="H1897" t="s">
        <v>397</v>
      </c>
      <c r="I1897" t="s">
        <v>397</v>
      </c>
      <c r="J1897">
        <v>374</v>
      </c>
      <c r="K1897">
        <v>1.47</v>
      </c>
      <c r="L1897">
        <v>0</v>
      </c>
      <c r="M1897">
        <v>0</v>
      </c>
    </row>
    <row r="1898" spans="1:13">
      <c r="A1898" s="28">
        <v>138580</v>
      </c>
      <c r="B1898" t="s">
        <v>2042</v>
      </c>
      <c r="C1898">
        <v>13100</v>
      </c>
      <c r="D1898">
        <v>60</v>
      </c>
      <c r="E1898">
        <v>0.46</v>
      </c>
      <c r="F1898">
        <v>493</v>
      </c>
      <c r="G1898">
        <v>26.57</v>
      </c>
      <c r="H1898" t="s">
        <v>397</v>
      </c>
      <c r="I1898" t="s">
        <v>397</v>
      </c>
      <c r="J1898">
        <v>3070</v>
      </c>
      <c r="K1898">
        <v>4.2699999999999996</v>
      </c>
      <c r="L1898">
        <v>0</v>
      </c>
      <c r="M1898">
        <v>0</v>
      </c>
    </row>
    <row r="1899" spans="1:13">
      <c r="A1899" s="28">
        <v>230980</v>
      </c>
      <c r="B1899" t="s">
        <v>2043</v>
      </c>
      <c r="C1899">
        <v>243</v>
      </c>
      <c r="D1899">
        <v>-1</v>
      </c>
      <c r="E1899">
        <v>-0.41</v>
      </c>
      <c r="F1899" t="s">
        <v>397</v>
      </c>
      <c r="G1899" t="s">
        <v>397</v>
      </c>
      <c r="H1899" t="s">
        <v>397</v>
      </c>
      <c r="I1899" t="s">
        <v>397</v>
      </c>
      <c r="J1899">
        <v>329</v>
      </c>
      <c r="K1899">
        <v>0.74</v>
      </c>
      <c r="L1899">
        <v>0</v>
      </c>
      <c r="M1899">
        <v>0</v>
      </c>
    </row>
    <row r="1900" spans="1:13">
      <c r="A1900" s="28">
        <v>65170</v>
      </c>
      <c r="B1900" t="s">
        <v>2044</v>
      </c>
      <c r="C1900">
        <v>412</v>
      </c>
      <c r="D1900">
        <v>-14</v>
      </c>
      <c r="E1900">
        <v>-3.29</v>
      </c>
      <c r="F1900" t="s">
        <v>397</v>
      </c>
      <c r="G1900" t="s">
        <v>397</v>
      </c>
      <c r="H1900" t="s">
        <v>397</v>
      </c>
      <c r="I1900" t="s">
        <v>397</v>
      </c>
      <c r="J1900">
        <v>380</v>
      </c>
      <c r="K1900">
        <v>1.08</v>
      </c>
      <c r="L1900">
        <v>0</v>
      </c>
      <c r="M1900">
        <v>0</v>
      </c>
    </row>
    <row r="1901" spans="1:13">
      <c r="A1901" s="28">
        <v>142760</v>
      </c>
      <c r="B1901" t="s">
        <v>2045</v>
      </c>
      <c r="C1901">
        <v>2440</v>
      </c>
      <c r="D1901">
        <v>-140</v>
      </c>
      <c r="E1901">
        <v>-5.43</v>
      </c>
      <c r="F1901" t="s">
        <v>397</v>
      </c>
      <c r="G1901" t="s">
        <v>397</v>
      </c>
      <c r="H1901" t="s">
        <v>397</v>
      </c>
      <c r="I1901" t="s">
        <v>397</v>
      </c>
      <c r="J1901">
        <v>690</v>
      </c>
      <c r="K1901">
        <v>3.54</v>
      </c>
      <c r="L1901">
        <v>0</v>
      </c>
      <c r="M1901">
        <v>0</v>
      </c>
    </row>
    <row r="1902" spans="1:13">
      <c r="A1902" s="28">
        <v>473370</v>
      </c>
      <c r="B1902" t="s">
        <v>2046</v>
      </c>
      <c r="C1902">
        <v>2030</v>
      </c>
      <c r="D1902">
        <v>5</v>
      </c>
      <c r="E1902">
        <v>0.25</v>
      </c>
      <c r="F1902" t="s">
        <v>397</v>
      </c>
      <c r="G1902" t="s">
        <v>397</v>
      </c>
      <c r="H1902" t="s">
        <v>397</v>
      </c>
      <c r="I1902" t="s">
        <v>397</v>
      </c>
      <c r="J1902" t="s">
        <v>397</v>
      </c>
      <c r="K1902" t="s">
        <v>397</v>
      </c>
      <c r="L1902">
        <v>0</v>
      </c>
      <c r="M1902">
        <v>0</v>
      </c>
    </row>
    <row r="1903" spans="1:13">
      <c r="A1903" s="28">
        <v>445360</v>
      </c>
      <c r="B1903" t="s">
        <v>2047</v>
      </c>
      <c r="C1903">
        <v>2085</v>
      </c>
      <c r="D1903">
        <v>-5</v>
      </c>
      <c r="E1903">
        <v>-0.24</v>
      </c>
      <c r="F1903" t="s">
        <v>397</v>
      </c>
      <c r="G1903" t="s">
        <v>397</v>
      </c>
      <c r="H1903" t="s">
        <v>397</v>
      </c>
      <c r="I1903" t="s">
        <v>397</v>
      </c>
      <c r="J1903" t="s">
        <v>397</v>
      </c>
      <c r="K1903" t="s">
        <v>397</v>
      </c>
      <c r="L1903">
        <v>0</v>
      </c>
      <c r="M1903">
        <v>0</v>
      </c>
    </row>
    <row r="1904" spans="1:13">
      <c r="A1904" s="28">
        <v>83650</v>
      </c>
      <c r="B1904" t="s">
        <v>2048</v>
      </c>
      <c r="C1904">
        <v>10330</v>
      </c>
      <c r="D1904">
        <v>-110</v>
      </c>
      <c r="E1904">
        <v>-1.05</v>
      </c>
      <c r="F1904" t="s">
        <v>397</v>
      </c>
      <c r="G1904" t="s">
        <v>397</v>
      </c>
      <c r="H1904" t="s">
        <v>397</v>
      </c>
      <c r="I1904" t="s">
        <v>397</v>
      </c>
      <c r="J1904">
        <v>1898</v>
      </c>
      <c r="K1904">
        <v>5.44</v>
      </c>
      <c r="L1904">
        <v>0</v>
      </c>
      <c r="M1904">
        <v>0</v>
      </c>
    </row>
    <row r="1905" spans="1:13">
      <c r="A1905" s="28">
        <v>413640</v>
      </c>
      <c r="B1905" t="s">
        <v>2049</v>
      </c>
      <c r="C1905">
        <v>9180</v>
      </c>
      <c r="D1905">
        <v>-90</v>
      </c>
      <c r="E1905">
        <v>-0.97</v>
      </c>
      <c r="F1905">
        <v>618</v>
      </c>
      <c r="G1905">
        <v>14.85</v>
      </c>
      <c r="H1905" t="s">
        <v>397</v>
      </c>
      <c r="I1905" t="s">
        <v>397</v>
      </c>
      <c r="J1905">
        <v>2251</v>
      </c>
      <c r="K1905">
        <v>4.08</v>
      </c>
      <c r="L1905">
        <v>0</v>
      </c>
      <c r="M1905">
        <v>0</v>
      </c>
    </row>
    <row r="1906" spans="1:13">
      <c r="A1906" s="28">
        <v>146320</v>
      </c>
      <c r="B1906" t="s">
        <v>2050</v>
      </c>
      <c r="C1906">
        <v>21000</v>
      </c>
      <c r="D1906">
        <v>50</v>
      </c>
      <c r="E1906">
        <v>0.24</v>
      </c>
      <c r="F1906">
        <v>851</v>
      </c>
      <c r="G1906">
        <v>24.68</v>
      </c>
      <c r="H1906" t="s">
        <v>397</v>
      </c>
      <c r="I1906" t="s">
        <v>397</v>
      </c>
      <c r="J1906">
        <v>5955</v>
      </c>
      <c r="K1906">
        <v>3.53</v>
      </c>
      <c r="L1906">
        <v>0</v>
      </c>
      <c r="M1906">
        <v>0</v>
      </c>
    </row>
    <row r="1907" spans="1:13">
      <c r="A1907" s="28">
        <v>66410</v>
      </c>
      <c r="B1907" t="s">
        <v>2051</v>
      </c>
      <c r="C1907">
        <v>1153</v>
      </c>
      <c r="D1907">
        <v>0</v>
      </c>
      <c r="E1907">
        <v>0</v>
      </c>
      <c r="F1907" t="s">
        <v>397</v>
      </c>
      <c r="G1907" t="s">
        <v>397</v>
      </c>
      <c r="H1907" t="s">
        <v>397</v>
      </c>
      <c r="I1907" t="s">
        <v>397</v>
      </c>
      <c r="J1907">
        <v>1886</v>
      </c>
      <c r="K1907">
        <v>0.61</v>
      </c>
      <c r="L1907">
        <v>0</v>
      </c>
      <c r="M1907">
        <v>0</v>
      </c>
    </row>
    <row r="1908" spans="1:13">
      <c r="A1908" s="28">
        <v>438700</v>
      </c>
      <c r="B1908" t="s">
        <v>2052</v>
      </c>
      <c r="C1908">
        <v>7300</v>
      </c>
      <c r="D1908">
        <v>-200</v>
      </c>
      <c r="E1908">
        <v>-2.67</v>
      </c>
      <c r="F1908" t="s">
        <v>397</v>
      </c>
      <c r="G1908" t="s">
        <v>397</v>
      </c>
      <c r="H1908" t="s">
        <v>397</v>
      </c>
      <c r="I1908" t="s">
        <v>397</v>
      </c>
      <c r="J1908">
        <v>2725</v>
      </c>
      <c r="K1908">
        <v>2.68</v>
      </c>
      <c r="L1908">
        <v>0</v>
      </c>
      <c r="M1908">
        <v>0</v>
      </c>
    </row>
    <row r="1909" spans="1:13">
      <c r="A1909" s="28">
        <v>331520</v>
      </c>
      <c r="B1909" t="s">
        <v>2053</v>
      </c>
      <c r="C1909">
        <v>889</v>
      </c>
      <c r="D1909">
        <v>-8</v>
      </c>
      <c r="E1909">
        <v>-0.89</v>
      </c>
      <c r="F1909">
        <v>35</v>
      </c>
      <c r="G1909">
        <v>25.4</v>
      </c>
      <c r="H1909" t="s">
        <v>397</v>
      </c>
      <c r="I1909" t="s">
        <v>397</v>
      </c>
      <c r="J1909">
        <v>517</v>
      </c>
      <c r="K1909">
        <v>1.72</v>
      </c>
      <c r="L1909">
        <v>0</v>
      </c>
      <c r="M1909">
        <v>0</v>
      </c>
    </row>
    <row r="1910" spans="1:13">
      <c r="A1910" s="28">
        <v>80160</v>
      </c>
      <c r="B1910" t="s">
        <v>2054</v>
      </c>
      <c r="C1910">
        <v>15700</v>
      </c>
      <c r="D1910">
        <v>-280</v>
      </c>
      <c r="E1910">
        <v>-1.75</v>
      </c>
      <c r="F1910" t="s">
        <v>397</v>
      </c>
      <c r="G1910" t="s">
        <v>397</v>
      </c>
      <c r="H1910">
        <v>1230</v>
      </c>
      <c r="I1910">
        <v>12.76</v>
      </c>
      <c r="J1910">
        <v>3211</v>
      </c>
      <c r="K1910">
        <v>4.8899999999999997</v>
      </c>
      <c r="L1910">
        <v>0</v>
      </c>
      <c r="M1910">
        <v>0</v>
      </c>
    </row>
    <row r="1911" spans="1:13">
      <c r="A1911" s="28">
        <v>218150</v>
      </c>
      <c r="B1911" t="s">
        <v>2055</v>
      </c>
      <c r="C1911">
        <v>4630</v>
      </c>
      <c r="D1911">
        <v>30</v>
      </c>
      <c r="E1911">
        <v>0.65</v>
      </c>
      <c r="F1911">
        <v>52</v>
      </c>
      <c r="G1911">
        <v>89.04</v>
      </c>
      <c r="H1911" t="s">
        <v>397</v>
      </c>
      <c r="I1911" t="s">
        <v>397</v>
      </c>
      <c r="J1911">
        <v>2147</v>
      </c>
      <c r="K1911">
        <v>2.16</v>
      </c>
      <c r="L1911">
        <v>0</v>
      </c>
      <c r="M1911">
        <v>0</v>
      </c>
    </row>
    <row r="1912" spans="1:13">
      <c r="A1912" s="28">
        <v>25560</v>
      </c>
      <c r="B1912" t="s">
        <v>2056</v>
      </c>
      <c r="C1912">
        <v>2000</v>
      </c>
      <c r="D1912">
        <v>-45</v>
      </c>
      <c r="E1912">
        <v>-2.2000000000000002</v>
      </c>
      <c r="F1912">
        <v>303</v>
      </c>
      <c r="G1912">
        <v>6.6</v>
      </c>
      <c r="H1912" t="s">
        <v>397</v>
      </c>
      <c r="I1912" t="s">
        <v>397</v>
      </c>
      <c r="J1912">
        <v>3527</v>
      </c>
      <c r="K1912">
        <v>0.56999999999999995</v>
      </c>
      <c r="L1912">
        <v>0</v>
      </c>
      <c r="M1912">
        <v>0</v>
      </c>
    </row>
    <row r="1913" spans="1:13">
      <c r="A1913" s="28">
        <v>254490</v>
      </c>
      <c r="B1913" t="s">
        <v>2057</v>
      </c>
      <c r="C1913">
        <v>20700</v>
      </c>
      <c r="D1913">
        <v>-300</v>
      </c>
      <c r="E1913">
        <v>-1.43</v>
      </c>
      <c r="F1913">
        <v>1399</v>
      </c>
      <c r="G1913">
        <v>14.8</v>
      </c>
      <c r="H1913" t="s">
        <v>397</v>
      </c>
      <c r="I1913" t="s">
        <v>397</v>
      </c>
      <c r="J1913">
        <v>5065</v>
      </c>
      <c r="K1913">
        <v>4.09</v>
      </c>
      <c r="L1913">
        <v>0</v>
      </c>
      <c r="M1913">
        <v>0</v>
      </c>
    </row>
    <row r="1914" spans="1:13">
      <c r="A1914" s="28">
        <v>279600</v>
      </c>
      <c r="B1914" t="s">
        <v>2058</v>
      </c>
      <c r="C1914">
        <v>11710</v>
      </c>
      <c r="D1914">
        <v>-60</v>
      </c>
      <c r="E1914">
        <v>-0.51</v>
      </c>
      <c r="F1914" t="s">
        <v>397</v>
      </c>
      <c r="G1914" t="s">
        <v>397</v>
      </c>
      <c r="H1914" t="s">
        <v>397</v>
      </c>
      <c r="I1914" t="s">
        <v>397</v>
      </c>
      <c r="J1914">
        <v>3538</v>
      </c>
      <c r="K1914">
        <v>3.31</v>
      </c>
      <c r="L1914">
        <v>0</v>
      </c>
      <c r="M1914">
        <v>0</v>
      </c>
    </row>
    <row r="1915" spans="1:13">
      <c r="A1915" s="28">
        <v>6920</v>
      </c>
      <c r="B1915" t="s">
        <v>2059</v>
      </c>
      <c r="C1915">
        <v>3860</v>
      </c>
      <c r="D1915">
        <v>55</v>
      </c>
      <c r="E1915">
        <v>1.45</v>
      </c>
      <c r="F1915">
        <v>171</v>
      </c>
      <c r="G1915">
        <v>22.57</v>
      </c>
      <c r="H1915" t="s">
        <v>397</v>
      </c>
      <c r="I1915" t="s">
        <v>397</v>
      </c>
      <c r="J1915">
        <v>2326</v>
      </c>
      <c r="K1915">
        <v>1.66</v>
      </c>
      <c r="L1915">
        <v>0</v>
      </c>
      <c r="M1915">
        <v>0</v>
      </c>
    </row>
    <row r="1916" spans="1:13">
      <c r="A1916" s="28">
        <v>33200</v>
      </c>
      <c r="B1916" t="s">
        <v>2060</v>
      </c>
      <c r="C1916">
        <v>3495</v>
      </c>
      <c r="D1916">
        <v>-105</v>
      </c>
      <c r="E1916">
        <v>-2.92</v>
      </c>
      <c r="F1916" t="s">
        <v>397</v>
      </c>
      <c r="G1916" t="s">
        <v>397</v>
      </c>
      <c r="H1916" t="s">
        <v>397</v>
      </c>
      <c r="I1916" t="s">
        <v>397</v>
      </c>
      <c r="J1916">
        <v>7598</v>
      </c>
      <c r="K1916">
        <v>0.46</v>
      </c>
      <c r="L1916">
        <v>0</v>
      </c>
      <c r="M1916">
        <v>0</v>
      </c>
    </row>
    <row r="1917" spans="1:13">
      <c r="A1917" s="28">
        <v>288980</v>
      </c>
      <c r="B1917" t="s">
        <v>2061</v>
      </c>
      <c r="C1917">
        <v>2235</v>
      </c>
      <c r="D1917">
        <v>-50</v>
      </c>
      <c r="E1917">
        <v>-2.19</v>
      </c>
      <c r="F1917">
        <v>57</v>
      </c>
      <c r="G1917">
        <v>39.21</v>
      </c>
      <c r="H1917" t="s">
        <v>397</v>
      </c>
      <c r="I1917" t="s">
        <v>397</v>
      </c>
      <c r="J1917">
        <v>1131</v>
      </c>
      <c r="K1917">
        <v>1.98</v>
      </c>
      <c r="L1917">
        <v>0</v>
      </c>
      <c r="M1917">
        <v>0</v>
      </c>
    </row>
    <row r="1918" spans="1:13">
      <c r="A1918" s="28">
        <v>250060</v>
      </c>
      <c r="B1918" t="s">
        <v>2062</v>
      </c>
      <c r="C1918">
        <v>4145</v>
      </c>
      <c r="D1918">
        <v>-15</v>
      </c>
      <c r="E1918">
        <v>-0.36</v>
      </c>
      <c r="F1918" t="s">
        <v>397</v>
      </c>
      <c r="G1918" t="s">
        <v>397</v>
      </c>
      <c r="H1918" t="s">
        <v>397</v>
      </c>
      <c r="I1918" t="s">
        <v>397</v>
      </c>
      <c r="J1918">
        <v>742</v>
      </c>
      <c r="K1918">
        <v>5.59</v>
      </c>
      <c r="L1918">
        <v>0</v>
      </c>
      <c r="M1918">
        <v>0</v>
      </c>
    </row>
    <row r="1919" spans="1:13">
      <c r="A1919" s="28">
        <v>348030</v>
      </c>
      <c r="B1919" t="s">
        <v>2063</v>
      </c>
      <c r="C1919">
        <v>8260</v>
      </c>
      <c r="D1919">
        <v>20</v>
      </c>
      <c r="E1919">
        <v>0.24</v>
      </c>
      <c r="F1919">
        <v>589</v>
      </c>
      <c r="G1919">
        <v>14.02</v>
      </c>
      <c r="H1919" t="s">
        <v>397</v>
      </c>
      <c r="I1919" t="s">
        <v>397</v>
      </c>
      <c r="J1919">
        <v>8312</v>
      </c>
      <c r="K1919">
        <v>0.99</v>
      </c>
      <c r="L1919">
        <v>0</v>
      </c>
      <c r="M1919">
        <v>0</v>
      </c>
    </row>
    <row r="1920" spans="1:13">
      <c r="A1920" s="28">
        <v>363260</v>
      </c>
      <c r="B1920" t="s">
        <v>2064</v>
      </c>
      <c r="C1920">
        <v>520</v>
      </c>
      <c r="D1920">
        <v>-9</v>
      </c>
      <c r="E1920">
        <v>-1.7</v>
      </c>
      <c r="F1920" t="s">
        <v>397</v>
      </c>
      <c r="G1920" t="s">
        <v>397</v>
      </c>
      <c r="H1920" t="s">
        <v>397</v>
      </c>
      <c r="I1920" t="s">
        <v>397</v>
      </c>
      <c r="J1920">
        <v>250</v>
      </c>
      <c r="K1920">
        <v>2.08</v>
      </c>
      <c r="L1920">
        <v>0</v>
      </c>
      <c r="M1920">
        <v>0</v>
      </c>
    </row>
    <row r="1921" spans="1:13">
      <c r="A1921" s="28">
        <v>87260</v>
      </c>
      <c r="B1921" t="s">
        <v>2065</v>
      </c>
      <c r="C1921">
        <v>2365</v>
      </c>
      <c r="D1921">
        <v>-15</v>
      </c>
      <c r="E1921">
        <v>-0.63</v>
      </c>
      <c r="F1921">
        <v>65</v>
      </c>
      <c r="G1921">
        <v>36.380000000000003</v>
      </c>
      <c r="H1921" t="s">
        <v>397</v>
      </c>
      <c r="I1921" t="s">
        <v>397</v>
      </c>
      <c r="J1921">
        <v>1415</v>
      </c>
      <c r="K1921">
        <v>1.67</v>
      </c>
      <c r="L1921">
        <v>0</v>
      </c>
      <c r="M1921">
        <v>0</v>
      </c>
    </row>
    <row r="1922" spans="1:13">
      <c r="A1922" s="28">
        <v>80420</v>
      </c>
      <c r="B1922" t="s">
        <v>2066</v>
      </c>
      <c r="C1922">
        <v>2260</v>
      </c>
      <c r="D1922">
        <v>-45</v>
      </c>
      <c r="E1922">
        <v>-1.95</v>
      </c>
      <c r="F1922" t="s">
        <v>397</v>
      </c>
      <c r="G1922" t="s">
        <v>397</v>
      </c>
      <c r="H1922" t="s">
        <v>397</v>
      </c>
      <c r="I1922" t="s">
        <v>397</v>
      </c>
      <c r="J1922">
        <v>4472</v>
      </c>
      <c r="K1922">
        <v>0.51</v>
      </c>
      <c r="L1922">
        <v>0</v>
      </c>
      <c r="M1922">
        <v>0</v>
      </c>
    </row>
    <row r="1923" spans="1:13">
      <c r="A1923" s="28">
        <v>46310</v>
      </c>
      <c r="B1923" t="s">
        <v>2067</v>
      </c>
      <c r="C1923">
        <v>2845</v>
      </c>
      <c r="D1923">
        <v>-5</v>
      </c>
      <c r="E1923">
        <v>-0.18</v>
      </c>
      <c r="F1923">
        <v>289</v>
      </c>
      <c r="G1923">
        <v>9.84</v>
      </c>
      <c r="H1923" t="s">
        <v>397</v>
      </c>
      <c r="I1923" t="s">
        <v>397</v>
      </c>
      <c r="J1923">
        <v>3002</v>
      </c>
      <c r="K1923">
        <v>0.95</v>
      </c>
      <c r="L1923">
        <v>0</v>
      </c>
      <c r="M1923">
        <v>0</v>
      </c>
    </row>
    <row r="1924" spans="1:13">
      <c r="A1924" s="28">
        <v>434480</v>
      </c>
      <c r="B1924" t="s">
        <v>2068</v>
      </c>
      <c r="C1924">
        <v>5440</v>
      </c>
      <c r="D1924">
        <v>-100</v>
      </c>
      <c r="E1924">
        <v>-1.81</v>
      </c>
      <c r="F1924">
        <v>88</v>
      </c>
      <c r="G1924">
        <v>61.82</v>
      </c>
      <c r="H1924" t="s">
        <v>397</v>
      </c>
      <c r="I1924" t="s">
        <v>397</v>
      </c>
      <c r="J1924">
        <v>1490</v>
      </c>
      <c r="K1924">
        <v>3.65</v>
      </c>
      <c r="L1924">
        <v>0</v>
      </c>
      <c r="M1924">
        <v>0</v>
      </c>
    </row>
    <row r="1925" spans="1:13">
      <c r="A1925" s="28">
        <v>9900</v>
      </c>
      <c r="B1925" t="s">
        <v>2069</v>
      </c>
      <c r="C1925">
        <v>15470</v>
      </c>
      <c r="D1925">
        <v>-330</v>
      </c>
      <c r="E1925">
        <v>-2.09</v>
      </c>
      <c r="F1925">
        <v>1633</v>
      </c>
      <c r="G1925">
        <v>9.4700000000000006</v>
      </c>
      <c r="H1925">
        <v>3182</v>
      </c>
      <c r="I1925">
        <v>4.8600000000000003</v>
      </c>
      <c r="J1925">
        <v>7315</v>
      </c>
      <c r="K1925">
        <v>2.11</v>
      </c>
      <c r="L1925">
        <v>0</v>
      </c>
      <c r="M1925">
        <v>0</v>
      </c>
    </row>
    <row r="1926" spans="1:13">
      <c r="A1926" s="28">
        <v>17180</v>
      </c>
      <c r="B1926" t="s">
        <v>2070</v>
      </c>
      <c r="C1926">
        <v>2095</v>
      </c>
      <c r="D1926">
        <v>10</v>
      </c>
      <c r="E1926">
        <v>0.48</v>
      </c>
      <c r="F1926">
        <v>233</v>
      </c>
      <c r="G1926">
        <v>8.99</v>
      </c>
      <c r="H1926" t="s">
        <v>397</v>
      </c>
      <c r="I1926" t="s">
        <v>397</v>
      </c>
      <c r="J1926">
        <v>2648</v>
      </c>
      <c r="K1926">
        <v>0.79</v>
      </c>
      <c r="L1926">
        <v>0</v>
      </c>
      <c r="M1926">
        <v>0</v>
      </c>
    </row>
    <row r="1927" spans="1:13">
      <c r="A1927" s="28">
        <v>90370</v>
      </c>
      <c r="B1927" t="s">
        <v>2071</v>
      </c>
      <c r="C1927">
        <v>1987</v>
      </c>
      <c r="D1927">
        <v>-43</v>
      </c>
      <c r="E1927">
        <v>-2.12</v>
      </c>
      <c r="F1927" t="s">
        <v>397</v>
      </c>
      <c r="G1927" t="s">
        <v>397</v>
      </c>
      <c r="H1927" t="s">
        <v>397</v>
      </c>
      <c r="I1927" t="s">
        <v>397</v>
      </c>
      <c r="J1927">
        <v>3160</v>
      </c>
      <c r="K1927">
        <v>0.63</v>
      </c>
      <c r="L1927">
        <v>0</v>
      </c>
      <c r="M1927">
        <v>0</v>
      </c>
    </row>
    <row r="1928" spans="1:13">
      <c r="A1928" s="28">
        <v>140410</v>
      </c>
      <c r="B1928" t="s">
        <v>2072</v>
      </c>
      <c r="C1928">
        <v>41100</v>
      </c>
      <c r="D1928">
        <v>-1350</v>
      </c>
      <c r="E1928">
        <v>-3.18</v>
      </c>
      <c r="F1928" t="s">
        <v>397</v>
      </c>
      <c r="G1928" t="s">
        <v>397</v>
      </c>
      <c r="H1928" t="s">
        <v>397</v>
      </c>
      <c r="I1928" t="s">
        <v>397</v>
      </c>
      <c r="J1928">
        <v>981</v>
      </c>
      <c r="K1928">
        <v>41.9</v>
      </c>
      <c r="L1928">
        <v>0</v>
      </c>
      <c r="M1928">
        <v>0</v>
      </c>
    </row>
    <row r="1929" spans="1:13">
      <c r="A1929" s="28">
        <v>21880</v>
      </c>
      <c r="B1929" t="s">
        <v>2073</v>
      </c>
      <c r="C1929">
        <v>309</v>
      </c>
      <c r="D1929">
        <v>-7</v>
      </c>
      <c r="E1929">
        <v>-2.2200000000000002</v>
      </c>
      <c r="F1929" t="s">
        <v>397</v>
      </c>
      <c r="G1929" t="s">
        <v>397</v>
      </c>
      <c r="H1929" t="s">
        <v>397</v>
      </c>
      <c r="I1929" t="s">
        <v>397</v>
      </c>
      <c r="J1929">
        <v>355</v>
      </c>
      <c r="K1929">
        <v>0.87</v>
      </c>
      <c r="L1929">
        <v>0</v>
      </c>
      <c r="M1929">
        <v>0</v>
      </c>
    </row>
    <row r="1930" spans="1:13">
      <c r="A1930" s="28">
        <v>408920</v>
      </c>
      <c r="B1930" t="s">
        <v>2074</v>
      </c>
      <c r="C1930">
        <v>2385</v>
      </c>
      <c r="D1930">
        <v>-5</v>
      </c>
      <c r="E1930">
        <v>-0.21</v>
      </c>
      <c r="F1930" t="s">
        <v>397</v>
      </c>
      <c r="G1930" t="s">
        <v>397</v>
      </c>
      <c r="H1930" t="s">
        <v>397</v>
      </c>
      <c r="I1930" t="s">
        <v>397</v>
      </c>
      <c r="J1930">
        <v>1803</v>
      </c>
      <c r="K1930">
        <v>1.32</v>
      </c>
      <c r="L1930">
        <v>0</v>
      </c>
      <c r="M1930">
        <v>0</v>
      </c>
    </row>
    <row r="1931" spans="1:13">
      <c r="A1931" s="28">
        <v>65650</v>
      </c>
      <c r="B1931" t="s">
        <v>2075</v>
      </c>
      <c r="C1931">
        <v>1314</v>
      </c>
      <c r="D1931">
        <v>-25</v>
      </c>
      <c r="E1931">
        <v>-1.87</v>
      </c>
      <c r="F1931" t="s">
        <v>397</v>
      </c>
      <c r="G1931" t="s">
        <v>397</v>
      </c>
      <c r="H1931" t="s">
        <v>397</v>
      </c>
      <c r="I1931" t="s">
        <v>397</v>
      </c>
      <c r="J1931">
        <v>661</v>
      </c>
      <c r="K1931">
        <v>1.99</v>
      </c>
      <c r="L1931">
        <v>0</v>
      </c>
      <c r="M1931">
        <v>0</v>
      </c>
    </row>
    <row r="1932" spans="1:13">
      <c r="A1932" s="28">
        <v>78160</v>
      </c>
      <c r="B1932" t="s">
        <v>2076</v>
      </c>
      <c r="C1932">
        <v>7090</v>
      </c>
      <c r="D1932">
        <v>-280</v>
      </c>
      <c r="E1932">
        <v>-3.8</v>
      </c>
      <c r="F1932">
        <v>167</v>
      </c>
      <c r="G1932">
        <v>42.46</v>
      </c>
      <c r="H1932" t="s">
        <v>397</v>
      </c>
      <c r="I1932" t="s">
        <v>397</v>
      </c>
      <c r="J1932">
        <v>9811</v>
      </c>
      <c r="K1932">
        <v>0.72</v>
      </c>
      <c r="L1932">
        <v>0</v>
      </c>
      <c r="M1932">
        <v>0</v>
      </c>
    </row>
    <row r="1933" spans="1:13">
      <c r="A1933" s="28">
        <v>54180</v>
      </c>
      <c r="B1933" t="s">
        <v>2077</v>
      </c>
      <c r="C1933">
        <v>810</v>
      </c>
      <c r="D1933">
        <v>-1</v>
      </c>
      <c r="E1933">
        <v>-0.12</v>
      </c>
      <c r="F1933" t="s">
        <v>397</v>
      </c>
      <c r="G1933" t="s">
        <v>397</v>
      </c>
      <c r="H1933" t="s">
        <v>397</v>
      </c>
      <c r="I1933" t="s">
        <v>397</v>
      </c>
      <c r="J1933">
        <v>2476</v>
      </c>
      <c r="K1933">
        <v>0.33</v>
      </c>
      <c r="L1933">
        <v>0</v>
      </c>
      <c r="M1933">
        <v>0</v>
      </c>
    </row>
    <row r="1934" spans="1:13">
      <c r="A1934" s="28">
        <v>14100</v>
      </c>
      <c r="B1934" t="s">
        <v>2078</v>
      </c>
      <c r="C1934">
        <v>2815</v>
      </c>
      <c r="D1934">
        <v>-20</v>
      </c>
      <c r="E1934">
        <v>-0.71</v>
      </c>
      <c r="F1934" t="s">
        <v>397</v>
      </c>
      <c r="G1934" t="s">
        <v>397</v>
      </c>
      <c r="H1934" t="s">
        <v>397</v>
      </c>
      <c r="I1934" t="s">
        <v>397</v>
      </c>
      <c r="J1934">
        <v>7165</v>
      </c>
      <c r="K1934">
        <v>0.39</v>
      </c>
      <c r="L1934">
        <v>0</v>
      </c>
      <c r="M1934">
        <v>0</v>
      </c>
    </row>
    <row r="1935" spans="1:13">
      <c r="A1935" s="28">
        <v>7120</v>
      </c>
      <c r="B1935" t="s">
        <v>2079</v>
      </c>
      <c r="C1935">
        <v>1092</v>
      </c>
      <c r="D1935">
        <v>2</v>
      </c>
      <c r="E1935">
        <v>0.18</v>
      </c>
      <c r="F1935" t="s">
        <v>397</v>
      </c>
      <c r="G1935" t="s">
        <v>397</v>
      </c>
      <c r="H1935" t="s">
        <v>397</v>
      </c>
      <c r="I1935" t="s">
        <v>397</v>
      </c>
      <c r="J1935">
        <v>2635</v>
      </c>
      <c r="K1935">
        <v>0.41</v>
      </c>
      <c r="L1935">
        <v>0</v>
      </c>
      <c r="M1935">
        <v>0</v>
      </c>
    </row>
    <row r="1936" spans="1:13">
      <c r="A1936" s="28">
        <v>442900</v>
      </c>
      <c r="B1936" t="s">
        <v>2080</v>
      </c>
      <c r="C1936">
        <v>9590</v>
      </c>
      <c r="D1936">
        <v>-20</v>
      </c>
      <c r="E1936">
        <v>-0.21</v>
      </c>
      <c r="F1936" t="s">
        <v>397</v>
      </c>
      <c r="G1936" t="s">
        <v>397</v>
      </c>
      <c r="H1936" t="s">
        <v>397</v>
      </c>
      <c r="I1936" t="s">
        <v>397</v>
      </c>
      <c r="J1936" t="s">
        <v>397</v>
      </c>
      <c r="K1936" t="s">
        <v>397</v>
      </c>
      <c r="L1936">
        <v>0</v>
      </c>
      <c r="M1936">
        <v>0</v>
      </c>
    </row>
    <row r="1937" spans="1:13">
      <c r="A1937" s="28">
        <v>100790</v>
      </c>
      <c r="B1937" t="s">
        <v>2081</v>
      </c>
      <c r="C1937">
        <v>5770</v>
      </c>
      <c r="D1937">
        <v>-50</v>
      </c>
      <c r="E1937">
        <v>-0.86</v>
      </c>
      <c r="F1937">
        <v>1169</v>
      </c>
      <c r="G1937">
        <v>4.9400000000000004</v>
      </c>
      <c r="H1937" t="s">
        <v>397</v>
      </c>
      <c r="I1937" t="s">
        <v>397</v>
      </c>
      <c r="J1937">
        <v>6217</v>
      </c>
      <c r="K1937">
        <v>0.93</v>
      </c>
      <c r="L1937">
        <v>0</v>
      </c>
      <c r="M1937">
        <v>0</v>
      </c>
    </row>
    <row r="1938" spans="1:13">
      <c r="A1938" s="28">
        <v>412930</v>
      </c>
      <c r="B1938" t="s">
        <v>2082</v>
      </c>
      <c r="C1938">
        <v>2155</v>
      </c>
      <c r="D1938">
        <v>15</v>
      </c>
      <c r="E1938">
        <v>0.7</v>
      </c>
      <c r="F1938" t="s">
        <v>397</v>
      </c>
      <c r="G1938" t="s">
        <v>397</v>
      </c>
      <c r="H1938" t="s">
        <v>397</v>
      </c>
      <c r="I1938" t="s">
        <v>397</v>
      </c>
      <c r="J1938" t="s">
        <v>397</v>
      </c>
      <c r="K1938" t="s">
        <v>397</v>
      </c>
      <c r="L1938">
        <v>0</v>
      </c>
      <c r="M1938">
        <v>0</v>
      </c>
    </row>
    <row r="1939" spans="1:13">
      <c r="A1939" s="28">
        <v>267790</v>
      </c>
      <c r="B1939" t="s">
        <v>2083</v>
      </c>
      <c r="C1939">
        <v>7100</v>
      </c>
      <c r="D1939">
        <v>-10</v>
      </c>
      <c r="E1939">
        <v>-0.14000000000000001</v>
      </c>
      <c r="F1939" t="s">
        <v>397</v>
      </c>
      <c r="G1939" t="s">
        <v>397</v>
      </c>
      <c r="H1939">
        <v>804</v>
      </c>
      <c r="I1939">
        <v>8.83</v>
      </c>
      <c r="J1939">
        <v>3865</v>
      </c>
      <c r="K1939">
        <v>1.84</v>
      </c>
      <c r="L1939">
        <v>0</v>
      </c>
      <c r="M1939">
        <v>0</v>
      </c>
    </row>
    <row r="1940" spans="1:13">
      <c r="A1940" s="28">
        <v>323990</v>
      </c>
      <c r="B1940" t="s">
        <v>2084</v>
      </c>
      <c r="C1940">
        <v>19850</v>
      </c>
      <c r="D1940">
        <v>-1050</v>
      </c>
      <c r="E1940">
        <v>-5.0199999999999996</v>
      </c>
      <c r="F1940" t="s">
        <v>397</v>
      </c>
      <c r="G1940" t="s">
        <v>397</v>
      </c>
      <c r="H1940" t="s">
        <v>397</v>
      </c>
      <c r="I1940" t="s">
        <v>397</v>
      </c>
      <c r="J1940">
        <v>1198</v>
      </c>
      <c r="K1940">
        <v>16.57</v>
      </c>
      <c r="L1940">
        <v>0</v>
      </c>
      <c r="M1940">
        <v>0</v>
      </c>
    </row>
    <row r="1941" spans="1:13">
      <c r="A1941" s="28">
        <v>308080</v>
      </c>
      <c r="B1941" t="s">
        <v>2085</v>
      </c>
      <c r="C1941">
        <v>4970</v>
      </c>
      <c r="D1941">
        <v>5</v>
      </c>
      <c r="E1941">
        <v>0.1</v>
      </c>
      <c r="F1941" t="s">
        <v>397</v>
      </c>
      <c r="G1941" t="s">
        <v>397</v>
      </c>
      <c r="H1941" t="s">
        <v>397</v>
      </c>
      <c r="I1941" t="s">
        <v>397</v>
      </c>
      <c r="J1941">
        <v>4717</v>
      </c>
      <c r="K1941">
        <v>1.05</v>
      </c>
      <c r="L1941">
        <v>0</v>
      </c>
      <c r="M1941">
        <v>0</v>
      </c>
    </row>
    <row r="1942" spans="1:13">
      <c r="A1942" s="28">
        <v>32980</v>
      </c>
      <c r="B1942" t="s">
        <v>2086</v>
      </c>
      <c r="C1942">
        <v>1056</v>
      </c>
      <c r="D1942">
        <v>-17</v>
      </c>
      <c r="E1942">
        <v>-1.58</v>
      </c>
      <c r="F1942" t="s">
        <v>397</v>
      </c>
      <c r="G1942" t="s">
        <v>397</v>
      </c>
      <c r="H1942" t="s">
        <v>397</v>
      </c>
      <c r="I1942" t="s">
        <v>397</v>
      </c>
      <c r="J1942">
        <v>645</v>
      </c>
      <c r="K1942">
        <v>1.64</v>
      </c>
      <c r="L1942">
        <v>0</v>
      </c>
      <c r="M1942">
        <v>0</v>
      </c>
    </row>
    <row r="1943" spans="1:13">
      <c r="A1943" s="28">
        <v>86040</v>
      </c>
      <c r="B1943" t="s">
        <v>2087</v>
      </c>
      <c r="C1943">
        <v>5710</v>
      </c>
      <c r="D1943">
        <v>-80</v>
      </c>
      <c r="E1943">
        <v>-1.38</v>
      </c>
      <c r="F1943">
        <v>186</v>
      </c>
      <c r="G1943">
        <v>30.7</v>
      </c>
      <c r="H1943" t="s">
        <v>397</v>
      </c>
      <c r="I1943" t="s">
        <v>397</v>
      </c>
      <c r="J1943">
        <v>3022</v>
      </c>
      <c r="K1943">
        <v>1.89</v>
      </c>
      <c r="L1943">
        <v>0</v>
      </c>
      <c r="M1943">
        <v>0</v>
      </c>
    </row>
    <row r="1944" spans="1:13">
      <c r="A1944" s="28">
        <v>199730</v>
      </c>
      <c r="B1944" t="s">
        <v>2088</v>
      </c>
      <c r="C1944">
        <v>10580</v>
      </c>
      <c r="D1944">
        <v>-210</v>
      </c>
      <c r="E1944">
        <v>-1.95</v>
      </c>
      <c r="F1944">
        <v>1511</v>
      </c>
      <c r="G1944">
        <v>7</v>
      </c>
      <c r="H1944" t="s">
        <v>397</v>
      </c>
      <c r="I1944" t="s">
        <v>397</v>
      </c>
      <c r="J1944">
        <v>4339</v>
      </c>
      <c r="K1944">
        <v>2.44</v>
      </c>
      <c r="L1944">
        <v>0</v>
      </c>
      <c r="M1944">
        <v>0</v>
      </c>
    </row>
    <row r="1945" spans="1:13">
      <c r="A1945" s="28">
        <v>251120</v>
      </c>
      <c r="B1945" t="s">
        <v>2089</v>
      </c>
      <c r="C1945">
        <v>12690</v>
      </c>
      <c r="D1945">
        <v>-180</v>
      </c>
      <c r="E1945">
        <v>-1.4</v>
      </c>
      <c r="F1945">
        <v>492</v>
      </c>
      <c r="G1945">
        <v>25.79</v>
      </c>
      <c r="H1945">
        <v>664</v>
      </c>
      <c r="I1945">
        <v>19.11</v>
      </c>
      <c r="J1945">
        <v>6211</v>
      </c>
      <c r="K1945">
        <v>2.04</v>
      </c>
      <c r="L1945">
        <v>0</v>
      </c>
      <c r="M1945">
        <v>0</v>
      </c>
    </row>
    <row r="1946" spans="1:13">
      <c r="A1946" s="28">
        <v>38460</v>
      </c>
      <c r="B1946" t="s">
        <v>2090</v>
      </c>
      <c r="C1946">
        <v>3440</v>
      </c>
      <c r="D1946">
        <v>-60</v>
      </c>
      <c r="E1946">
        <v>-1.71</v>
      </c>
      <c r="F1946">
        <v>38</v>
      </c>
      <c r="G1946">
        <v>90.53</v>
      </c>
      <c r="H1946" t="s">
        <v>397</v>
      </c>
      <c r="I1946" t="s">
        <v>397</v>
      </c>
      <c r="J1946">
        <v>5038</v>
      </c>
      <c r="K1946">
        <v>0.68</v>
      </c>
      <c r="L1946">
        <v>0</v>
      </c>
      <c r="M1946">
        <v>0</v>
      </c>
    </row>
    <row r="1947" spans="1:13">
      <c r="A1947" s="28">
        <v>86820</v>
      </c>
      <c r="B1947" t="s">
        <v>2091</v>
      </c>
      <c r="C1947">
        <v>16950</v>
      </c>
      <c r="D1947">
        <v>-340</v>
      </c>
      <c r="E1947">
        <v>-1.97</v>
      </c>
      <c r="F1947" t="s">
        <v>397</v>
      </c>
      <c r="G1947" t="s">
        <v>397</v>
      </c>
      <c r="H1947" t="s">
        <v>397</v>
      </c>
      <c r="I1947" t="s">
        <v>397</v>
      </c>
      <c r="J1947">
        <v>5456</v>
      </c>
      <c r="K1947">
        <v>3.11</v>
      </c>
      <c r="L1947">
        <v>0</v>
      </c>
      <c r="M1947">
        <v>0</v>
      </c>
    </row>
    <row r="1948" spans="1:13">
      <c r="A1948" s="28">
        <v>208710</v>
      </c>
      <c r="B1948" t="s">
        <v>2092</v>
      </c>
      <c r="C1948">
        <v>663</v>
      </c>
      <c r="D1948">
        <v>2</v>
      </c>
      <c r="E1948">
        <v>0.3</v>
      </c>
      <c r="F1948">
        <v>6</v>
      </c>
      <c r="G1948">
        <v>110.5</v>
      </c>
      <c r="H1948" t="s">
        <v>397</v>
      </c>
      <c r="I1948" t="s">
        <v>397</v>
      </c>
      <c r="J1948">
        <v>1212</v>
      </c>
      <c r="K1948">
        <v>0.55000000000000004</v>
      </c>
      <c r="L1948">
        <v>0</v>
      </c>
      <c r="M1948">
        <v>0</v>
      </c>
    </row>
    <row r="1949" spans="1:13">
      <c r="A1949" s="28">
        <v>314930</v>
      </c>
      <c r="B1949" t="s">
        <v>2093</v>
      </c>
      <c r="C1949">
        <v>11050</v>
      </c>
      <c r="D1949">
        <v>-470</v>
      </c>
      <c r="E1949">
        <v>-4.08</v>
      </c>
      <c r="F1949">
        <v>189</v>
      </c>
      <c r="G1949">
        <v>58.47</v>
      </c>
      <c r="H1949" t="s">
        <v>397</v>
      </c>
      <c r="I1949" t="s">
        <v>397</v>
      </c>
      <c r="J1949">
        <v>1561</v>
      </c>
      <c r="K1949">
        <v>7.08</v>
      </c>
      <c r="L1949">
        <v>0</v>
      </c>
      <c r="M1949">
        <v>0</v>
      </c>
    </row>
    <row r="1950" spans="1:13">
      <c r="A1950" s="28">
        <v>64550</v>
      </c>
      <c r="B1950" t="s">
        <v>2094</v>
      </c>
      <c r="C1950">
        <v>30000</v>
      </c>
      <c r="D1950">
        <v>-500</v>
      </c>
      <c r="E1950">
        <v>-1.64</v>
      </c>
      <c r="F1950">
        <v>468</v>
      </c>
      <c r="G1950">
        <v>64.099999999999994</v>
      </c>
      <c r="H1950" t="s">
        <v>397</v>
      </c>
      <c r="I1950" t="s">
        <v>397</v>
      </c>
      <c r="J1950">
        <v>9144</v>
      </c>
      <c r="K1950">
        <v>3.28</v>
      </c>
      <c r="L1950">
        <v>0</v>
      </c>
      <c r="M1950">
        <v>0</v>
      </c>
    </row>
    <row r="1951" spans="1:13">
      <c r="A1951" s="28">
        <v>301300</v>
      </c>
      <c r="B1951" t="s">
        <v>2095</v>
      </c>
      <c r="C1951">
        <v>7250</v>
      </c>
      <c r="D1951">
        <v>-110</v>
      </c>
      <c r="E1951">
        <v>-1.49</v>
      </c>
      <c r="F1951" t="s">
        <v>397</v>
      </c>
      <c r="G1951" t="s">
        <v>397</v>
      </c>
      <c r="H1951" t="s">
        <v>397</v>
      </c>
      <c r="I1951" t="s">
        <v>397</v>
      </c>
      <c r="J1951">
        <v>1017</v>
      </c>
      <c r="K1951">
        <v>7.13</v>
      </c>
      <c r="L1951">
        <v>0</v>
      </c>
      <c r="M1951">
        <v>0</v>
      </c>
    </row>
    <row r="1952" spans="1:13">
      <c r="A1952" s="28">
        <v>53030</v>
      </c>
      <c r="B1952" t="s">
        <v>2096</v>
      </c>
      <c r="C1952">
        <v>16460</v>
      </c>
      <c r="D1952">
        <v>160</v>
      </c>
      <c r="E1952">
        <v>0.98</v>
      </c>
      <c r="F1952">
        <v>402</v>
      </c>
      <c r="G1952">
        <v>40.950000000000003</v>
      </c>
      <c r="H1952">
        <v>437</v>
      </c>
      <c r="I1952">
        <v>37.68</v>
      </c>
      <c r="J1952">
        <v>6196</v>
      </c>
      <c r="K1952">
        <v>2.66</v>
      </c>
      <c r="L1952">
        <v>0</v>
      </c>
      <c r="M1952">
        <v>0</v>
      </c>
    </row>
    <row r="1953" spans="1:13">
      <c r="A1953" s="28">
        <v>35620</v>
      </c>
      <c r="B1953" t="s">
        <v>2097</v>
      </c>
      <c r="C1953">
        <v>633</v>
      </c>
      <c r="D1953">
        <v>-4</v>
      </c>
      <c r="E1953">
        <v>-0.63</v>
      </c>
      <c r="F1953" t="s">
        <v>397</v>
      </c>
      <c r="G1953" t="s">
        <v>397</v>
      </c>
      <c r="H1953" t="s">
        <v>397</v>
      </c>
      <c r="I1953" t="s">
        <v>397</v>
      </c>
      <c r="J1953">
        <v>1160</v>
      </c>
      <c r="K1953">
        <v>0.55000000000000004</v>
      </c>
      <c r="L1953">
        <v>0</v>
      </c>
      <c r="M1953">
        <v>0</v>
      </c>
    </row>
    <row r="1954" spans="1:13">
      <c r="A1954" s="28">
        <v>18700</v>
      </c>
      <c r="B1954" t="s">
        <v>2098</v>
      </c>
      <c r="C1954">
        <v>1527</v>
      </c>
      <c r="D1954">
        <v>-8</v>
      </c>
      <c r="E1954">
        <v>-0.52</v>
      </c>
      <c r="F1954" t="s">
        <v>397</v>
      </c>
      <c r="G1954" t="s">
        <v>397</v>
      </c>
      <c r="H1954" t="s">
        <v>397</v>
      </c>
      <c r="I1954" t="s">
        <v>397</v>
      </c>
      <c r="J1954">
        <v>1705</v>
      </c>
      <c r="K1954">
        <v>0.9</v>
      </c>
      <c r="L1954">
        <v>0</v>
      </c>
      <c r="M1954">
        <v>0</v>
      </c>
    </row>
    <row r="1955" spans="1:13">
      <c r="A1955" s="28">
        <v>418470</v>
      </c>
      <c r="B1955" t="s">
        <v>2099</v>
      </c>
      <c r="C1955">
        <v>20400</v>
      </c>
      <c r="D1955">
        <v>-950</v>
      </c>
      <c r="E1955">
        <v>-4.45</v>
      </c>
      <c r="F1955">
        <v>2176</v>
      </c>
      <c r="G1955">
        <v>9.3800000000000008</v>
      </c>
      <c r="H1955">
        <v>1809</v>
      </c>
      <c r="I1955">
        <v>11.28</v>
      </c>
      <c r="J1955">
        <v>1148</v>
      </c>
      <c r="K1955">
        <v>17.77</v>
      </c>
      <c r="L1955">
        <v>0</v>
      </c>
      <c r="M1955">
        <v>0</v>
      </c>
    </row>
    <row r="1956" spans="1:13">
      <c r="A1956" s="28">
        <v>201490</v>
      </c>
      <c r="B1956" t="s">
        <v>2100</v>
      </c>
      <c r="C1956">
        <v>2850</v>
      </c>
      <c r="D1956">
        <v>-25</v>
      </c>
      <c r="E1956">
        <v>-0.87</v>
      </c>
      <c r="F1956">
        <v>277</v>
      </c>
      <c r="G1956">
        <v>10.29</v>
      </c>
      <c r="H1956" t="s">
        <v>397</v>
      </c>
      <c r="I1956" t="s">
        <v>397</v>
      </c>
      <c r="J1956">
        <v>3872</v>
      </c>
      <c r="K1956">
        <v>0.74</v>
      </c>
      <c r="L1956">
        <v>0</v>
      </c>
      <c r="M1956">
        <v>0</v>
      </c>
    </row>
    <row r="1957" spans="1:13">
      <c r="A1957" s="28">
        <v>214610</v>
      </c>
      <c r="B1957" t="s">
        <v>2101</v>
      </c>
      <c r="C1957">
        <v>1755</v>
      </c>
      <c r="D1957">
        <v>56</v>
      </c>
      <c r="E1957">
        <v>3.3</v>
      </c>
      <c r="F1957" t="s">
        <v>397</v>
      </c>
      <c r="G1957" t="s">
        <v>397</v>
      </c>
      <c r="H1957" t="s">
        <v>397</v>
      </c>
      <c r="I1957" t="s">
        <v>397</v>
      </c>
      <c r="J1957">
        <v>690</v>
      </c>
      <c r="K1957">
        <v>2.54</v>
      </c>
      <c r="L1957">
        <v>0</v>
      </c>
      <c r="M1957">
        <v>0</v>
      </c>
    </row>
    <row r="1958" spans="1:13">
      <c r="A1958" s="28">
        <v>59090</v>
      </c>
      <c r="B1958" t="s">
        <v>2102</v>
      </c>
      <c r="C1958">
        <v>11090</v>
      </c>
      <c r="D1958">
        <v>-210</v>
      </c>
      <c r="E1958">
        <v>-1.86</v>
      </c>
      <c r="F1958" t="s">
        <v>397</v>
      </c>
      <c r="G1958" t="s">
        <v>397</v>
      </c>
      <c r="H1958" t="s">
        <v>397</v>
      </c>
      <c r="I1958" t="s">
        <v>397</v>
      </c>
      <c r="J1958">
        <v>4503</v>
      </c>
      <c r="K1958">
        <v>2.46</v>
      </c>
      <c r="L1958">
        <v>0</v>
      </c>
      <c r="M1958">
        <v>0</v>
      </c>
    </row>
    <row r="1959" spans="1:13">
      <c r="A1959" s="28">
        <v>85620</v>
      </c>
      <c r="B1959" t="s">
        <v>2103</v>
      </c>
      <c r="C1959">
        <v>4920</v>
      </c>
      <c r="D1959">
        <v>25</v>
      </c>
      <c r="E1959">
        <v>0.51</v>
      </c>
      <c r="F1959">
        <v>441</v>
      </c>
      <c r="G1959">
        <v>11.16</v>
      </c>
      <c r="H1959">
        <v>805</v>
      </c>
      <c r="I1959">
        <v>6.11</v>
      </c>
      <c r="J1959">
        <v>10179</v>
      </c>
      <c r="K1959">
        <v>0.48</v>
      </c>
      <c r="L1959">
        <v>0</v>
      </c>
      <c r="M1959">
        <v>0</v>
      </c>
    </row>
    <row r="1960" spans="1:13">
      <c r="A1960" s="28">
        <v>448830</v>
      </c>
      <c r="B1960" t="s">
        <v>2104</v>
      </c>
      <c r="C1960">
        <v>2275</v>
      </c>
      <c r="D1960">
        <v>40</v>
      </c>
      <c r="E1960">
        <v>1.79</v>
      </c>
      <c r="F1960" t="s">
        <v>397</v>
      </c>
      <c r="G1960" t="s">
        <v>397</v>
      </c>
      <c r="H1960" t="s">
        <v>397</v>
      </c>
      <c r="I1960" t="s">
        <v>397</v>
      </c>
      <c r="J1960" t="s">
        <v>397</v>
      </c>
      <c r="K1960" t="s">
        <v>397</v>
      </c>
      <c r="L1960">
        <v>0</v>
      </c>
      <c r="M1960">
        <v>0</v>
      </c>
    </row>
    <row r="1961" spans="1:13">
      <c r="A1961" s="28">
        <v>446190</v>
      </c>
      <c r="B1961" t="s">
        <v>2105</v>
      </c>
      <c r="C1961">
        <v>2170</v>
      </c>
      <c r="D1961">
        <v>5</v>
      </c>
      <c r="E1961">
        <v>0.23</v>
      </c>
      <c r="F1961" t="s">
        <v>397</v>
      </c>
      <c r="G1961" t="s">
        <v>397</v>
      </c>
      <c r="H1961" t="s">
        <v>397</v>
      </c>
      <c r="I1961" t="s">
        <v>397</v>
      </c>
      <c r="J1961" t="s">
        <v>397</v>
      </c>
      <c r="K1961" t="s">
        <v>397</v>
      </c>
      <c r="L1961">
        <v>0</v>
      </c>
      <c r="M1961">
        <v>0</v>
      </c>
    </row>
    <row r="1962" spans="1:13">
      <c r="A1962" s="28">
        <v>300</v>
      </c>
      <c r="B1962" t="s">
        <v>2106</v>
      </c>
      <c r="C1962">
        <v>241</v>
      </c>
      <c r="D1962">
        <v>0</v>
      </c>
      <c r="E1962">
        <v>0</v>
      </c>
      <c r="F1962" t="s">
        <v>397</v>
      </c>
      <c r="G1962" t="s">
        <v>397</v>
      </c>
      <c r="H1962" t="s">
        <v>397</v>
      </c>
      <c r="I1962" t="s">
        <v>397</v>
      </c>
      <c r="J1962">
        <v>503</v>
      </c>
      <c r="K1962">
        <v>0.48</v>
      </c>
      <c r="L1962">
        <v>0</v>
      </c>
      <c r="M1962">
        <v>0</v>
      </c>
    </row>
    <row r="1963" spans="1:13">
      <c r="A1963" s="28">
        <v>290380</v>
      </c>
      <c r="B1963" t="s">
        <v>2107</v>
      </c>
      <c r="C1963">
        <v>2300</v>
      </c>
      <c r="D1963">
        <v>0</v>
      </c>
      <c r="E1963">
        <v>0</v>
      </c>
      <c r="F1963" t="s">
        <v>397</v>
      </c>
      <c r="G1963" t="s">
        <v>397</v>
      </c>
      <c r="H1963" t="s">
        <v>397</v>
      </c>
      <c r="I1963" t="s">
        <v>397</v>
      </c>
      <c r="J1963">
        <v>4311</v>
      </c>
      <c r="K1963">
        <v>0.53</v>
      </c>
      <c r="L1963">
        <v>0</v>
      </c>
      <c r="M1963">
        <v>0</v>
      </c>
    </row>
    <row r="1964" spans="1:13">
      <c r="A1964" s="28">
        <v>72130</v>
      </c>
      <c r="B1964" t="s">
        <v>2108</v>
      </c>
      <c r="C1964">
        <v>3545</v>
      </c>
      <c r="D1964">
        <v>5</v>
      </c>
      <c r="E1964">
        <v>0.14000000000000001</v>
      </c>
      <c r="F1964">
        <v>185</v>
      </c>
      <c r="G1964">
        <v>19.16</v>
      </c>
      <c r="H1964" t="s">
        <v>397</v>
      </c>
      <c r="I1964" t="s">
        <v>397</v>
      </c>
      <c r="J1964">
        <v>4499</v>
      </c>
      <c r="K1964">
        <v>0.79</v>
      </c>
      <c r="L1964">
        <v>0</v>
      </c>
      <c r="M1964">
        <v>0</v>
      </c>
    </row>
    <row r="1965" spans="1:13">
      <c r="A1965" s="28">
        <v>86960</v>
      </c>
      <c r="B1965" t="s">
        <v>2109</v>
      </c>
      <c r="C1965">
        <v>1836</v>
      </c>
      <c r="D1965">
        <v>-35</v>
      </c>
      <c r="E1965">
        <v>-1.87</v>
      </c>
      <c r="F1965" t="s">
        <v>397</v>
      </c>
      <c r="G1965" t="s">
        <v>397</v>
      </c>
      <c r="H1965" t="s">
        <v>397</v>
      </c>
      <c r="I1965" t="s">
        <v>397</v>
      </c>
      <c r="J1965">
        <v>1258</v>
      </c>
      <c r="K1965">
        <v>1.46</v>
      </c>
      <c r="L1965">
        <v>0</v>
      </c>
      <c r="M1965">
        <v>0</v>
      </c>
    </row>
    <row r="1966" spans="1:13">
      <c r="A1966" s="28">
        <v>99220</v>
      </c>
      <c r="B1966" t="s">
        <v>2110</v>
      </c>
      <c r="C1966">
        <v>1083</v>
      </c>
      <c r="D1966">
        <v>-27</v>
      </c>
      <c r="E1966">
        <v>-2.4300000000000002</v>
      </c>
      <c r="F1966">
        <v>14</v>
      </c>
      <c r="G1966">
        <v>77.36</v>
      </c>
      <c r="H1966" t="s">
        <v>397</v>
      </c>
      <c r="I1966" t="s">
        <v>397</v>
      </c>
      <c r="J1966">
        <v>1886</v>
      </c>
      <c r="K1966">
        <v>0.56999999999999995</v>
      </c>
      <c r="L1966">
        <v>0</v>
      </c>
      <c r="M1966">
        <v>0</v>
      </c>
    </row>
    <row r="1967" spans="1:13">
      <c r="A1967" s="28">
        <v>151910</v>
      </c>
      <c r="B1967" t="s">
        <v>2111</v>
      </c>
      <c r="C1967">
        <v>640</v>
      </c>
      <c r="D1967">
        <v>0</v>
      </c>
      <c r="E1967">
        <v>0</v>
      </c>
      <c r="F1967" t="s">
        <v>397</v>
      </c>
      <c r="G1967" t="s">
        <v>397</v>
      </c>
      <c r="H1967" t="s">
        <v>397</v>
      </c>
      <c r="I1967" t="s">
        <v>397</v>
      </c>
      <c r="J1967">
        <v>216</v>
      </c>
      <c r="K1967">
        <v>2.96</v>
      </c>
      <c r="L1967">
        <v>0</v>
      </c>
      <c r="M1967">
        <v>0</v>
      </c>
    </row>
    <row r="1968" spans="1:13">
      <c r="A1968" s="28">
        <v>19550</v>
      </c>
      <c r="B1968" t="s">
        <v>2112</v>
      </c>
      <c r="C1968">
        <v>901</v>
      </c>
      <c r="D1968">
        <v>-10</v>
      </c>
      <c r="E1968">
        <v>-1.1000000000000001</v>
      </c>
      <c r="F1968" t="s">
        <v>397</v>
      </c>
      <c r="G1968" t="s">
        <v>397</v>
      </c>
      <c r="H1968" t="s">
        <v>397</v>
      </c>
      <c r="I1968" t="s">
        <v>397</v>
      </c>
      <c r="J1968">
        <v>730</v>
      </c>
      <c r="K1968">
        <v>1.23</v>
      </c>
      <c r="L1968">
        <v>0</v>
      </c>
      <c r="M1968">
        <v>0</v>
      </c>
    </row>
    <row r="1969" spans="1:13">
      <c r="A1969" s="28">
        <v>419530</v>
      </c>
      <c r="B1969" t="s">
        <v>2113</v>
      </c>
      <c r="C1969">
        <v>15320</v>
      </c>
      <c r="D1969">
        <v>-80</v>
      </c>
      <c r="E1969">
        <v>-0.52</v>
      </c>
      <c r="F1969" t="s">
        <v>397</v>
      </c>
      <c r="G1969" t="s">
        <v>397</v>
      </c>
      <c r="H1969">
        <v>358</v>
      </c>
      <c r="I1969">
        <v>42.8</v>
      </c>
      <c r="J1969">
        <v>5924</v>
      </c>
      <c r="K1969">
        <v>2.59</v>
      </c>
      <c r="L1969">
        <v>0</v>
      </c>
      <c r="M1969">
        <v>0</v>
      </c>
    </row>
    <row r="1970" spans="1:13">
      <c r="A1970" s="28">
        <v>91340</v>
      </c>
      <c r="B1970" t="s">
        <v>2114</v>
      </c>
      <c r="C1970">
        <v>2565</v>
      </c>
      <c r="D1970">
        <v>-10</v>
      </c>
      <c r="E1970">
        <v>-0.39</v>
      </c>
      <c r="F1970" t="s">
        <v>397</v>
      </c>
      <c r="G1970" t="s">
        <v>397</v>
      </c>
      <c r="H1970" t="s">
        <v>397</v>
      </c>
      <c r="I1970" t="s">
        <v>397</v>
      </c>
      <c r="J1970">
        <v>8329</v>
      </c>
      <c r="K1970">
        <v>0.31</v>
      </c>
      <c r="L1970">
        <v>0</v>
      </c>
      <c r="M1970">
        <v>0</v>
      </c>
    </row>
    <row r="1971" spans="1:13">
      <c r="A1971" s="28">
        <v>456040</v>
      </c>
      <c r="B1971" t="s">
        <v>362</v>
      </c>
      <c r="C1971">
        <v>84000</v>
      </c>
      <c r="D1971">
        <v>-2500</v>
      </c>
      <c r="E1971">
        <v>-2.89</v>
      </c>
      <c r="F1971" t="s">
        <v>397</v>
      </c>
      <c r="G1971" t="s">
        <v>397</v>
      </c>
      <c r="H1971" t="s">
        <v>397</v>
      </c>
      <c r="I1971" t="s">
        <v>397</v>
      </c>
      <c r="J1971" t="s">
        <v>397</v>
      </c>
      <c r="K1971" t="s">
        <v>397</v>
      </c>
      <c r="L1971">
        <v>0</v>
      </c>
      <c r="M1971">
        <v>0</v>
      </c>
    </row>
    <row r="1972" spans="1:13">
      <c r="A1972" s="28">
        <v>222160</v>
      </c>
      <c r="B1972" t="s">
        <v>2115</v>
      </c>
      <c r="C1972">
        <v>8040</v>
      </c>
      <c r="D1972">
        <v>0</v>
      </c>
      <c r="E1972">
        <v>0</v>
      </c>
      <c r="F1972">
        <v>15</v>
      </c>
      <c r="G1972">
        <v>536</v>
      </c>
      <c r="H1972" t="s">
        <v>397</v>
      </c>
      <c r="I1972" t="s">
        <v>397</v>
      </c>
      <c r="J1972">
        <v>2928</v>
      </c>
      <c r="K1972">
        <v>2.75</v>
      </c>
      <c r="L1972">
        <v>0</v>
      </c>
      <c r="M1972">
        <v>0</v>
      </c>
    </row>
    <row r="1973" spans="1:13">
      <c r="A1973" s="28">
        <v>104200</v>
      </c>
      <c r="B1973" t="s">
        <v>2116</v>
      </c>
      <c r="C1973">
        <v>5080</v>
      </c>
      <c r="D1973">
        <v>-130</v>
      </c>
      <c r="E1973">
        <v>-2.5</v>
      </c>
      <c r="F1973">
        <v>187</v>
      </c>
      <c r="G1973">
        <v>27.17</v>
      </c>
      <c r="H1973" t="s">
        <v>397</v>
      </c>
      <c r="I1973" t="s">
        <v>397</v>
      </c>
      <c r="J1973">
        <v>5461</v>
      </c>
      <c r="K1973">
        <v>0.93</v>
      </c>
      <c r="L1973">
        <v>0</v>
      </c>
      <c r="M1973">
        <v>0</v>
      </c>
    </row>
    <row r="1974" spans="1:13">
      <c r="A1974" s="28">
        <v>181710</v>
      </c>
      <c r="B1974" t="s">
        <v>2117</v>
      </c>
      <c r="C1974">
        <v>25350</v>
      </c>
      <c r="D1974">
        <v>-350</v>
      </c>
      <c r="E1974">
        <v>-1.36</v>
      </c>
      <c r="F1974" t="s">
        <v>397</v>
      </c>
      <c r="G1974" t="s">
        <v>397</v>
      </c>
      <c r="H1974">
        <v>2138</v>
      </c>
      <c r="I1974">
        <v>11.85</v>
      </c>
      <c r="J1974">
        <v>49179</v>
      </c>
      <c r="K1974">
        <v>0.52</v>
      </c>
      <c r="L1974">
        <v>0</v>
      </c>
      <c r="M1974">
        <v>0</v>
      </c>
    </row>
    <row r="1975" spans="1:13">
      <c r="A1975" s="28">
        <v>160550</v>
      </c>
      <c r="B1975" t="s">
        <v>2118</v>
      </c>
      <c r="C1975">
        <v>3710</v>
      </c>
      <c r="D1975">
        <v>-80</v>
      </c>
      <c r="E1975">
        <v>-2.11</v>
      </c>
      <c r="F1975" t="s">
        <v>397</v>
      </c>
      <c r="G1975" t="s">
        <v>397</v>
      </c>
      <c r="H1975" t="s">
        <v>397</v>
      </c>
      <c r="I1975" t="s">
        <v>397</v>
      </c>
      <c r="J1975">
        <v>4300</v>
      </c>
      <c r="K1975">
        <v>0.86</v>
      </c>
      <c r="L1975">
        <v>0</v>
      </c>
      <c r="M1975">
        <v>0</v>
      </c>
    </row>
    <row r="1976" spans="1:13">
      <c r="A1976" s="28">
        <v>38340</v>
      </c>
      <c r="B1976" t="s">
        <v>2119</v>
      </c>
      <c r="C1976">
        <v>1283</v>
      </c>
      <c r="D1976">
        <v>0</v>
      </c>
      <c r="E1976">
        <v>0</v>
      </c>
      <c r="F1976" t="s">
        <v>397</v>
      </c>
      <c r="G1976" t="s">
        <v>397</v>
      </c>
      <c r="H1976" t="s">
        <v>397</v>
      </c>
      <c r="I1976" t="s">
        <v>397</v>
      </c>
      <c r="J1976">
        <v>247</v>
      </c>
      <c r="K1976">
        <v>5.19</v>
      </c>
      <c r="L1976">
        <v>0</v>
      </c>
      <c r="M1976">
        <v>0</v>
      </c>
    </row>
    <row r="1977" spans="1:13">
      <c r="A1977" s="28">
        <v>680</v>
      </c>
      <c r="B1977" t="s">
        <v>2120</v>
      </c>
      <c r="C1977">
        <v>5640</v>
      </c>
      <c r="D1977">
        <v>1300</v>
      </c>
      <c r="E1977">
        <v>29.95</v>
      </c>
      <c r="F1977" t="s">
        <v>397</v>
      </c>
      <c r="G1977" t="s">
        <v>397</v>
      </c>
      <c r="H1977" t="s">
        <v>397</v>
      </c>
      <c r="I1977" t="s">
        <v>397</v>
      </c>
      <c r="J1977">
        <v>7510</v>
      </c>
      <c r="K1977">
        <v>0.75</v>
      </c>
      <c r="L1977">
        <v>0</v>
      </c>
      <c r="M1977">
        <v>0</v>
      </c>
    </row>
    <row r="1978" spans="1:13">
      <c r="A1978" s="28">
        <v>255220</v>
      </c>
      <c r="B1978" t="s">
        <v>2121</v>
      </c>
      <c r="C1978">
        <v>2765</v>
      </c>
      <c r="D1978">
        <v>635</v>
      </c>
      <c r="E1978">
        <v>29.81</v>
      </c>
      <c r="F1978">
        <v>80</v>
      </c>
      <c r="G1978">
        <v>34.56</v>
      </c>
      <c r="H1978" t="s">
        <v>397</v>
      </c>
      <c r="I1978" t="s">
        <v>397</v>
      </c>
      <c r="J1978">
        <v>1980</v>
      </c>
      <c r="K1978">
        <v>1.4</v>
      </c>
      <c r="L1978">
        <v>0</v>
      </c>
      <c r="M1978">
        <v>0</v>
      </c>
    </row>
    <row r="1979" spans="1:13">
      <c r="A1979" s="28">
        <v>373220</v>
      </c>
      <c r="B1979" t="s">
        <v>2122</v>
      </c>
      <c r="C1979">
        <v>398500</v>
      </c>
      <c r="D1979">
        <v>-17500</v>
      </c>
      <c r="E1979">
        <v>-4.21</v>
      </c>
      <c r="F1979">
        <v>3306</v>
      </c>
      <c r="G1979">
        <v>120.54</v>
      </c>
      <c r="H1979">
        <v>8805</v>
      </c>
      <c r="I1979">
        <v>45.26</v>
      </c>
      <c r="J1979">
        <v>80052</v>
      </c>
      <c r="K1979">
        <v>4.9800000000000004</v>
      </c>
      <c r="L1979">
        <v>0</v>
      </c>
      <c r="M1979">
        <v>0</v>
      </c>
    </row>
    <row r="1980" spans="1:13">
      <c r="A1980" s="28">
        <v>34220</v>
      </c>
      <c r="B1980" t="s">
        <v>371</v>
      </c>
      <c r="C1980">
        <v>11180</v>
      </c>
      <c r="D1980">
        <v>-370</v>
      </c>
      <c r="E1980">
        <v>-3.2</v>
      </c>
      <c r="F1980" t="s">
        <v>397</v>
      </c>
      <c r="G1980" t="s">
        <v>397</v>
      </c>
      <c r="H1980" t="s">
        <v>397</v>
      </c>
      <c r="I1980" t="s">
        <v>397</v>
      </c>
      <c r="J1980">
        <v>25521</v>
      </c>
      <c r="K1980">
        <v>0.44</v>
      </c>
      <c r="L1980">
        <v>0</v>
      </c>
      <c r="M1980">
        <v>0</v>
      </c>
    </row>
    <row r="1981" spans="1:13">
      <c r="A1981" s="28">
        <v>309960</v>
      </c>
      <c r="B1981" t="s">
        <v>2123</v>
      </c>
      <c r="C1981">
        <v>4280</v>
      </c>
      <c r="D1981">
        <v>60</v>
      </c>
      <c r="E1981">
        <v>1.42</v>
      </c>
      <c r="F1981">
        <v>194</v>
      </c>
      <c r="G1981">
        <v>22.06</v>
      </c>
      <c r="H1981" t="s">
        <v>397</v>
      </c>
      <c r="I1981" t="s">
        <v>397</v>
      </c>
      <c r="J1981">
        <v>4723</v>
      </c>
      <c r="K1981">
        <v>0.91</v>
      </c>
      <c r="L1981">
        <v>0</v>
      </c>
      <c r="M1981">
        <v>0</v>
      </c>
    </row>
    <row r="1982" spans="1:13">
      <c r="A1982" s="28">
        <v>61970</v>
      </c>
      <c r="B1982" t="s">
        <v>2124</v>
      </c>
      <c r="C1982">
        <v>7180</v>
      </c>
      <c r="D1982">
        <v>-130</v>
      </c>
      <c r="E1982">
        <v>-1.78</v>
      </c>
      <c r="F1982">
        <v>918</v>
      </c>
      <c r="G1982">
        <v>7.82</v>
      </c>
      <c r="H1982" t="s">
        <v>397</v>
      </c>
      <c r="I1982" t="s">
        <v>397</v>
      </c>
      <c r="J1982">
        <v>6142</v>
      </c>
      <c r="K1982">
        <v>1.17</v>
      </c>
      <c r="L1982">
        <v>0</v>
      </c>
      <c r="M1982">
        <v>0</v>
      </c>
    </row>
    <row r="1983" spans="1:13">
      <c r="A1983" s="28">
        <v>376190</v>
      </c>
      <c r="B1983" t="s">
        <v>2125</v>
      </c>
      <c r="C1983">
        <v>7260</v>
      </c>
      <c r="D1983">
        <v>260</v>
      </c>
      <c r="E1983">
        <v>3.71</v>
      </c>
      <c r="F1983">
        <v>502</v>
      </c>
      <c r="G1983">
        <v>14.46</v>
      </c>
      <c r="H1983" t="s">
        <v>397</v>
      </c>
      <c r="I1983" t="s">
        <v>397</v>
      </c>
      <c r="J1983">
        <v>8229</v>
      </c>
      <c r="K1983">
        <v>0.88</v>
      </c>
      <c r="L1983">
        <v>0</v>
      </c>
      <c r="M1983">
        <v>0</v>
      </c>
    </row>
    <row r="1984" spans="1:13">
      <c r="A1984" s="28">
        <v>52900</v>
      </c>
      <c r="B1984" t="s">
        <v>2126</v>
      </c>
      <c r="C1984">
        <v>1365</v>
      </c>
      <c r="D1984">
        <v>9</v>
      </c>
      <c r="E1984">
        <v>0.66</v>
      </c>
      <c r="F1984">
        <v>283</v>
      </c>
      <c r="G1984">
        <v>4.82</v>
      </c>
      <c r="H1984" t="s">
        <v>397</v>
      </c>
      <c r="I1984" t="s">
        <v>397</v>
      </c>
      <c r="J1984">
        <v>2046</v>
      </c>
      <c r="K1984">
        <v>0.67</v>
      </c>
      <c r="L1984">
        <v>0</v>
      </c>
      <c r="M1984">
        <v>0</v>
      </c>
    </row>
    <row r="1985" spans="1:13">
      <c r="A1985" s="28">
        <v>40</v>
      </c>
      <c r="B1985" t="s">
        <v>2127</v>
      </c>
      <c r="C1985">
        <v>465</v>
      </c>
      <c r="D1985">
        <v>0</v>
      </c>
      <c r="E1985">
        <v>0</v>
      </c>
      <c r="F1985" t="s">
        <v>397</v>
      </c>
      <c r="G1985" t="s">
        <v>397</v>
      </c>
      <c r="H1985" t="s">
        <v>397</v>
      </c>
      <c r="I1985" t="s">
        <v>397</v>
      </c>
      <c r="J1985">
        <v>345</v>
      </c>
      <c r="K1985">
        <v>1.35</v>
      </c>
      <c r="L1985">
        <v>0</v>
      </c>
      <c r="M1985">
        <v>0</v>
      </c>
    </row>
    <row r="1986" spans="1:13">
      <c r="A1986" s="28">
        <v>15590</v>
      </c>
      <c r="B1986" t="s">
        <v>2128</v>
      </c>
      <c r="C1986">
        <v>379</v>
      </c>
      <c r="D1986">
        <v>3</v>
      </c>
      <c r="E1986">
        <v>0.8</v>
      </c>
      <c r="F1986">
        <v>49</v>
      </c>
      <c r="G1986">
        <v>7.73</v>
      </c>
      <c r="H1986" t="s">
        <v>397</v>
      </c>
      <c r="I1986" t="s">
        <v>397</v>
      </c>
      <c r="J1986">
        <v>475</v>
      </c>
      <c r="K1986">
        <v>0.8</v>
      </c>
      <c r="L1986">
        <v>0</v>
      </c>
      <c r="M1986">
        <v>0</v>
      </c>
    </row>
    <row r="1987" spans="1:13">
      <c r="A1987" s="28">
        <v>33180</v>
      </c>
      <c r="B1987" t="s">
        <v>2129</v>
      </c>
      <c r="C1987">
        <v>6630</v>
      </c>
      <c r="D1987">
        <v>0</v>
      </c>
      <c r="E1987">
        <v>0</v>
      </c>
      <c r="F1987" t="s">
        <v>397</v>
      </c>
      <c r="G1987" t="s">
        <v>397</v>
      </c>
      <c r="H1987" t="s">
        <v>397</v>
      </c>
      <c r="I1987" t="s">
        <v>397</v>
      </c>
      <c r="J1987">
        <v>41565</v>
      </c>
      <c r="K1987">
        <v>0.16</v>
      </c>
      <c r="L1987">
        <v>0</v>
      </c>
      <c r="M1987">
        <v>0</v>
      </c>
    </row>
    <row r="1988" spans="1:13">
      <c r="A1988" s="28">
        <v>111870</v>
      </c>
      <c r="B1988" t="s">
        <v>2130</v>
      </c>
      <c r="C1988">
        <v>2970</v>
      </c>
      <c r="D1988">
        <v>0</v>
      </c>
      <c r="E1988">
        <v>0</v>
      </c>
      <c r="F1988" t="s">
        <v>397</v>
      </c>
      <c r="G1988" t="s">
        <v>397</v>
      </c>
      <c r="H1988" t="s">
        <v>397</v>
      </c>
      <c r="I1988" t="s">
        <v>397</v>
      </c>
      <c r="J1988">
        <v>10545</v>
      </c>
      <c r="K1988">
        <v>0.28000000000000003</v>
      </c>
      <c r="L1988">
        <v>0</v>
      </c>
      <c r="M1988">
        <v>0</v>
      </c>
    </row>
    <row r="1989" spans="1:13">
      <c r="A1989" s="28">
        <v>226360</v>
      </c>
      <c r="B1989" t="s">
        <v>2131</v>
      </c>
      <c r="C1989">
        <v>319</v>
      </c>
      <c r="D1989">
        <v>0</v>
      </c>
      <c r="E1989">
        <v>0</v>
      </c>
      <c r="F1989" t="s">
        <v>397</v>
      </c>
      <c r="G1989" t="s">
        <v>397</v>
      </c>
      <c r="H1989" t="s">
        <v>397</v>
      </c>
      <c r="I1989" t="s">
        <v>397</v>
      </c>
      <c r="J1989">
        <v>883</v>
      </c>
      <c r="K1989">
        <v>0.36</v>
      </c>
      <c r="L1989">
        <v>0</v>
      </c>
      <c r="M1989">
        <v>0</v>
      </c>
    </row>
    <row r="1990" spans="1:13">
      <c r="A1990" s="28">
        <v>36540</v>
      </c>
      <c r="B1990" t="s">
        <v>2132</v>
      </c>
      <c r="C1990">
        <v>5890</v>
      </c>
      <c r="D1990">
        <v>-90</v>
      </c>
      <c r="E1990">
        <v>-1.51</v>
      </c>
      <c r="F1990">
        <v>262</v>
      </c>
      <c r="G1990">
        <v>22.48</v>
      </c>
      <c r="H1990">
        <v>162</v>
      </c>
      <c r="I1990">
        <v>36.28</v>
      </c>
      <c r="J1990">
        <v>2779</v>
      </c>
      <c r="K1990">
        <v>2.12</v>
      </c>
      <c r="L1990">
        <v>0</v>
      </c>
      <c r="M1990">
        <v>0</v>
      </c>
    </row>
    <row r="1991" spans="1:13">
      <c r="A1991" s="28">
        <v>40610</v>
      </c>
      <c r="B1991" t="s">
        <v>2133</v>
      </c>
      <c r="C1991">
        <v>1700</v>
      </c>
      <c r="D1991">
        <v>8</v>
      </c>
      <c r="E1991">
        <v>0.47</v>
      </c>
      <c r="F1991">
        <v>1225</v>
      </c>
      <c r="G1991">
        <v>1.39</v>
      </c>
      <c r="H1991" t="s">
        <v>397</v>
      </c>
      <c r="I1991" t="s">
        <v>397</v>
      </c>
      <c r="J1991">
        <v>9276</v>
      </c>
      <c r="K1991">
        <v>0.18</v>
      </c>
      <c r="L1991">
        <v>0</v>
      </c>
      <c r="M1991">
        <v>0</v>
      </c>
    </row>
    <row r="1992" spans="1:13">
      <c r="A1992" s="28">
        <v>114190</v>
      </c>
      <c r="B1992" t="s">
        <v>2134</v>
      </c>
      <c r="C1992">
        <v>19800</v>
      </c>
      <c r="D1992">
        <v>70</v>
      </c>
      <c r="E1992">
        <v>0.35</v>
      </c>
      <c r="F1992">
        <v>132</v>
      </c>
      <c r="G1992">
        <v>150</v>
      </c>
      <c r="H1992" t="s">
        <v>397</v>
      </c>
      <c r="I1992" t="s">
        <v>397</v>
      </c>
      <c r="J1992">
        <v>1237</v>
      </c>
      <c r="K1992">
        <v>16.010000000000002</v>
      </c>
      <c r="L1992">
        <v>0</v>
      </c>
      <c r="M1992">
        <v>0</v>
      </c>
    </row>
    <row r="1993" spans="1:13">
      <c r="A1993" s="28">
        <v>77970</v>
      </c>
      <c r="B1993" t="s">
        <v>2135</v>
      </c>
      <c r="C1993">
        <v>13260</v>
      </c>
      <c r="D1993">
        <v>-300</v>
      </c>
      <c r="E1993">
        <v>-2.21</v>
      </c>
      <c r="F1993" t="s">
        <v>397</v>
      </c>
      <c r="G1993" t="s">
        <v>397</v>
      </c>
      <c r="H1993">
        <v>675</v>
      </c>
      <c r="I1993">
        <v>19.64</v>
      </c>
      <c r="J1993">
        <v>11315</v>
      </c>
      <c r="K1993">
        <v>1.17</v>
      </c>
      <c r="L1993">
        <v>0</v>
      </c>
      <c r="M1993">
        <v>0</v>
      </c>
    </row>
    <row r="1994" spans="1:13">
      <c r="A1994" s="28">
        <v>36620</v>
      </c>
      <c r="B1994" t="s">
        <v>2136</v>
      </c>
      <c r="C1994">
        <v>3040</v>
      </c>
      <c r="D1994">
        <v>0</v>
      </c>
      <c r="E1994">
        <v>0</v>
      </c>
      <c r="F1994">
        <v>180</v>
      </c>
      <c r="G1994">
        <v>16.89</v>
      </c>
      <c r="H1994">
        <v>596</v>
      </c>
      <c r="I1994">
        <v>5.0999999999999996</v>
      </c>
      <c r="J1994">
        <v>568</v>
      </c>
      <c r="K1994">
        <v>5.35</v>
      </c>
      <c r="L1994">
        <v>0</v>
      </c>
      <c r="M1994">
        <v>0</v>
      </c>
    </row>
    <row r="1995" spans="1:13">
      <c r="A1995" s="28">
        <v>399720</v>
      </c>
      <c r="B1995" t="s">
        <v>2137</v>
      </c>
      <c r="C1995">
        <v>101500</v>
      </c>
      <c r="D1995">
        <v>8000</v>
      </c>
      <c r="E1995">
        <v>8.56</v>
      </c>
      <c r="F1995">
        <v>413</v>
      </c>
      <c r="G1995">
        <v>245.76</v>
      </c>
      <c r="H1995">
        <v>969</v>
      </c>
      <c r="I1995">
        <v>104.74</v>
      </c>
      <c r="J1995">
        <v>4734</v>
      </c>
      <c r="K1995">
        <v>21.44</v>
      </c>
      <c r="L1995">
        <v>0</v>
      </c>
      <c r="M1995">
        <v>0</v>
      </c>
    </row>
    <row r="1996" spans="1:13">
      <c r="A1996" s="28">
        <v>52220</v>
      </c>
      <c r="B1996" t="s">
        <v>2138</v>
      </c>
      <c r="C1996">
        <v>3285</v>
      </c>
      <c r="D1996">
        <v>15</v>
      </c>
      <c r="E1996">
        <v>0.46</v>
      </c>
      <c r="F1996">
        <v>73</v>
      </c>
      <c r="G1996">
        <v>45</v>
      </c>
      <c r="H1996" t="s">
        <v>397</v>
      </c>
      <c r="I1996" t="s">
        <v>397</v>
      </c>
      <c r="J1996">
        <v>2431</v>
      </c>
      <c r="K1996">
        <v>1.35</v>
      </c>
      <c r="L1996">
        <v>0</v>
      </c>
      <c r="M1996">
        <v>0</v>
      </c>
    </row>
    <row r="1997" spans="1:13">
      <c r="A1997" s="28">
        <v>37270</v>
      </c>
      <c r="B1997" t="s">
        <v>2139</v>
      </c>
      <c r="C1997">
        <v>4200</v>
      </c>
      <c r="D1997">
        <v>-100</v>
      </c>
      <c r="E1997">
        <v>-2.33</v>
      </c>
      <c r="F1997">
        <v>183</v>
      </c>
      <c r="G1997">
        <v>22.95</v>
      </c>
      <c r="H1997" t="s">
        <v>397</v>
      </c>
      <c r="I1997" t="s">
        <v>397</v>
      </c>
      <c r="J1997">
        <v>2248</v>
      </c>
      <c r="K1997">
        <v>1.87</v>
      </c>
      <c r="L1997">
        <v>0</v>
      </c>
      <c r="M1997">
        <v>0</v>
      </c>
    </row>
    <row r="1998" spans="1:13">
      <c r="A1998" s="28">
        <v>317240</v>
      </c>
      <c r="B1998" t="s">
        <v>2140</v>
      </c>
      <c r="C1998">
        <v>377</v>
      </c>
      <c r="D1998">
        <v>10</v>
      </c>
      <c r="E1998">
        <v>2.72</v>
      </c>
      <c r="F1998" t="s">
        <v>397</v>
      </c>
      <c r="G1998" t="s">
        <v>397</v>
      </c>
      <c r="H1998" t="s">
        <v>397</v>
      </c>
      <c r="I1998" t="s">
        <v>397</v>
      </c>
      <c r="J1998">
        <v>190</v>
      </c>
      <c r="K1998">
        <v>1.98</v>
      </c>
      <c r="L1998">
        <v>0</v>
      </c>
      <c r="M1998">
        <v>0</v>
      </c>
    </row>
    <row r="1999" spans="1:13">
      <c r="A1999" s="28">
        <v>22220</v>
      </c>
      <c r="B1999" t="s">
        <v>2141</v>
      </c>
      <c r="C1999">
        <v>1121</v>
      </c>
      <c r="D1999">
        <v>1</v>
      </c>
      <c r="E1999">
        <v>0.09</v>
      </c>
      <c r="F1999">
        <v>88</v>
      </c>
      <c r="G1999">
        <v>12.74</v>
      </c>
      <c r="H1999" t="s">
        <v>397</v>
      </c>
      <c r="I1999" t="s">
        <v>397</v>
      </c>
      <c r="J1999">
        <v>1824</v>
      </c>
      <c r="K1999">
        <v>0.61</v>
      </c>
      <c r="L1999">
        <v>0</v>
      </c>
      <c r="M1999">
        <v>0</v>
      </c>
    </row>
    <row r="2000" spans="1:13">
      <c r="A2000" s="28">
        <v>161570</v>
      </c>
      <c r="B2000" t="s">
        <v>2142</v>
      </c>
      <c r="C2000">
        <v>366</v>
      </c>
      <c r="D2000">
        <v>0</v>
      </c>
      <c r="E2000">
        <v>0</v>
      </c>
      <c r="F2000" t="s">
        <v>397</v>
      </c>
      <c r="G2000" t="s">
        <v>397</v>
      </c>
      <c r="H2000" t="s">
        <v>397</v>
      </c>
      <c r="I2000" t="s">
        <v>397</v>
      </c>
      <c r="J2000">
        <v>858</v>
      </c>
      <c r="K2000">
        <v>0.43</v>
      </c>
      <c r="L2000">
        <v>0</v>
      </c>
      <c r="M2000">
        <v>0</v>
      </c>
    </row>
    <row r="2001" spans="1:13">
      <c r="A2001" s="28">
        <v>89230</v>
      </c>
      <c r="B2001" t="s">
        <v>2143</v>
      </c>
      <c r="C2001">
        <v>1934</v>
      </c>
      <c r="D2001">
        <v>78</v>
      </c>
      <c r="E2001">
        <v>4.2</v>
      </c>
      <c r="F2001" t="s">
        <v>397</v>
      </c>
      <c r="G2001" t="s">
        <v>397</v>
      </c>
      <c r="H2001" t="s">
        <v>397</v>
      </c>
      <c r="I2001" t="s">
        <v>397</v>
      </c>
      <c r="J2001">
        <v>3400</v>
      </c>
      <c r="K2001">
        <v>0.56999999999999995</v>
      </c>
      <c r="L2001">
        <v>0</v>
      </c>
      <c r="M2001">
        <v>0</v>
      </c>
    </row>
    <row r="2002" spans="1:13">
      <c r="A2002" s="28">
        <v>84870</v>
      </c>
      <c r="B2002" t="s">
        <v>2144</v>
      </c>
      <c r="C2002">
        <v>1649</v>
      </c>
      <c r="D2002">
        <v>1</v>
      </c>
      <c r="E2002">
        <v>0.06</v>
      </c>
      <c r="F2002">
        <v>236</v>
      </c>
      <c r="G2002">
        <v>6.99</v>
      </c>
      <c r="H2002" t="s">
        <v>397</v>
      </c>
      <c r="I2002" t="s">
        <v>397</v>
      </c>
      <c r="J2002">
        <v>2886</v>
      </c>
      <c r="K2002">
        <v>0.56999999999999995</v>
      </c>
      <c r="L2002">
        <v>0</v>
      </c>
      <c r="M2002">
        <v>0</v>
      </c>
    </row>
    <row r="2003" spans="1:13">
      <c r="A2003" s="28">
        <v>2820</v>
      </c>
      <c r="B2003" t="s">
        <v>2145</v>
      </c>
      <c r="C2003">
        <v>2400</v>
      </c>
      <c r="D2003">
        <v>-85</v>
      </c>
      <c r="E2003">
        <v>-3.42</v>
      </c>
      <c r="F2003" t="s">
        <v>397</v>
      </c>
      <c r="G2003" t="s">
        <v>397</v>
      </c>
      <c r="H2003" t="s">
        <v>397</v>
      </c>
      <c r="I2003" t="s">
        <v>397</v>
      </c>
      <c r="J2003">
        <v>12936</v>
      </c>
      <c r="K2003">
        <v>0.19</v>
      </c>
      <c r="L2003">
        <v>0</v>
      </c>
      <c r="M2003">
        <v>0</v>
      </c>
    </row>
    <row r="2004" spans="1:13">
      <c r="A2004" s="28">
        <v>71970</v>
      </c>
      <c r="B2004" t="s">
        <v>2146</v>
      </c>
      <c r="C2004">
        <v>10580</v>
      </c>
      <c r="D2004">
        <v>-100</v>
      </c>
      <c r="E2004">
        <v>-0.94</v>
      </c>
      <c r="F2004">
        <v>498</v>
      </c>
      <c r="G2004">
        <v>21.24</v>
      </c>
      <c r="H2004">
        <v>775</v>
      </c>
      <c r="I2004">
        <v>13.65</v>
      </c>
      <c r="J2004">
        <v>6770</v>
      </c>
      <c r="K2004">
        <v>1.56</v>
      </c>
      <c r="L2004">
        <v>0</v>
      </c>
      <c r="M2004">
        <v>0</v>
      </c>
    </row>
    <row r="2005" spans="1:13">
      <c r="A2005" s="28">
        <v>465770</v>
      </c>
      <c r="B2005" t="s">
        <v>2147</v>
      </c>
      <c r="C2005">
        <v>8500</v>
      </c>
      <c r="D2005">
        <v>-240</v>
      </c>
      <c r="E2005">
        <v>-2.75</v>
      </c>
      <c r="F2005" t="s">
        <v>397</v>
      </c>
      <c r="G2005" t="s">
        <v>397</v>
      </c>
      <c r="H2005" t="s">
        <v>397</v>
      </c>
      <c r="I2005" t="s">
        <v>397</v>
      </c>
      <c r="J2005" t="s">
        <v>397</v>
      </c>
      <c r="K2005" t="s">
        <v>397</v>
      </c>
      <c r="L2005">
        <v>0</v>
      </c>
      <c r="M2005">
        <v>0</v>
      </c>
    </row>
    <row r="2006" spans="1:13">
      <c r="A2006" s="28">
        <v>49470</v>
      </c>
      <c r="B2006" t="s">
        <v>2148</v>
      </c>
      <c r="C2006">
        <v>403</v>
      </c>
      <c r="D2006">
        <v>-107</v>
      </c>
      <c r="E2006">
        <v>-20.98</v>
      </c>
      <c r="F2006" t="s">
        <v>397</v>
      </c>
      <c r="G2006" t="s">
        <v>397</v>
      </c>
      <c r="H2006" t="s">
        <v>397</v>
      </c>
      <c r="I2006" t="s">
        <v>397</v>
      </c>
      <c r="J2006">
        <v>790</v>
      </c>
      <c r="K2006">
        <v>0.51</v>
      </c>
      <c r="L2006">
        <v>0</v>
      </c>
      <c r="M2006">
        <v>0</v>
      </c>
    </row>
    <row r="2007" spans="1:13">
      <c r="A2007" s="28">
        <v>11810</v>
      </c>
      <c r="B2007" t="s">
        <v>2149</v>
      </c>
      <c r="C2007">
        <v>9170</v>
      </c>
      <c r="D2007">
        <v>-150</v>
      </c>
      <c r="E2007">
        <v>-1.61</v>
      </c>
      <c r="F2007" t="s">
        <v>397</v>
      </c>
      <c r="G2007" t="s">
        <v>397</v>
      </c>
      <c r="H2007" t="s">
        <v>397</v>
      </c>
      <c r="I2007" t="s">
        <v>397</v>
      </c>
      <c r="J2007">
        <v>1647</v>
      </c>
      <c r="K2007">
        <v>5.57</v>
      </c>
      <c r="L2007">
        <v>0</v>
      </c>
      <c r="M2007">
        <v>0</v>
      </c>
    </row>
    <row r="2008" spans="1:13">
      <c r="A2008" s="28">
        <v>63440</v>
      </c>
      <c r="B2008" t="s">
        <v>2150</v>
      </c>
      <c r="C2008">
        <v>1788</v>
      </c>
      <c r="D2008">
        <v>-21</v>
      </c>
      <c r="E2008">
        <v>-1.1599999999999999</v>
      </c>
      <c r="F2008">
        <v>54</v>
      </c>
      <c r="G2008">
        <v>33.11</v>
      </c>
      <c r="H2008" t="s">
        <v>397</v>
      </c>
      <c r="I2008" t="s">
        <v>397</v>
      </c>
      <c r="J2008">
        <v>1136</v>
      </c>
      <c r="K2008">
        <v>1.57</v>
      </c>
      <c r="L2008">
        <v>0</v>
      </c>
      <c r="M2008">
        <v>0</v>
      </c>
    </row>
    <row r="2009" spans="1:13">
      <c r="A2009" s="28">
        <v>48550</v>
      </c>
      <c r="B2009" t="s">
        <v>2151</v>
      </c>
      <c r="C2009">
        <v>1667</v>
      </c>
      <c r="D2009">
        <v>-16</v>
      </c>
      <c r="E2009">
        <v>-0.95</v>
      </c>
      <c r="F2009">
        <v>57</v>
      </c>
      <c r="G2009">
        <v>29.25</v>
      </c>
      <c r="H2009" t="s">
        <v>397</v>
      </c>
      <c r="I2009" t="s">
        <v>397</v>
      </c>
      <c r="J2009">
        <v>1115</v>
      </c>
      <c r="K2009">
        <v>1.5</v>
      </c>
      <c r="L2009">
        <v>0</v>
      </c>
      <c r="M2009">
        <v>0</v>
      </c>
    </row>
    <row r="2010" spans="1:13">
      <c r="A2010" s="28">
        <v>100090</v>
      </c>
      <c r="B2010" t="s">
        <v>2152</v>
      </c>
      <c r="C2010">
        <v>13110</v>
      </c>
      <c r="D2010">
        <v>-210</v>
      </c>
      <c r="E2010">
        <v>-1.58</v>
      </c>
      <c r="F2010">
        <v>524</v>
      </c>
      <c r="G2010">
        <v>25.02</v>
      </c>
      <c r="H2010">
        <v>1069</v>
      </c>
      <c r="I2010">
        <v>12.26</v>
      </c>
      <c r="J2010">
        <v>9783</v>
      </c>
      <c r="K2010">
        <v>1.34</v>
      </c>
      <c r="L2010">
        <v>0</v>
      </c>
      <c r="M2010">
        <v>0</v>
      </c>
    </row>
    <row r="2011" spans="1:13">
      <c r="A2011" s="28">
        <v>361610</v>
      </c>
      <c r="B2011" t="s">
        <v>2153</v>
      </c>
      <c r="C2011">
        <v>72600</v>
      </c>
      <c r="D2011">
        <v>-2400</v>
      </c>
      <c r="E2011">
        <v>-3.2</v>
      </c>
      <c r="F2011" t="s">
        <v>397</v>
      </c>
      <c r="G2011" t="s">
        <v>397</v>
      </c>
      <c r="H2011">
        <v>1115</v>
      </c>
      <c r="I2011">
        <v>65.09</v>
      </c>
      <c r="J2011">
        <v>30501</v>
      </c>
      <c r="K2011">
        <v>2.38</v>
      </c>
      <c r="L2011">
        <v>0</v>
      </c>
      <c r="M2011">
        <v>0</v>
      </c>
    </row>
    <row r="2012" spans="1:13">
      <c r="A2012" s="28">
        <v>402340</v>
      </c>
      <c r="B2012" t="s">
        <v>2154</v>
      </c>
      <c r="C2012">
        <v>68600</v>
      </c>
      <c r="D2012">
        <v>-700</v>
      </c>
      <c r="E2012">
        <v>-1.01</v>
      </c>
      <c r="F2012">
        <v>1837</v>
      </c>
      <c r="G2012">
        <v>37.340000000000003</v>
      </c>
      <c r="H2012">
        <v>7439</v>
      </c>
      <c r="I2012">
        <v>9.2200000000000006</v>
      </c>
      <c r="J2012">
        <v>118972</v>
      </c>
      <c r="K2012">
        <v>0.57999999999999996</v>
      </c>
      <c r="L2012">
        <v>0</v>
      </c>
      <c r="M2012">
        <v>0</v>
      </c>
    </row>
    <row r="2013" spans="1:13">
      <c r="A2013" s="28">
        <v>326030</v>
      </c>
      <c r="B2013" t="s">
        <v>2155</v>
      </c>
      <c r="C2013">
        <v>93900</v>
      </c>
      <c r="D2013">
        <v>-2100</v>
      </c>
      <c r="E2013">
        <v>-2.19</v>
      </c>
      <c r="F2013" t="s">
        <v>397</v>
      </c>
      <c r="G2013" t="s">
        <v>397</v>
      </c>
      <c r="H2013">
        <v>689</v>
      </c>
      <c r="I2013">
        <v>136.27000000000001</v>
      </c>
      <c r="J2013">
        <v>4042</v>
      </c>
      <c r="K2013">
        <v>23.23</v>
      </c>
      <c r="L2013">
        <v>0</v>
      </c>
      <c r="M2013">
        <v>0</v>
      </c>
    </row>
    <row r="2014" spans="1:13">
      <c r="A2014" s="28">
        <v>302440</v>
      </c>
      <c r="B2014" t="s">
        <v>2156</v>
      </c>
      <c r="C2014">
        <v>60500</v>
      </c>
      <c r="D2014">
        <v>-800</v>
      </c>
      <c r="E2014">
        <v>-1.31</v>
      </c>
      <c r="F2014">
        <v>1596</v>
      </c>
      <c r="G2014">
        <v>37.909999999999997</v>
      </c>
      <c r="H2014" t="s">
        <v>397</v>
      </c>
      <c r="I2014" t="s">
        <v>397</v>
      </c>
      <c r="J2014">
        <v>22683</v>
      </c>
      <c r="K2014">
        <v>2.67</v>
      </c>
      <c r="L2014">
        <v>0</v>
      </c>
      <c r="M2014">
        <v>0</v>
      </c>
    </row>
    <row r="2015" spans="1:13">
      <c r="A2015" s="28">
        <v>4060</v>
      </c>
      <c r="B2015" t="s">
        <v>2157</v>
      </c>
      <c r="C2015">
        <v>430</v>
      </c>
      <c r="D2015">
        <v>1</v>
      </c>
      <c r="E2015">
        <v>0.23</v>
      </c>
      <c r="F2015">
        <v>9</v>
      </c>
      <c r="G2015">
        <v>47.78</v>
      </c>
      <c r="H2015" t="s">
        <v>397</v>
      </c>
      <c r="I2015" t="s">
        <v>397</v>
      </c>
      <c r="J2015">
        <v>1234</v>
      </c>
      <c r="K2015">
        <v>0.35</v>
      </c>
      <c r="L2015">
        <v>0</v>
      </c>
      <c r="M2015">
        <v>0</v>
      </c>
    </row>
    <row r="2016" spans="1:13">
      <c r="A2016" s="28">
        <v>1380</v>
      </c>
      <c r="B2016" t="s">
        <v>2158</v>
      </c>
      <c r="C2016">
        <v>2280</v>
      </c>
      <c r="D2016">
        <v>35</v>
      </c>
      <c r="E2016">
        <v>1.56</v>
      </c>
      <c r="F2016" t="s">
        <v>397</v>
      </c>
      <c r="G2016" t="s">
        <v>397</v>
      </c>
      <c r="H2016" t="s">
        <v>397</v>
      </c>
      <c r="I2016" t="s">
        <v>397</v>
      </c>
      <c r="J2016">
        <v>2695</v>
      </c>
      <c r="K2016">
        <v>0.85</v>
      </c>
      <c r="L2016">
        <v>0</v>
      </c>
      <c r="M2016">
        <v>0</v>
      </c>
    </row>
    <row r="2017" spans="1:13">
      <c r="A2017" s="28">
        <v>184230</v>
      </c>
      <c r="B2017" t="s">
        <v>2159</v>
      </c>
      <c r="C2017">
        <v>695</v>
      </c>
      <c r="D2017">
        <v>-14</v>
      </c>
      <c r="E2017">
        <v>-1.97</v>
      </c>
      <c r="F2017">
        <v>86</v>
      </c>
      <c r="G2017">
        <v>8.08</v>
      </c>
      <c r="H2017" t="s">
        <v>397</v>
      </c>
      <c r="I2017" t="s">
        <v>397</v>
      </c>
      <c r="J2017">
        <v>865</v>
      </c>
      <c r="K2017">
        <v>0.8</v>
      </c>
      <c r="L2017">
        <v>0</v>
      </c>
      <c r="M2017">
        <v>0</v>
      </c>
    </row>
    <row r="2018" spans="1:13">
      <c r="A2018" s="28">
        <v>3620</v>
      </c>
      <c r="B2018" t="s">
        <v>2160</v>
      </c>
      <c r="C2018">
        <v>7840</v>
      </c>
      <c r="D2018">
        <v>-50</v>
      </c>
      <c r="E2018">
        <v>-0.63</v>
      </c>
      <c r="F2018" t="s">
        <v>397</v>
      </c>
      <c r="G2018" t="s">
        <v>397</v>
      </c>
      <c r="H2018" t="s">
        <v>397</v>
      </c>
      <c r="I2018" t="s">
        <v>397</v>
      </c>
      <c r="J2018">
        <v>5846</v>
      </c>
      <c r="K2018">
        <v>1.34</v>
      </c>
      <c r="L2018">
        <v>0</v>
      </c>
      <c r="M2018">
        <v>0</v>
      </c>
    </row>
    <row r="2019" spans="1:13">
      <c r="A2019" s="28">
        <v>44180</v>
      </c>
      <c r="B2019" t="s">
        <v>2161</v>
      </c>
      <c r="C2019">
        <v>679</v>
      </c>
      <c r="D2019">
        <v>5</v>
      </c>
      <c r="E2019">
        <v>0.74</v>
      </c>
      <c r="F2019" t="s">
        <v>397</v>
      </c>
      <c r="G2019" t="s">
        <v>397</v>
      </c>
      <c r="H2019" t="s">
        <v>397</v>
      </c>
      <c r="I2019" t="s">
        <v>397</v>
      </c>
      <c r="J2019">
        <v>1464</v>
      </c>
      <c r="K2019">
        <v>0.46</v>
      </c>
      <c r="L2019">
        <v>0</v>
      </c>
      <c r="M2019">
        <v>0</v>
      </c>
    </row>
    <row r="2020" spans="1:13">
      <c r="A2020" s="28">
        <v>119650</v>
      </c>
      <c r="B2020" t="s">
        <v>2162</v>
      </c>
      <c r="C2020">
        <v>1369</v>
      </c>
      <c r="D2020">
        <v>-9</v>
      </c>
      <c r="E2020">
        <v>-0.65</v>
      </c>
      <c r="F2020" t="s">
        <v>397</v>
      </c>
      <c r="G2020" t="s">
        <v>397</v>
      </c>
      <c r="H2020" t="s">
        <v>397</v>
      </c>
      <c r="I2020" t="s">
        <v>397</v>
      </c>
      <c r="J2020">
        <v>1562</v>
      </c>
      <c r="K2020">
        <v>0.88</v>
      </c>
      <c r="L2020">
        <v>0</v>
      </c>
      <c r="M2020">
        <v>0</v>
      </c>
    </row>
    <row r="2021" spans="1:13">
      <c r="A2021" s="28">
        <v>83660</v>
      </c>
      <c r="B2021" t="s">
        <v>2163</v>
      </c>
      <c r="C2021">
        <v>1244</v>
      </c>
      <c r="D2021">
        <v>-2</v>
      </c>
      <c r="E2021">
        <v>-0.16</v>
      </c>
      <c r="F2021" t="s">
        <v>397</v>
      </c>
      <c r="G2021" t="s">
        <v>397</v>
      </c>
      <c r="H2021" t="s">
        <v>397</v>
      </c>
      <c r="I2021" t="s">
        <v>397</v>
      </c>
      <c r="J2021">
        <v>79</v>
      </c>
      <c r="K2021">
        <v>15.75</v>
      </c>
      <c r="L2021">
        <v>0</v>
      </c>
      <c r="M2021">
        <v>0</v>
      </c>
    </row>
    <row r="2022" spans="1:13">
      <c r="A2022" s="28">
        <v>214270</v>
      </c>
      <c r="B2022" t="s">
        <v>2164</v>
      </c>
      <c r="C2022">
        <v>2835</v>
      </c>
      <c r="D2022">
        <v>10</v>
      </c>
      <c r="E2022">
        <v>0.35</v>
      </c>
      <c r="F2022" t="s">
        <v>397</v>
      </c>
      <c r="G2022" t="s">
        <v>397</v>
      </c>
      <c r="H2022" t="s">
        <v>397</v>
      </c>
      <c r="I2022" t="s">
        <v>397</v>
      </c>
      <c r="J2022">
        <v>3566</v>
      </c>
      <c r="K2022">
        <v>0.8</v>
      </c>
      <c r="L2022">
        <v>0</v>
      </c>
      <c r="M2022">
        <v>0</v>
      </c>
    </row>
    <row r="2023" spans="1:13">
      <c r="A2023" s="28">
        <v>50120</v>
      </c>
      <c r="B2023" t="s">
        <v>2165</v>
      </c>
      <c r="C2023">
        <v>2635</v>
      </c>
      <c r="D2023">
        <v>20</v>
      </c>
      <c r="E2023">
        <v>0.76</v>
      </c>
      <c r="F2023">
        <v>1918</v>
      </c>
      <c r="G2023">
        <v>1.37</v>
      </c>
      <c r="H2023" t="s">
        <v>397</v>
      </c>
      <c r="I2023" t="s">
        <v>397</v>
      </c>
      <c r="J2023">
        <v>8242</v>
      </c>
      <c r="K2023">
        <v>0.32</v>
      </c>
      <c r="L2023">
        <v>0</v>
      </c>
      <c r="M2023">
        <v>0</v>
      </c>
    </row>
    <row r="2024" spans="1:13">
      <c r="A2024" s="28">
        <v>37370</v>
      </c>
      <c r="B2024" t="s">
        <v>2166</v>
      </c>
      <c r="C2024">
        <v>9660</v>
      </c>
      <c r="D2024">
        <v>-130</v>
      </c>
      <c r="E2024">
        <v>-1.33</v>
      </c>
      <c r="F2024" t="s">
        <v>397</v>
      </c>
      <c r="G2024" t="s">
        <v>397</v>
      </c>
      <c r="H2024" t="s">
        <v>397</v>
      </c>
      <c r="I2024" t="s">
        <v>397</v>
      </c>
      <c r="J2024">
        <v>7337</v>
      </c>
      <c r="K2024">
        <v>1.32</v>
      </c>
      <c r="L2024">
        <v>0</v>
      </c>
      <c r="M2024">
        <v>0</v>
      </c>
    </row>
    <row r="2025" spans="1:13">
      <c r="A2025" s="28">
        <v>245620</v>
      </c>
      <c r="B2025" t="s">
        <v>2167</v>
      </c>
      <c r="C2025">
        <v>501</v>
      </c>
      <c r="D2025">
        <v>-27</v>
      </c>
      <c r="E2025">
        <v>-5.1100000000000003</v>
      </c>
      <c r="F2025" t="s">
        <v>397</v>
      </c>
      <c r="G2025" t="s">
        <v>397</v>
      </c>
      <c r="H2025" t="s">
        <v>397</v>
      </c>
      <c r="I2025" t="s">
        <v>397</v>
      </c>
      <c r="J2025">
        <v>350</v>
      </c>
      <c r="K2025">
        <v>1.43</v>
      </c>
      <c r="L2025">
        <v>0</v>
      </c>
      <c r="M2025">
        <v>0</v>
      </c>
    </row>
    <row r="2026" spans="1:13">
      <c r="A2026" s="28">
        <v>180400</v>
      </c>
      <c r="B2026" t="s">
        <v>2168</v>
      </c>
      <c r="C2026">
        <v>3895</v>
      </c>
      <c r="D2026">
        <v>-110</v>
      </c>
      <c r="E2026">
        <v>-2.75</v>
      </c>
      <c r="F2026" t="s">
        <v>397</v>
      </c>
      <c r="G2026" t="s">
        <v>397</v>
      </c>
      <c r="H2026" t="s">
        <v>397</v>
      </c>
      <c r="I2026" t="s">
        <v>397</v>
      </c>
      <c r="J2026">
        <v>1184</v>
      </c>
      <c r="K2026">
        <v>3.29</v>
      </c>
      <c r="L2026">
        <v>0</v>
      </c>
      <c r="M2026">
        <v>0</v>
      </c>
    </row>
    <row r="2027" spans="1:13">
      <c r="A2027" s="28">
        <v>17860</v>
      </c>
      <c r="B2027" t="s">
        <v>2169</v>
      </c>
      <c r="C2027">
        <v>159400</v>
      </c>
      <c r="D2027">
        <v>-2300</v>
      </c>
      <c r="E2027">
        <v>-1.42</v>
      </c>
      <c r="F2027">
        <v>3641</v>
      </c>
      <c r="G2027">
        <v>43.78</v>
      </c>
      <c r="H2027" t="s">
        <v>397</v>
      </c>
      <c r="I2027" t="s">
        <v>397</v>
      </c>
      <c r="J2027">
        <v>28146</v>
      </c>
      <c r="K2027">
        <v>5.66</v>
      </c>
      <c r="L2027">
        <v>0</v>
      </c>
      <c r="M2027">
        <v>0</v>
      </c>
    </row>
    <row r="2028" spans="1:13">
      <c r="A2028" s="28">
        <v>241520</v>
      </c>
      <c r="B2028" t="s">
        <v>2170</v>
      </c>
      <c r="C2028">
        <v>4185</v>
      </c>
      <c r="D2028">
        <v>-475</v>
      </c>
      <c r="E2028">
        <v>-10.19</v>
      </c>
      <c r="F2028">
        <v>573</v>
      </c>
      <c r="G2028">
        <v>7.3</v>
      </c>
      <c r="H2028" t="s">
        <v>397</v>
      </c>
      <c r="I2028" t="s">
        <v>397</v>
      </c>
      <c r="J2028">
        <v>3364</v>
      </c>
      <c r="K2028">
        <v>1.24</v>
      </c>
      <c r="L2028">
        <v>0</v>
      </c>
      <c r="M2028">
        <v>0</v>
      </c>
    </row>
    <row r="2029" spans="1:13">
      <c r="A2029" s="28">
        <v>25440</v>
      </c>
      <c r="B2029" t="s">
        <v>2171</v>
      </c>
      <c r="C2029">
        <v>1930</v>
      </c>
      <c r="D2029">
        <v>-6</v>
      </c>
      <c r="E2029">
        <v>-0.31</v>
      </c>
      <c r="F2029" t="s">
        <v>397</v>
      </c>
      <c r="G2029" t="s">
        <v>397</v>
      </c>
      <c r="H2029" t="s">
        <v>397</v>
      </c>
      <c r="I2029" t="s">
        <v>397</v>
      </c>
      <c r="J2029">
        <v>2195</v>
      </c>
      <c r="K2029">
        <v>0.88</v>
      </c>
      <c r="L2029">
        <v>0</v>
      </c>
      <c r="M2029">
        <v>0</v>
      </c>
    </row>
    <row r="2030" spans="1:13">
      <c r="A2030" s="28">
        <v>60900</v>
      </c>
      <c r="B2030" t="s">
        <v>2172</v>
      </c>
      <c r="C2030">
        <v>1480</v>
      </c>
      <c r="D2030">
        <v>-77</v>
      </c>
      <c r="E2030">
        <v>-4.95</v>
      </c>
      <c r="F2030" t="s">
        <v>397</v>
      </c>
      <c r="G2030" t="s">
        <v>397</v>
      </c>
      <c r="H2030" t="s">
        <v>397</v>
      </c>
      <c r="I2030" t="s">
        <v>397</v>
      </c>
      <c r="J2030">
        <v>1740</v>
      </c>
      <c r="K2030">
        <v>0.85</v>
      </c>
      <c r="L2030">
        <v>0</v>
      </c>
      <c r="M2030">
        <v>0</v>
      </c>
    </row>
    <row r="2031" spans="1:13">
      <c r="A2031" s="28">
        <v>456440</v>
      </c>
      <c r="B2031" t="s">
        <v>2173</v>
      </c>
      <c r="C2031">
        <v>2270</v>
      </c>
      <c r="D2031">
        <v>10</v>
      </c>
      <c r="E2031">
        <v>0.44</v>
      </c>
      <c r="F2031" t="s">
        <v>397</v>
      </c>
      <c r="G2031" t="s">
        <v>397</v>
      </c>
      <c r="H2031" t="s">
        <v>397</v>
      </c>
      <c r="I2031" t="s">
        <v>397</v>
      </c>
      <c r="J2031" t="s">
        <v>397</v>
      </c>
      <c r="K2031" t="s">
        <v>397</v>
      </c>
      <c r="L2031">
        <v>0</v>
      </c>
      <c r="M2031">
        <v>0</v>
      </c>
    </row>
    <row r="2032" spans="1:13">
      <c r="A2032" s="28">
        <v>12030</v>
      </c>
      <c r="B2032" t="s">
        <v>2174</v>
      </c>
      <c r="C2032">
        <v>1626</v>
      </c>
      <c r="D2032">
        <v>48</v>
      </c>
      <c r="E2032">
        <v>3.04</v>
      </c>
      <c r="F2032">
        <v>30</v>
      </c>
      <c r="G2032">
        <v>54.2</v>
      </c>
      <c r="H2032" t="s">
        <v>397</v>
      </c>
      <c r="I2032" t="s">
        <v>397</v>
      </c>
      <c r="J2032">
        <v>1492</v>
      </c>
      <c r="K2032">
        <v>1.0900000000000001</v>
      </c>
      <c r="L2032">
        <v>0</v>
      </c>
      <c r="M2032">
        <v>0</v>
      </c>
    </row>
    <row r="2033" spans="1:13">
      <c r="A2033" s="28">
        <v>65770</v>
      </c>
      <c r="B2033" t="s">
        <v>2175</v>
      </c>
      <c r="C2033">
        <v>1237</v>
      </c>
      <c r="D2033">
        <v>-13</v>
      </c>
      <c r="E2033">
        <v>-1.04</v>
      </c>
      <c r="F2033" t="s">
        <v>397</v>
      </c>
      <c r="G2033" t="s">
        <v>397</v>
      </c>
      <c r="H2033" t="s">
        <v>397</v>
      </c>
      <c r="I2033" t="s">
        <v>397</v>
      </c>
      <c r="J2033">
        <v>936</v>
      </c>
      <c r="K2033">
        <v>1.32</v>
      </c>
      <c r="L2033">
        <v>0</v>
      </c>
      <c r="M2033">
        <v>0</v>
      </c>
    </row>
    <row r="2034" spans="1:13">
      <c r="A2034" s="28">
        <v>464680</v>
      </c>
      <c r="B2034" t="s">
        <v>2176</v>
      </c>
      <c r="C2034">
        <v>1999</v>
      </c>
      <c r="D2034">
        <v>2</v>
      </c>
      <c r="E2034">
        <v>0.1</v>
      </c>
      <c r="F2034" t="s">
        <v>397</v>
      </c>
      <c r="G2034" t="s">
        <v>397</v>
      </c>
      <c r="H2034" t="s">
        <v>397</v>
      </c>
      <c r="I2034" t="s">
        <v>397</v>
      </c>
      <c r="J2034" t="s">
        <v>397</v>
      </c>
      <c r="K2034" t="s">
        <v>397</v>
      </c>
      <c r="L2034">
        <v>0</v>
      </c>
      <c r="M2034">
        <v>0</v>
      </c>
    </row>
    <row r="2035" spans="1:13">
      <c r="A2035" s="28">
        <v>56730</v>
      </c>
      <c r="B2035" t="s">
        <v>2177</v>
      </c>
      <c r="C2035">
        <v>1178</v>
      </c>
      <c r="D2035">
        <v>-12</v>
      </c>
      <c r="E2035">
        <v>-1.01</v>
      </c>
      <c r="F2035">
        <v>39</v>
      </c>
      <c r="G2035">
        <v>30.21</v>
      </c>
      <c r="H2035" t="s">
        <v>397</v>
      </c>
      <c r="I2035" t="s">
        <v>397</v>
      </c>
      <c r="J2035">
        <v>569</v>
      </c>
      <c r="K2035">
        <v>2.0699999999999998</v>
      </c>
      <c r="L2035">
        <v>0</v>
      </c>
      <c r="M2035">
        <v>0</v>
      </c>
    </row>
    <row r="2036" spans="1:13">
      <c r="A2036" s="28">
        <v>58820</v>
      </c>
      <c r="B2036" t="s">
        <v>2178</v>
      </c>
      <c r="C2036">
        <v>2170</v>
      </c>
      <c r="D2036">
        <v>-25</v>
      </c>
      <c r="E2036">
        <v>-1.1399999999999999</v>
      </c>
      <c r="F2036" t="s">
        <v>397</v>
      </c>
      <c r="G2036" t="s">
        <v>397</v>
      </c>
      <c r="H2036" t="s">
        <v>397</v>
      </c>
      <c r="I2036" t="s">
        <v>397</v>
      </c>
      <c r="J2036">
        <v>1332</v>
      </c>
      <c r="K2036">
        <v>1.63</v>
      </c>
      <c r="L2036">
        <v>0</v>
      </c>
      <c r="M2036">
        <v>0</v>
      </c>
    </row>
    <row r="2037" spans="1:13">
      <c r="A2037" s="28">
        <v>11155</v>
      </c>
      <c r="B2037" t="s">
        <v>2179</v>
      </c>
      <c r="C2037">
        <v>19950</v>
      </c>
      <c r="D2037">
        <v>80</v>
      </c>
      <c r="E2037">
        <v>0.4</v>
      </c>
      <c r="F2037" t="s">
        <v>397</v>
      </c>
      <c r="G2037" t="s">
        <v>397</v>
      </c>
      <c r="H2037" t="s">
        <v>397</v>
      </c>
      <c r="I2037" t="s">
        <v>397</v>
      </c>
      <c r="J2037" t="s">
        <v>397</v>
      </c>
      <c r="K2037" t="s">
        <v>397</v>
      </c>
      <c r="L2037">
        <v>0</v>
      </c>
      <c r="M2037">
        <v>0</v>
      </c>
    </row>
    <row r="2038" spans="1:13">
      <c r="A2038" s="28">
        <v>11150</v>
      </c>
      <c r="B2038" t="s">
        <v>2180</v>
      </c>
      <c r="C2038">
        <v>2695</v>
      </c>
      <c r="D2038">
        <v>-5</v>
      </c>
      <c r="E2038">
        <v>-0.19</v>
      </c>
      <c r="F2038">
        <v>205</v>
      </c>
      <c r="G2038">
        <v>13.15</v>
      </c>
      <c r="H2038" t="s">
        <v>397</v>
      </c>
      <c r="I2038" t="s">
        <v>397</v>
      </c>
      <c r="J2038">
        <v>2107</v>
      </c>
      <c r="K2038">
        <v>1.28</v>
      </c>
      <c r="L2038">
        <v>0</v>
      </c>
      <c r="M2038">
        <v>0</v>
      </c>
    </row>
    <row r="2039" spans="1:13">
      <c r="A2039" s="28">
        <v>311690</v>
      </c>
      <c r="B2039" t="s">
        <v>2181</v>
      </c>
      <c r="C2039">
        <v>14650</v>
      </c>
      <c r="D2039">
        <v>90</v>
      </c>
      <c r="E2039">
        <v>0.62</v>
      </c>
      <c r="F2039" t="s">
        <v>397</v>
      </c>
      <c r="G2039" t="s">
        <v>397</v>
      </c>
      <c r="H2039" t="s">
        <v>397</v>
      </c>
      <c r="I2039" t="s">
        <v>397</v>
      </c>
      <c r="J2039">
        <v>7423</v>
      </c>
      <c r="K2039">
        <v>1.97</v>
      </c>
      <c r="L2039">
        <v>0</v>
      </c>
      <c r="M2039">
        <v>0</v>
      </c>
    </row>
    <row r="2040" spans="1:13">
      <c r="A2040" s="28">
        <v>35760</v>
      </c>
      <c r="B2040" t="s">
        <v>2182</v>
      </c>
      <c r="C2040">
        <v>76300</v>
      </c>
      <c r="D2040">
        <v>-100</v>
      </c>
      <c r="E2040">
        <v>-0.13</v>
      </c>
      <c r="F2040" t="s">
        <v>397</v>
      </c>
      <c r="G2040" t="s">
        <v>397</v>
      </c>
      <c r="H2040">
        <v>1570</v>
      </c>
      <c r="I2040">
        <v>48.61</v>
      </c>
      <c r="J2040">
        <v>171357</v>
      </c>
      <c r="K2040">
        <v>0.45</v>
      </c>
      <c r="L2040">
        <v>0</v>
      </c>
      <c r="M2040">
        <v>0</v>
      </c>
    </row>
    <row r="2041" spans="1:13">
      <c r="A2041" s="28">
        <v>79160</v>
      </c>
      <c r="B2041" t="s">
        <v>2183</v>
      </c>
      <c r="C2041">
        <v>5670</v>
      </c>
      <c r="D2041">
        <v>-60</v>
      </c>
      <c r="E2041">
        <v>-1.05</v>
      </c>
      <c r="F2041" t="s">
        <v>397</v>
      </c>
      <c r="G2041" t="s">
        <v>397</v>
      </c>
      <c r="H2041">
        <v>135</v>
      </c>
      <c r="I2041">
        <v>42.04</v>
      </c>
      <c r="J2041">
        <v>5510</v>
      </c>
      <c r="K2041">
        <v>1.03</v>
      </c>
      <c r="L2041">
        <v>0</v>
      </c>
      <c r="M2041">
        <v>0</v>
      </c>
    </row>
    <row r="2042" spans="1:13">
      <c r="A2042" s="28">
        <v>83790</v>
      </c>
      <c r="B2042" t="s">
        <v>2184</v>
      </c>
      <c r="C2042">
        <v>3380</v>
      </c>
      <c r="D2042">
        <v>280</v>
      </c>
      <c r="E2042">
        <v>9.0299999999999994</v>
      </c>
      <c r="F2042" t="s">
        <v>397</v>
      </c>
      <c r="G2042" t="s">
        <v>397</v>
      </c>
      <c r="H2042" t="s">
        <v>397</v>
      </c>
      <c r="I2042" t="s">
        <v>397</v>
      </c>
      <c r="J2042">
        <v>2732</v>
      </c>
      <c r="K2042">
        <v>1.24</v>
      </c>
      <c r="L2042">
        <v>0</v>
      </c>
      <c r="M2042">
        <v>0</v>
      </c>
    </row>
    <row r="2043" spans="1:13">
      <c r="A2043" s="28">
        <v>13720</v>
      </c>
      <c r="B2043" t="s">
        <v>2185</v>
      </c>
      <c r="C2043">
        <v>1738</v>
      </c>
      <c r="D2043">
        <v>-108</v>
      </c>
      <c r="E2043">
        <v>-5.85</v>
      </c>
      <c r="F2043" t="s">
        <v>397</v>
      </c>
      <c r="G2043" t="s">
        <v>397</v>
      </c>
      <c r="H2043" t="s">
        <v>397</v>
      </c>
      <c r="I2043" t="s">
        <v>397</v>
      </c>
      <c r="J2043">
        <v>1580</v>
      </c>
      <c r="K2043">
        <v>1.1000000000000001</v>
      </c>
      <c r="L2043">
        <v>0</v>
      </c>
      <c r="M2043">
        <v>0</v>
      </c>
    </row>
    <row r="2044" spans="1:13">
      <c r="A2044" s="28">
        <v>139050</v>
      </c>
      <c r="B2044" t="s">
        <v>2186</v>
      </c>
      <c r="C2044">
        <v>7730</v>
      </c>
      <c r="D2044">
        <v>510</v>
      </c>
      <c r="E2044">
        <v>7.06</v>
      </c>
      <c r="F2044" t="s">
        <v>397</v>
      </c>
      <c r="G2044" t="s">
        <v>397</v>
      </c>
      <c r="H2044" t="s">
        <v>397</v>
      </c>
      <c r="I2044" t="s">
        <v>397</v>
      </c>
      <c r="J2044">
        <v>5010</v>
      </c>
      <c r="K2044">
        <v>1.54</v>
      </c>
      <c r="L2044">
        <v>0</v>
      </c>
      <c r="M2044">
        <v>0</v>
      </c>
    </row>
    <row r="2045" spans="1:13">
      <c r="A2045" s="28">
        <v>54620</v>
      </c>
      <c r="B2045" t="s">
        <v>2187</v>
      </c>
      <c r="C2045">
        <v>7310</v>
      </c>
      <c r="D2045">
        <v>230</v>
      </c>
      <c r="E2045">
        <v>3.25</v>
      </c>
      <c r="F2045">
        <v>505</v>
      </c>
      <c r="G2045">
        <v>14.48</v>
      </c>
      <c r="H2045" t="s">
        <v>397</v>
      </c>
      <c r="I2045" t="s">
        <v>397</v>
      </c>
      <c r="J2045">
        <v>10864</v>
      </c>
      <c r="K2045">
        <v>0.67</v>
      </c>
      <c r="L2045">
        <v>0</v>
      </c>
      <c r="M2045">
        <v>0</v>
      </c>
    </row>
    <row r="2046" spans="1:13">
      <c r="A2046" s="28">
        <v>130500</v>
      </c>
      <c r="B2046" t="s">
        <v>2188</v>
      </c>
      <c r="C2046">
        <v>2735</v>
      </c>
      <c r="D2046">
        <v>-15</v>
      </c>
      <c r="E2046">
        <v>-0.55000000000000004</v>
      </c>
      <c r="F2046">
        <v>337</v>
      </c>
      <c r="G2046">
        <v>8.1199999999999992</v>
      </c>
      <c r="H2046" t="s">
        <v>397</v>
      </c>
      <c r="I2046" t="s">
        <v>397</v>
      </c>
      <c r="J2046">
        <v>5072</v>
      </c>
      <c r="K2046">
        <v>0.54</v>
      </c>
      <c r="L2046">
        <v>0</v>
      </c>
      <c r="M2046">
        <v>0</v>
      </c>
    </row>
    <row r="2047" spans="1:13">
      <c r="A2047" s="28">
        <v>114090</v>
      </c>
      <c r="B2047" t="s">
        <v>2189</v>
      </c>
      <c r="C2047">
        <v>12240</v>
      </c>
      <c r="D2047">
        <v>-40</v>
      </c>
      <c r="E2047">
        <v>-0.33</v>
      </c>
      <c r="F2047" t="s">
        <v>397</v>
      </c>
      <c r="G2047" t="s">
        <v>397</v>
      </c>
      <c r="H2047">
        <v>1131</v>
      </c>
      <c r="I2047">
        <v>10.83</v>
      </c>
      <c r="J2047">
        <v>6183</v>
      </c>
      <c r="K2047">
        <v>1.98</v>
      </c>
      <c r="L2047">
        <v>0</v>
      </c>
      <c r="M2047">
        <v>0</v>
      </c>
    </row>
    <row r="2048" spans="1:13">
      <c r="A2048" s="28">
        <v>1250</v>
      </c>
      <c r="B2048" t="s">
        <v>2190</v>
      </c>
      <c r="C2048">
        <v>2810</v>
      </c>
      <c r="D2048">
        <v>70</v>
      </c>
      <c r="E2048">
        <v>2.5499999999999998</v>
      </c>
      <c r="F2048">
        <v>851</v>
      </c>
      <c r="G2048">
        <v>3.3</v>
      </c>
      <c r="H2048" t="s">
        <v>397</v>
      </c>
      <c r="I2048" t="s">
        <v>397</v>
      </c>
      <c r="J2048">
        <v>4813</v>
      </c>
      <c r="K2048">
        <v>0.57999999999999996</v>
      </c>
      <c r="L2048">
        <v>0</v>
      </c>
      <c r="M2048">
        <v>0</v>
      </c>
    </row>
    <row r="2049" spans="1:13">
      <c r="A2049" s="28">
        <v>440290</v>
      </c>
      <c r="B2049" t="s">
        <v>2191</v>
      </c>
      <c r="C2049">
        <v>3215</v>
      </c>
      <c r="D2049">
        <v>-30</v>
      </c>
      <c r="E2049">
        <v>-0.92</v>
      </c>
      <c r="F2049">
        <v>374</v>
      </c>
      <c r="G2049">
        <v>8.6</v>
      </c>
      <c r="H2049" t="s">
        <v>397</v>
      </c>
      <c r="I2049" t="s">
        <v>397</v>
      </c>
      <c r="J2049">
        <v>2444</v>
      </c>
      <c r="K2049">
        <v>1.32</v>
      </c>
      <c r="L2049">
        <v>0</v>
      </c>
      <c r="M2049">
        <v>0</v>
      </c>
    </row>
    <row r="2050" spans="1:13">
      <c r="A2050" s="28">
        <v>458320</v>
      </c>
      <c r="B2050" t="s">
        <v>2192</v>
      </c>
      <c r="C2050">
        <v>2300</v>
      </c>
      <c r="D2050">
        <v>-80</v>
      </c>
      <c r="E2050">
        <v>-3.36</v>
      </c>
      <c r="F2050" t="s">
        <v>397</v>
      </c>
      <c r="G2050" t="s">
        <v>397</v>
      </c>
      <c r="H2050" t="s">
        <v>397</v>
      </c>
      <c r="I2050" t="s">
        <v>397</v>
      </c>
      <c r="J2050" t="s">
        <v>397</v>
      </c>
      <c r="K2050" t="s">
        <v>397</v>
      </c>
      <c r="L2050">
        <v>0</v>
      </c>
      <c r="M2050">
        <v>0</v>
      </c>
    </row>
    <row r="2051" spans="1:13">
      <c r="A2051" s="28">
        <v>455250</v>
      </c>
      <c r="B2051" t="s">
        <v>2193</v>
      </c>
      <c r="C2051">
        <v>2200</v>
      </c>
      <c r="D2051">
        <v>5</v>
      </c>
      <c r="E2051">
        <v>0.23</v>
      </c>
      <c r="F2051" t="s">
        <v>397</v>
      </c>
      <c r="G2051" t="s">
        <v>397</v>
      </c>
      <c r="H2051" t="s">
        <v>397</v>
      </c>
      <c r="I2051" t="s">
        <v>397</v>
      </c>
      <c r="J2051" t="s">
        <v>397</v>
      </c>
      <c r="K2051" t="s">
        <v>397</v>
      </c>
      <c r="L2051">
        <v>0</v>
      </c>
      <c r="M2051">
        <v>0</v>
      </c>
    </row>
    <row r="2052" spans="1:13">
      <c r="A2052" s="28">
        <v>24840</v>
      </c>
      <c r="B2052" t="s">
        <v>2194</v>
      </c>
      <c r="C2052">
        <v>1398</v>
      </c>
      <c r="D2052">
        <v>18</v>
      </c>
      <c r="E2052">
        <v>1.3</v>
      </c>
      <c r="F2052">
        <v>51</v>
      </c>
      <c r="G2052">
        <v>27.41</v>
      </c>
      <c r="H2052" t="s">
        <v>397</v>
      </c>
      <c r="I2052" t="s">
        <v>397</v>
      </c>
      <c r="J2052">
        <v>3072</v>
      </c>
      <c r="K2052">
        <v>0.46</v>
      </c>
      <c r="L2052">
        <v>0</v>
      </c>
      <c r="M2052">
        <v>0</v>
      </c>
    </row>
    <row r="2053" spans="1:13">
      <c r="A2053" s="28">
        <v>67290</v>
      </c>
      <c r="B2053" t="s">
        <v>2195</v>
      </c>
      <c r="C2053">
        <v>2010</v>
      </c>
      <c r="D2053">
        <v>0</v>
      </c>
      <c r="E2053">
        <v>0</v>
      </c>
      <c r="F2053">
        <v>28</v>
      </c>
      <c r="G2053">
        <v>71.790000000000006</v>
      </c>
      <c r="H2053" t="s">
        <v>397</v>
      </c>
      <c r="I2053" t="s">
        <v>397</v>
      </c>
      <c r="J2053">
        <v>1105</v>
      </c>
      <c r="K2053">
        <v>1.82</v>
      </c>
      <c r="L2053">
        <v>0</v>
      </c>
      <c r="M2053">
        <v>0</v>
      </c>
    </row>
    <row r="2054" spans="1:13">
      <c r="A2054" s="28">
        <v>99520</v>
      </c>
      <c r="B2054" t="s">
        <v>2196</v>
      </c>
      <c r="C2054">
        <v>1284</v>
      </c>
      <c r="D2054">
        <v>0</v>
      </c>
      <c r="E2054">
        <v>0</v>
      </c>
      <c r="F2054">
        <v>46</v>
      </c>
      <c r="G2054">
        <v>27.91</v>
      </c>
      <c r="H2054" t="s">
        <v>397</v>
      </c>
      <c r="I2054" t="s">
        <v>397</v>
      </c>
      <c r="J2054">
        <v>413</v>
      </c>
      <c r="K2054">
        <v>3.11</v>
      </c>
      <c r="L2054">
        <v>0</v>
      </c>
      <c r="M2054">
        <v>0</v>
      </c>
    </row>
    <row r="2055" spans="1:13">
      <c r="A2055" s="28">
        <v>3560</v>
      </c>
      <c r="B2055" t="s">
        <v>2197</v>
      </c>
      <c r="C2055">
        <v>10760</v>
      </c>
      <c r="D2055">
        <v>0</v>
      </c>
      <c r="E2055">
        <v>0</v>
      </c>
      <c r="F2055" t="s">
        <v>397</v>
      </c>
      <c r="G2055" t="s">
        <v>397</v>
      </c>
      <c r="H2055" t="s">
        <v>397</v>
      </c>
      <c r="I2055" t="s">
        <v>397</v>
      </c>
      <c r="J2055">
        <v>13641</v>
      </c>
      <c r="K2055">
        <v>0.79</v>
      </c>
      <c r="L2055">
        <v>0</v>
      </c>
      <c r="M2055">
        <v>0</v>
      </c>
    </row>
    <row r="2056" spans="1:13">
      <c r="A2056" s="28">
        <v>469480</v>
      </c>
      <c r="B2056" t="s">
        <v>2198</v>
      </c>
      <c r="C2056">
        <v>2185</v>
      </c>
      <c r="D2056">
        <v>10</v>
      </c>
      <c r="E2056">
        <v>0.46</v>
      </c>
      <c r="F2056" t="s">
        <v>397</v>
      </c>
      <c r="G2056" t="s">
        <v>397</v>
      </c>
      <c r="H2056" t="s">
        <v>397</v>
      </c>
      <c r="I2056" t="s">
        <v>397</v>
      </c>
      <c r="J2056" t="s">
        <v>397</v>
      </c>
      <c r="K2056" t="s">
        <v>397</v>
      </c>
      <c r="L2056">
        <v>0</v>
      </c>
      <c r="M2056">
        <v>0</v>
      </c>
    </row>
    <row r="2057" spans="1:13">
      <c r="A2057" s="28">
        <v>467930</v>
      </c>
      <c r="B2057" t="s">
        <v>2199</v>
      </c>
      <c r="C2057">
        <v>2210</v>
      </c>
      <c r="D2057">
        <v>20</v>
      </c>
      <c r="E2057">
        <v>0.91</v>
      </c>
      <c r="F2057" t="s">
        <v>397</v>
      </c>
      <c r="G2057" t="s">
        <v>397</v>
      </c>
      <c r="H2057" t="s">
        <v>397</v>
      </c>
      <c r="I2057" t="s">
        <v>397</v>
      </c>
      <c r="J2057" t="s">
        <v>397</v>
      </c>
      <c r="K2057" t="s">
        <v>397</v>
      </c>
      <c r="L2057">
        <v>0</v>
      </c>
      <c r="M2057">
        <v>0</v>
      </c>
    </row>
    <row r="2058" spans="1:13">
      <c r="A2058" s="28">
        <v>448760</v>
      </c>
      <c r="B2058" t="s">
        <v>2200</v>
      </c>
      <c r="C2058">
        <v>2435</v>
      </c>
      <c r="D2058">
        <v>5</v>
      </c>
      <c r="E2058">
        <v>0.21</v>
      </c>
      <c r="F2058" t="s">
        <v>397</v>
      </c>
      <c r="G2058" t="s">
        <v>397</v>
      </c>
      <c r="H2058" t="s">
        <v>397</v>
      </c>
      <c r="I2058" t="s">
        <v>397</v>
      </c>
      <c r="J2058" t="s">
        <v>397</v>
      </c>
      <c r="K2058" t="s">
        <v>397</v>
      </c>
      <c r="L2058">
        <v>0</v>
      </c>
      <c r="M2058">
        <v>0</v>
      </c>
    </row>
    <row r="2059" spans="1:13">
      <c r="A2059" s="28">
        <v>442770</v>
      </c>
      <c r="B2059" t="s">
        <v>2201</v>
      </c>
      <c r="C2059">
        <v>2455</v>
      </c>
      <c r="D2059">
        <v>5</v>
      </c>
      <c r="E2059">
        <v>0.2</v>
      </c>
      <c r="F2059" t="s">
        <v>397</v>
      </c>
      <c r="G2059" t="s">
        <v>397</v>
      </c>
      <c r="H2059" t="s">
        <v>397</v>
      </c>
      <c r="I2059" t="s">
        <v>397</v>
      </c>
      <c r="J2059" t="s">
        <v>397</v>
      </c>
      <c r="K2059" t="s">
        <v>397</v>
      </c>
      <c r="L2059">
        <v>0</v>
      </c>
      <c r="M2059">
        <v>0</v>
      </c>
    </row>
    <row r="2060" spans="1:13">
      <c r="A2060" s="28">
        <v>439730</v>
      </c>
      <c r="B2060" t="s">
        <v>2202</v>
      </c>
      <c r="C2060">
        <v>2595</v>
      </c>
      <c r="D2060">
        <v>-5</v>
      </c>
      <c r="E2060">
        <v>-0.19</v>
      </c>
      <c r="F2060" t="s">
        <v>397</v>
      </c>
      <c r="G2060" t="s">
        <v>397</v>
      </c>
      <c r="H2060" t="s">
        <v>397</v>
      </c>
      <c r="I2060" t="s">
        <v>397</v>
      </c>
      <c r="J2060" t="s">
        <v>397</v>
      </c>
      <c r="K2060" t="s">
        <v>397</v>
      </c>
      <c r="L2060">
        <v>0</v>
      </c>
      <c r="M2060">
        <v>0</v>
      </c>
    </row>
    <row r="2061" spans="1:13">
      <c r="A2061" s="28">
        <v>46210</v>
      </c>
      <c r="B2061" t="s">
        <v>2203</v>
      </c>
      <c r="C2061">
        <v>4615</v>
      </c>
      <c r="D2061">
        <v>-15</v>
      </c>
      <c r="E2061">
        <v>-0.32</v>
      </c>
      <c r="F2061">
        <v>70</v>
      </c>
      <c r="G2061">
        <v>65.930000000000007</v>
      </c>
      <c r="H2061" t="s">
        <v>397</v>
      </c>
      <c r="I2061" t="s">
        <v>397</v>
      </c>
      <c r="J2061">
        <v>986</v>
      </c>
      <c r="K2061">
        <v>4.68</v>
      </c>
      <c r="L2061">
        <v>0</v>
      </c>
      <c r="M2061">
        <v>0</v>
      </c>
    </row>
    <row r="2062" spans="1:13">
      <c r="A2062" s="28">
        <v>115450</v>
      </c>
      <c r="B2062" t="s">
        <v>2204</v>
      </c>
      <c r="C2062">
        <v>10130</v>
      </c>
      <c r="D2062">
        <v>180</v>
      </c>
      <c r="E2062">
        <v>1.81</v>
      </c>
      <c r="F2062" t="s">
        <v>397</v>
      </c>
      <c r="G2062" t="s">
        <v>397</v>
      </c>
      <c r="H2062" t="s">
        <v>397</v>
      </c>
      <c r="I2062" t="s">
        <v>397</v>
      </c>
      <c r="J2062">
        <v>1733</v>
      </c>
      <c r="K2062">
        <v>5.85</v>
      </c>
      <c r="L2062">
        <v>0</v>
      </c>
      <c r="M2062">
        <v>0</v>
      </c>
    </row>
    <row r="2063" spans="1:13">
      <c r="A2063" s="28">
        <v>47920</v>
      </c>
      <c r="B2063" t="s">
        <v>2205</v>
      </c>
      <c r="C2063">
        <v>31750</v>
      </c>
      <c r="D2063">
        <v>2200</v>
      </c>
      <c r="E2063">
        <v>7.45</v>
      </c>
      <c r="F2063" t="s">
        <v>397</v>
      </c>
      <c r="G2063" t="s">
        <v>397</v>
      </c>
      <c r="H2063" t="s">
        <v>397</v>
      </c>
      <c r="I2063" t="s">
        <v>397</v>
      </c>
      <c r="J2063">
        <v>3083</v>
      </c>
      <c r="K2063">
        <v>10.3</v>
      </c>
      <c r="L2063">
        <v>0</v>
      </c>
      <c r="M2063">
        <v>0</v>
      </c>
    </row>
    <row r="2064" spans="1:13">
      <c r="A2064" s="28">
        <v>24850</v>
      </c>
      <c r="B2064" t="s">
        <v>2206</v>
      </c>
      <c r="C2064">
        <v>4185</v>
      </c>
      <c r="D2064">
        <v>260</v>
      </c>
      <c r="E2064">
        <v>6.62</v>
      </c>
      <c r="F2064">
        <v>333</v>
      </c>
      <c r="G2064">
        <v>12.57</v>
      </c>
      <c r="H2064" t="s">
        <v>397</v>
      </c>
      <c r="I2064" t="s">
        <v>397</v>
      </c>
      <c r="J2064">
        <v>864</v>
      </c>
      <c r="K2064">
        <v>4.84</v>
      </c>
      <c r="L2064">
        <v>0</v>
      </c>
      <c r="M2064">
        <v>0</v>
      </c>
    </row>
    <row r="2065" spans="1:13">
      <c r="A2065" s="28">
        <v>67630</v>
      </c>
      <c r="B2065" t="s">
        <v>2207</v>
      </c>
      <c r="C2065">
        <v>19290</v>
      </c>
      <c r="D2065">
        <v>0</v>
      </c>
      <c r="E2065">
        <v>0</v>
      </c>
      <c r="F2065" t="s">
        <v>397</v>
      </c>
      <c r="G2065" t="s">
        <v>397</v>
      </c>
      <c r="H2065" t="s">
        <v>397</v>
      </c>
      <c r="I2065" t="s">
        <v>397</v>
      </c>
      <c r="J2065">
        <v>2314</v>
      </c>
      <c r="K2065">
        <v>8.34</v>
      </c>
      <c r="L2065">
        <v>0</v>
      </c>
      <c r="M2065">
        <v>0</v>
      </c>
    </row>
    <row r="2066" spans="1:13">
      <c r="A2066" s="28">
        <v>278650</v>
      </c>
      <c r="B2066" t="s">
        <v>2208</v>
      </c>
      <c r="C2066">
        <v>3885</v>
      </c>
      <c r="D2066">
        <v>-5</v>
      </c>
      <c r="E2066">
        <v>-0.13</v>
      </c>
      <c r="F2066" t="s">
        <v>397</v>
      </c>
      <c r="G2066" t="s">
        <v>397</v>
      </c>
      <c r="H2066" t="s">
        <v>397</v>
      </c>
      <c r="I2066" t="s">
        <v>397</v>
      </c>
      <c r="J2066">
        <v>968</v>
      </c>
      <c r="K2066">
        <v>4.01</v>
      </c>
      <c r="L2066">
        <v>0</v>
      </c>
      <c r="M2066">
        <v>0</v>
      </c>
    </row>
    <row r="2067" spans="1:13">
      <c r="A2067" s="28">
        <v>3580</v>
      </c>
      <c r="B2067" t="s">
        <v>2209</v>
      </c>
      <c r="C2067">
        <v>7040</v>
      </c>
      <c r="D2067">
        <v>170</v>
      </c>
      <c r="E2067">
        <v>2.4700000000000002</v>
      </c>
      <c r="F2067" t="s">
        <v>397</v>
      </c>
      <c r="G2067" t="s">
        <v>397</v>
      </c>
      <c r="H2067" t="s">
        <v>397</v>
      </c>
      <c r="I2067" t="s">
        <v>397</v>
      </c>
      <c r="J2067">
        <v>1507</v>
      </c>
      <c r="K2067">
        <v>4.67</v>
      </c>
      <c r="L2067">
        <v>0</v>
      </c>
      <c r="M2067">
        <v>0</v>
      </c>
    </row>
    <row r="2068" spans="1:13">
      <c r="A2068" s="28">
        <v>28300</v>
      </c>
      <c r="B2068" t="s">
        <v>2210</v>
      </c>
      <c r="C2068">
        <v>102400</v>
      </c>
      <c r="D2068">
        <v>-100</v>
      </c>
      <c r="E2068">
        <v>-0.1</v>
      </c>
      <c r="F2068" t="s">
        <v>397</v>
      </c>
      <c r="G2068" t="s">
        <v>397</v>
      </c>
      <c r="H2068" t="s">
        <v>397</v>
      </c>
      <c r="I2068" t="s">
        <v>397</v>
      </c>
      <c r="J2068">
        <v>5023</v>
      </c>
      <c r="K2068">
        <v>20.39</v>
      </c>
      <c r="L2068">
        <v>0</v>
      </c>
      <c r="M2068">
        <v>0</v>
      </c>
    </row>
    <row r="2069" spans="1:13">
      <c r="A2069" s="28">
        <v>14790</v>
      </c>
      <c r="B2069" t="s">
        <v>2211</v>
      </c>
      <c r="C2069">
        <v>2015</v>
      </c>
      <c r="D2069">
        <v>15</v>
      </c>
      <c r="E2069">
        <v>0.75</v>
      </c>
      <c r="F2069">
        <v>300</v>
      </c>
      <c r="G2069">
        <v>6.72</v>
      </c>
      <c r="H2069">
        <v>963</v>
      </c>
      <c r="I2069">
        <v>2.09</v>
      </c>
      <c r="J2069">
        <v>11284</v>
      </c>
      <c r="K2069">
        <v>0.18</v>
      </c>
      <c r="L2069">
        <v>0</v>
      </c>
      <c r="M2069">
        <v>0</v>
      </c>
    </row>
    <row r="2070" spans="1:13">
      <c r="A2070" s="28">
        <v>97230</v>
      </c>
      <c r="B2070" t="s">
        <v>2212</v>
      </c>
      <c r="C2070">
        <v>3395</v>
      </c>
      <c r="D2070">
        <v>-140</v>
      </c>
      <c r="E2070">
        <v>-3.96</v>
      </c>
      <c r="F2070" t="s">
        <v>397</v>
      </c>
      <c r="G2070" t="s">
        <v>397</v>
      </c>
      <c r="H2070" t="s">
        <v>397</v>
      </c>
      <c r="I2070" t="s">
        <v>397</v>
      </c>
      <c r="J2070">
        <v>4624</v>
      </c>
      <c r="K2070">
        <v>0.73</v>
      </c>
      <c r="L2070">
        <v>0</v>
      </c>
      <c r="M2070">
        <v>0</v>
      </c>
    </row>
    <row r="2071" spans="1:13">
      <c r="A2071" s="28">
        <v>329180</v>
      </c>
      <c r="B2071" t="s">
        <v>2213</v>
      </c>
      <c r="C2071">
        <v>117100</v>
      </c>
      <c r="D2071">
        <v>-2700</v>
      </c>
      <c r="E2071">
        <v>-2.25</v>
      </c>
      <c r="F2071" t="s">
        <v>397</v>
      </c>
      <c r="G2071" t="s">
        <v>397</v>
      </c>
      <c r="H2071">
        <v>5063</v>
      </c>
      <c r="I2071">
        <v>23.13</v>
      </c>
      <c r="J2071">
        <v>59566</v>
      </c>
      <c r="K2071">
        <v>1.97</v>
      </c>
      <c r="L2071">
        <v>0</v>
      </c>
      <c r="M2071">
        <v>0</v>
      </c>
    </row>
    <row r="2072" spans="1:13">
      <c r="A2072" s="28">
        <v>9540</v>
      </c>
      <c r="B2072" t="s">
        <v>2214</v>
      </c>
      <c r="C2072">
        <v>123800</v>
      </c>
      <c r="D2072">
        <v>5300</v>
      </c>
      <c r="E2072">
        <v>4.47</v>
      </c>
      <c r="F2072" t="s">
        <v>397</v>
      </c>
      <c r="G2072" t="s">
        <v>397</v>
      </c>
      <c r="H2072">
        <v>12803</v>
      </c>
      <c r="I2072">
        <v>9.67</v>
      </c>
      <c r="J2072">
        <v>137382</v>
      </c>
      <c r="K2072">
        <v>0.9</v>
      </c>
      <c r="L2072">
        <v>0</v>
      </c>
      <c r="M2072">
        <v>0</v>
      </c>
    </row>
    <row r="2073" spans="1:13">
      <c r="A2073" s="28">
        <v>217730</v>
      </c>
      <c r="B2073" t="s">
        <v>2215</v>
      </c>
      <c r="C2073">
        <v>1844</v>
      </c>
      <c r="D2073">
        <v>-24</v>
      </c>
      <c r="E2073">
        <v>-1.28</v>
      </c>
      <c r="F2073" t="s">
        <v>397</v>
      </c>
      <c r="G2073" t="s">
        <v>397</v>
      </c>
      <c r="H2073" t="s">
        <v>397</v>
      </c>
      <c r="I2073" t="s">
        <v>397</v>
      </c>
      <c r="J2073">
        <v>1185</v>
      </c>
      <c r="K2073">
        <v>1.56</v>
      </c>
      <c r="L2073">
        <v>0</v>
      </c>
      <c r="M2073">
        <v>0</v>
      </c>
    </row>
    <row r="2074" spans="1:13">
      <c r="A2074" s="28">
        <v>11420</v>
      </c>
      <c r="B2074" t="s">
        <v>2216</v>
      </c>
      <c r="C2074">
        <v>2520</v>
      </c>
      <c r="D2074">
        <v>-165</v>
      </c>
      <c r="E2074">
        <v>-6.15</v>
      </c>
      <c r="F2074">
        <v>167</v>
      </c>
      <c r="G2074">
        <v>15.09</v>
      </c>
      <c r="H2074" t="s">
        <v>397</v>
      </c>
      <c r="I2074" t="s">
        <v>397</v>
      </c>
      <c r="J2074">
        <v>1210</v>
      </c>
      <c r="K2074">
        <v>2.08</v>
      </c>
      <c r="L2074">
        <v>0</v>
      </c>
      <c r="M2074">
        <v>0</v>
      </c>
    </row>
    <row r="2075" spans="1:13">
      <c r="A2075" s="28">
        <v>24890</v>
      </c>
      <c r="B2075" t="s">
        <v>2217</v>
      </c>
      <c r="C2075">
        <v>1821</v>
      </c>
      <c r="D2075">
        <v>-6</v>
      </c>
      <c r="E2075">
        <v>-0.33</v>
      </c>
      <c r="F2075" t="s">
        <v>397</v>
      </c>
      <c r="G2075" t="s">
        <v>397</v>
      </c>
      <c r="H2075" t="s">
        <v>397</v>
      </c>
      <c r="I2075" t="s">
        <v>397</v>
      </c>
      <c r="J2075">
        <v>1532</v>
      </c>
      <c r="K2075">
        <v>1.19</v>
      </c>
      <c r="L2075">
        <v>0</v>
      </c>
      <c r="M2075">
        <v>0</v>
      </c>
    </row>
    <row r="2076" spans="1:13">
      <c r="A2076" s="28">
        <v>376930</v>
      </c>
      <c r="B2076" t="s">
        <v>2218</v>
      </c>
      <c r="C2076">
        <v>2965</v>
      </c>
      <c r="D2076">
        <v>-10</v>
      </c>
      <c r="E2076">
        <v>-0.34</v>
      </c>
      <c r="F2076" t="s">
        <v>397</v>
      </c>
      <c r="G2076" t="s">
        <v>397</v>
      </c>
      <c r="H2076" t="s">
        <v>397</v>
      </c>
      <c r="I2076" t="s">
        <v>397</v>
      </c>
      <c r="J2076">
        <v>428</v>
      </c>
      <c r="K2076">
        <v>6.93</v>
      </c>
      <c r="L2076">
        <v>0</v>
      </c>
      <c r="M2076">
        <v>0</v>
      </c>
    </row>
    <row r="2077" spans="1:13">
      <c r="A2077" s="28">
        <v>64260</v>
      </c>
      <c r="B2077" t="s">
        <v>2219</v>
      </c>
      <c r="C2077">
        <v>4095</v>
      </c>
      <c r="D2077">
        <v>-135</v>
      </c>
      <c r="E2077">
        <v>-3.19</v>
      </c>
      <c r="F2077" t="s">
        <v>397</v>
      </c>
      <c r="G2077" t="s">
        <v>397</v>
      </c>
      <c r="H2077" t="s">
        <v>397</v>
      </c>
      <c r="I2077" t="s">
        <v>397</v>
      </c>
      <c r="J2077">
        <v>4804</v>
      </c>
      <c r="K2077">
        <v>0.85</v>
      </c>
      <c r="L2077">
        <v>0</v>
      </c>
      <c r="M2077">
        <v>0</v>
      </c>
    </row>
    <row r="2078" spans="1:13">
      <c r="A2078" s="28">
        <v>85670</v>
      </c>
      <c r="B2078" t="s">
        <v>2220</v>
      </c>
      <c r="C2078">
        <v>7210</v>
      </c>
      <c r="D2078">
        <v>-130</v>
      </c>
      <c r="E2078">
        <v>-1.77</v>
      </c>
      <c r="F2078">
        <v>595</v>
      </c>
      <c r="G2078">
        <v>12.12</v>
      </c>
      <c r="H2078">
        <v>954</v>
      </c>
      <c r="I2078">
        <v>7.56</v>
      </c>
      <c r="J2078">
        <v>2704</v>
      </c>
      <c r="K2078">
        <v>2.67</v>
      </c>
      <c r="L2078">
        <v>0</v>
      </c>
      <c r="M2078">
        <v>0</v>
      </c>
    </row>
    <row r="2079" spans="1:13">
      <c r="A2079" s="28">
        <v>214870</v>
      </c>
      <c r="B2079" t="s">
        <v>2221</v>
      </c>
      <c r="C2079">
        <v>1383</v>
      </c>
      <c r="D2079">
        <v>0</v>
      </c>
      <c r="E2079">
        <v>0</v>
      </c>
      <c r="F2079" t="s">
        <v>397</v>
      </c>
      <c r="G2079" t="s">
        <v>397</v>
      </c>
      <c r="H2079" t="s">
        <v>397</v>
      </c>
      <c r="I2079" t="s">
        <v>397</v>
      </c>
      <c r="J2079" t="s">
        <v>397</v>
      </c>
      <c r="K2079" t="s">
        <v>397</v>
      </c>
      <c r="L2079">
        <v>0</v>
      </c>
      <c r="M2079">
        <v>0</v>
      </c>
    </row>
    <row r="2080" spans="1:13">
      <c r="A2080" s="28">
        <v>12340</v>
      </c>
      <c r="B2080" t="s">
        <v>2222</v>
      </c>
      <c r="C2080">
        <v>819</v>
      </c>
      <c r="D2080">
        <v>-11</v>
      </c>
      <c r="E2080">
        <v>-1.33</v>
      </c>
      <c r="F2080" t="s">
        <v>397</v>
      </c>
      <c r="G2080" t="s">
        <v>397</v>
      </c>
      <c r="H2080" t="s">
        <v>397</v>
      </c>
      <c r="I2080" t="s">
        <v>397</v>
      </c>
      <c r="J2080">
        <v>520</v>
      </c>
      <c r="K2080">
        <v>1.58</v>
      </c>
      <c r="L2080">
        <v>0</v>
      </c>
      <c r="M2080">
        <v>0</v>
      </c>
    </row>
    <row r="2081" spans="1:13">
      <c r="A2081" s="28">
        <v>60260</v>
      </c>
      <c r="B2081" t="s">
        <v>2223</v>
      </c>
      <c r="C2081">
        <v>740</v>
      </c>
      <c r="D2081">
        <v>9</v>
      </c>
      <c r="E2081">
        <v>1.23</v>
      </c>
      <c r="F2081" t="s">
        <v>397</v>
      </c>
      <c r="G2081" t="s">
        <v>397</v>
      </c>
      <c r="H2081" t="s">
        <v>397</v>
      </c>
      <c r="I2081" t="s">
        <v>397</v>
      </c>
      <c r="J2081">
        <v>439</v>
      </c>
      <c r="K2081">
        <v>1.69</v>
      </c>
      <c r="L2081">
        <v>0</v>
      </c>
      <c r="M2081">
        <v>0</v>
      </c>
    </row>
    <row r="2082" spans="1:13">
      <c r="A2082" s="28">
        <v>348340</v>
      </c>
      <c r="B2082" t="s">
        <v>2224</v>
      </c>
      <c r="C2082">
        <v>39450</v>
      </c>
      <c r="D2082">
        <v>50</v>
      </c>
      <c r="E2082">
        <v>0.13</v>
      </c>
      <c r="F2082" t="s">
        <v>397</v>
      </c>
      <c r="G2082" t="s">
        <v>397</v>
      </c>
      <c r="H2082">
        <v>95</v>
      </c>
      <c r="I2082">
        <v>415.47</v>
      </c>
      <c r="J2082">
        <v>3844</v>
      </c>
      <c r="K2082">
        <v>10.26</v>
      </c>
      <c r="L2082">
        <v>0</v>
      </c>
      <c r="M2082">
        <v>0</v>
      </c>
    </row>
    <row r="2083" spans="1:13">
      <c r="A2083" s="28">
        <v>332290</v>
      </c>
      <c r="B2083" t="s">
        <v>2225</v>
      </c>
      <c r="C2083">
        <v>1613</v>
      </c>
      <c r="D2083">
        <v>1</v>
      </c>
      <c r="E2083">
        <v>0.06</v>
      </c>
      <c r="F2083" t="s">
        <v>397</v>
      </c>
      <c r="G2083" t="s">
        <v>397</v>
      </c>
      <c r="H2083" t="s">
        <v>397</v>
      </c>
      <c r="I2083" t="s">
        <v>397</v>
      </c>
      <c r="J2083">
        <v>866</v>
      </c>
      <c r="K2083">
        <v>1.86</v>
      </c>
      <c r="L2083">
        <v>0</v>
      </c>
      <c r="M2083">
        <v>0</v>
      </c>
    </row>
    <row r="2084" spans="1:13">
      <c r="A2084" s="28">
        <v>40160</v>
      </c>
      <c r="B2084" t="s">
        <v>2226</v>
      </c>
      <c r="C2084">
        <v>3745</v>
      </c>
      <c r="D2084">
        <v>5</v>
      </c>
      <c r="E2084">
        <v>0.13</v>
      </c>
      <c r="F2084">
        <v>55</v>
      </c>
      <c r="G2084">
        <v>68.09</v>
      </c>
      <c r="H2084" t="s">
        <v>397</v>
      </c>
      <c r="I2084" t="s">
        <v>397</v>
      </c>
      <c r="J2084">
        <v>7039</v>
      </c>
      <c r="K2084">
        <v>0.53</v>
      </c>
      <c r="L2084">
        <v>0</v>
      </c>
      <c r="M2084">
        <v>0</v>
      </c>
    </row>
    <row r="2085" spans="1:13">
      <c r="A2085" s="28">
        <v>69140</v>
      </c>
      <c r="B2085" t="s">
        <v>2227</v>
      </c>
      <c r="C2085">
        <v>1502</v>
      </c>
      <c r="D2085">
        <v>-48</v>
      </c>
      <c r="E2085">
        <v>-3.1</v>
      </c>
      <c r="F2085" t="s">
        <v>397</v>
      </c>
      <c r="G2085" t="s">
        <v>397</v>
      </c>
      <c r="H2085" t="s">
        <v>397</v>
      </c>
      <c r="I2085" t="s">
        <v>397</v>
      </c>
      <c r="J2085">
        <v>3169</v>
      </c>
      <c r="K2085">
        <v>0.47</v>
      </c>
      <c r="L2085">
        <v>0</v>
      </c>
      <c r="M2085">
        <v>0</v>
      </c>
    </row>
    <row r="2086" spans="1:13">
      <c r="A2086" s="28">
        <v>65560</v>
      </c>
      <c r="B2086" t="s">
        <v>2228</v>
      </c>
      <c r="C2086">
        <v>11540</v>
      </c>
      <c r="D2086">
        <v>0</v>
      </c>
      <c r="E2086">
        <v>0</v>
      </c>
      <c r="F2086" t="s">
        <v>397</v>
      </c>
      <c r="G2086" t="s">
        <v>397</v>
      </c>
      <c r="H2086" t="s">
        <v>397</v>
      </c>
      <c r="I2086" t="s">
        <v>397</v>
      </c>
      <c r="J2086">
        <v>3562</v>
      </c>
      <c r="K2086">
        <v>3.24</v>
      </c>
      <c r="L2086">
        <v>0</v>
      </c>
      <c r="M2086">
        <v>0</v>
      </c>
    </row>
    <row r="2087" spans="1:13">
      <c r="A2087" s="28">
        <v>142280</v>
      </c>
      <c r="B2087" t="s">
        <v>2229</v>
      </c>
      <c r="C2087">
        <v>4155</v>
      </c>
      <c r="D2087">
        <v>-35</v>
      </c>
      <c r="E2087">
        <v>-0.84</v>
      </c>
      <c r="F2087" t="s">
        <v>397</v>
      </c>
      <c r="G2087" t="s">
        <v>397</v>
      </c>
      <c r="H2087" t="s">
        <v>397</v>
      </c>
      <c r="I2087" t="s">
        <v>397</v>
      </c>
      <c r="J2087">
        <v>1577</v>
      </c>
      <c r="K2087">
        <v>2.63</v>
      </c>
      <c r="L2087">
        <v>0</v>
      </c>
      <c r="M2087">
        <v>0</v>
      </c>
    </row>
    <row r="2088" spans="1:13">
      <c r="A2088" s="28">
        <v>106520</v>
      </c>
      <c r="B2088" t="s">
        <v>2230</v>
      </c>
      <c r="C2088">
        <v>411</v>
      </c>
      <c r="D2088">
        <v>0</v>
      </c>
      <c r="E2088">
        <v>0</v>
      </c>
      <c r="F2088" t="s">
        <v>397</v>
      </c>
      <c r="G2088" t="s">
        <v>397</v>
      </c>
      <c r="H2088" t="s">
        <v>397</v>
      </c>
      <c r="I2088" t="s">
        <v>397</v>
      </c>
      <c r="J2088">
        <v>1432</v>
      </c>
      <c r="K2088">
        <v>0.28999999999999998</v>
      </c>
      <c r="L2088">
        <v>0</v>
      </c>
      <c r="M2088">
        <v>0</v>
      </c>
    </row>
    <row r="2089" spans="1:13">
      <c r="A2089" s="28">
        <v>39560</v>
      </c>
      <c r="B2089" t="s">
        <v>2231</v>
      </c>
      <c r="C2089">
        <v>4035</v>
      </c>
      <c r="D2089">
        <v>125</v>
      </c>
      <c r="E2089">
        <v>3.2</v>
      </c>
      <c r="F2089">
        <v>5509</v>
      </c>
      <c r="G2089">
        <v>0.73</v>
      </c>
      <c r="H2089" t="s">
        <v>397</v>
      </c>
      <c r="I2089" t="s">
        <v>397</v>
      </c>
      <c r="J2089">
        <v>10652</v>
      </c>
      <c r="K2089">
        <v>0.38</v>
      </c>
      <c r="L2089">
        <v>0</v>
      </c>
      <c r="M2089">
        <v>0</v>
      </c>
    </row>
    <row r="2090" spans="1:13">
      <c r="A2090" s="28">
        <v>104620</v>
      </c>
      <c r="B2090" t="s">
        <v>2232</v>
      </c>
      <c r="C2090">
        <v>6900</v>
      </c>
      <c r="D2090">
        <v>20</v>
      </c>
      <c r="E2090">
        <v>0.28999999999999998</v>
      </c>
      <c r="F2090" t="s">
        <v>397</v>
      </c>
      <c r="G2090" t="s">
        <v>397</v>
      </c>
      <c r="H2090" t="s">
        <v>397</v>
      </c>
      <c r="I2090" t="s">
        <v>397</v>
      </c>
      <c r="J2090">
        <v>2075</v>
      </c>
      <c r="K2090">
        <v>3.33</v>
      </c>
      <c r="L2090">
        <v>0</v>
      </c>
      <c r="M2090">
        <v>0</v>
      </c>
    </row>
    <row r="2091" spans="1:13">
      <c r="A2091" s="28">
        <v>251270</v>
      </c>
      <c r="B2091" t="s">
        <v>2233</v>
      </c>
      <c r="C2091">
        <v>59100</v>
      </c>
      <c r="D2091">
        <v>-1700</v>
      </c>
      <c r="E2091">
        <v>-2.8</v>
      </c>
      <c r="F2091" t="s">
        <v>397</v>
      </c>
      <c r="G2091" t="s">
        <v>397</v>
      </c>
      <c r="H2091">
        <v>561</v>
      </c>
      <c r="I2091">
        <v>105.38</v>
      </c>
      <c r="J2091">
        <v>66649</v>
      </c>
      <c r="K2091">
        <v>0.89</v>
      </c>
      <c r="L2091">
        <v>0</v>
      </c>
      <c r="M2091">
        <v>0</v>
      </c>
    </row>
    <row r="2092" spans="1:13">
      <c r="A2092" s="28">
        <v>217270</v>
      </c>
      <c r="B2092" t="s">
        <v>2234</v>
      </c>
      <c r="C2092">
        <v>6680</v>
      </c>
      <c r="D2092">
        <v>-20</v>
      </c>
      <c r="E2092">
        <v>-0.3</v>
      </c>
      <c r="F2092" t="s">
        <v>397</v>
      </c>
      <c r="G2092" t="s">
        <v>397</v>
      </c>
      <c r="H2092" t="s">
        <v>397</v>
      </c>
      <c r="I2092" t="s">
        <v>397</v>
      </c>
      <c r="J2092">
        <v>8628</v>
      </c>
      <c r="K2092">
        <v>0.77</v>
      </c>
      <c r="L2092">
        <v>0</v>
      </c>
      <c r="M2092">
        <v>0</v>
      </c>
    </row>
    <row r="2093" spans="1:13">
      <c r="A2093" s="28">
        <v>225570</v>
      </c>
      <c r="B2093" t="s">
        <v>2235</v>
      </c>
      <c r="C2093">
        <v>14000</v>
      </c>
      <c r="D2093">
        <v>0</v>
      </c>
      <c r="E2093">
        <v>0</v>
      </c>
      <c r="F2093">
        <v>110</v>
      </c>
      <c r="G2093">
        <v>127.27</v>
      </c>
      <c r="H2093">
        <v>453</v>
      </c>
      <c r="I2093">
        <v>30.91</v>
      </c>
      <c r="J2093">
        <v>3718</v>
      </c>
      <c r="K2093">
        <v>3.77</v>
      </c>
      <c r="L2093">
        <v>0</v>
      </c>
      <c r="M2093">
        <v>0</v>
      </c>
    </row>
    <row r="2094" spans="1:13">
      <c r="A2094" s="28">
        <v>92790</v>
      </c>
      <c r="B2094" t="s">
        <v>2236</v>
      </c>
      <c r="C2094">
        <v>7310</v>
      </c>
      <c r="D2094">
        <v>40</v>
      </c>
      <c r="E2094">
        <v>0.55000000000000004</v>
      </c>
      <c r="F2094">
        <v>8850</v>
      </c>
      <c r="G2094">
        <v>0.83</v>
      </c>
      <c r="H2094" t="s">
        <v>397</v>
      </c>
      <c r="I2094" t="s">
        <v>397</v>
      </c>
      <c r="J2094">
        <v>259899</v>
      </c>
      <c r="K2094">
        <v>0.03</v>
      </c>
      <c r="L2094">
        <v>0</v>
      </c>
      <c r="M2094">
        <v>0</v>
      </c>
    </row>
    <row r="2095" spans="1:13">
      <c r="A2095" s="28">
        <v>396270</v>
      </c>
      <c r="B2095" t="s">
        <v>2237</v>
      </c>
      <c r="C2095">
        <v>12180</v>
      </c>
      <c r="D2095">
        <v>-500</v>
      </c>
      <c r="E2095">
        <v>-3.94</v>
      </c>
      <c r="F2095" t="s">
        <v>397</v>
      </c>
      <c r="G2095" t="s">
        <v>397</v>
      </c>
      <c r="H2095" t="s">
        <v>397</v>
      </c>
      <c r="I2095" t="s">
        <v>397</v>
      </c>
      <c r="J2095">
        <v>2260</v>
      </c>
      <c r="K2095">
        <v>5.39</v>
      </c>
      <c r="L2095">
        <v>0</v>
      </c>
      <c r="M2095">
        <v>0</v>
      </c>
    </row>
    <row r="2096" spans="1:13">
      <c r="A2096" s="28">
        <v>137940</v>
      </c>
      <c r="B2096" t="s">
        <v>2238</v>
      </c>
      <c r="C2096">
        <v>408</v>
      </c>
      <c r="D2096">
        <v>0</v>
      </c>
      <c r="E2096">
        <v>0</v>
      </c>
      <c r="F2096" t="s">
        <v>397</v>
      </c>
      <c r="G2096" t="s">
        <v>397</v>
      </c>
      <c r="H2096" t="s">
        <v>397</v>
      </c>
      <c r="I2096" t="s">
        <v>397</v>
      </c>
      <c r="J2096">
        <v>1304</v>
      </c>
      <c r="K2096">
        <v>0.31</v>
      </c>
      <c r="L2096">
        <v>0</v>
      </c>
      <c r="M2096">
        <v>0</v>
      </c>
    </row>
    <row r="2097" spans="1:13">
      <c r="A2097" s="28">
        <v>89140</v>
      </c>
      <c r="B2097" t="s">
        <v>2239</v>
      </c>
      <c r="C2097">
        <v>4350</v>
      </c>
      <c r="D2097">
        <v>-165</v>
      </c>
      <c r="E2097">
        <v>-3.65</v>
      </c>
      <c r="F2097" t="s">
        <v>397</v>
      </c>
      <c r="G2097" t="s">
        <v>397</v>
      </c>
      <c r="H2097" t="s">
        <v>397</v>
      </c>
      <c r="I2097" t="s">
        <v>397</v>
      </c>
      <c r="J2097">
        <v>13940</v>
      </c>
      <c r="K2097">
        <v>0.31</v>
      </c>
      <c r="L2097">
        <v>0</v>
      </c>
      <c r="M2097">
        <v>0</v>
      </c>
    </row>
    <row r="2098" spans="1:13">
      <c r="A2098" s="28">
        <v>330860</v>
      </c>
      <c r="B2098" t="s">
        <v>2240</v>
      </c>
      <c r="C2098">
        <v>36150</v>
      </c>
      <c r="D2098">
        <v>-1700</v>
      </c>
      <c r="E2098">
        <v>-4.49</v>
      </c>
      <c r="F2098">
        <v>2109</v>
      </c>
      <c r="G2098">
        <v>17.14</v>
      </c>
      <c r="H2098" t="s">
        <v>397</v>
      </c>
      <c r="I2098" t="s">
        <v>397</v>
      </c>
      <c r="J2098">
        <v>21047</v>
      </c>
      <c r="K2098">
        <v>1.72</v>
      </c>
      <c r="L2098">
        <v>0</v>
      </c>
      <c r="M2098">
        <v>0</v>
      </c>
    </row>
    <row r="2099" spans="1:13">
      <c r="A2099" s="28">
        <v>33640</v>
      </c>
      <c r="B2099" t="s">
        <v>2241</v>
      </c>
      <c r="C2099">
        <v>19070</v>
      </c>
      <c r="D2099">
        <v>-130</v>
      </c>
      <c r="E2099">
        <v>-0.68</v>
      </c>
      <c r="F2099">
        <v>3399</v>
      </c>
      <c r="G2099">
        <v>5.61</v>
      </c>
      <c r="H2099" t="s">
        <v>397</v>
      </c>
      <c r="I2099" t="s">
        <v>397</v>
      </c>
      <c r="J2099">
        <v>10934</v>
      </c>
      <c r="K2099">
        <v>1.74</v>
      </c>
      <c r="L2099">
        <v>0</v>
      </c>
      <c r="M2099">
        <v>0</v>
      </c>
    </row>
    <row r="2100" spans="1:13">
      <c r="A2100" s="28">
        <v>7390</v>
      </c>
      <c r="B2100" t="s">
        <v>2242</v>
      </c>
      <c r="C2100">
        <v>6990</v>
      </c>
      <c r="D2100">
        <v>-80</v>
      </c>
      <c r="E2100">
        <v>-1.1299999999999999</v>
      </c>
      <c r="F2100" t="s">
        <v>397</v>
      </c>
      <c r="G2100" t="s">
        <v>397</v>
      </c>
      <c r="H2100" t="s">
        <v>397</v>
      </c>
      <c r="I2100" t="s">
        <v>397</v>
      </c>
      <c r="J2100">
        <v>913</v>
      </c>
      <c r="K2100">
        <v>7.66</v>
      </c>
      <c r="L2100">
        <v>0</v>
      </c>
      <c r="M2100">
        <v>0</v>
      </c>
    </row>
    <row r="2101" spans="1:13">
      <c r="A2101" s="28">
        <v>340360</v>
      </c>
      <c r="B2101" t="s">
        <v>2243</v>
      </c>
      <c r="C2101">
        <v>2435</v>
      </c>
      <c r="D2101">
        <v>-20</v>
      </c>
      <c r="E2101">
        <v>-0.81</v>
      </c>
      <c r="F2101" t="s">
        <v>397</v>
      </c>
      <c r="G2101" t="s">
        <v>397</v>
      </c>
      <c r="H2101" t="s">
        <v>397</v>
      </c>
      <c r="I2101" t="s">
        <v>397</v>
      </c>
      <c r="J2101">
        <v>468</v>
      </c>
      <c r="K2101">
        <v>5.2</v>
      </c>
      <c r="L2101">
        <v>0</v>
      </c>
      <c r="M2101">
        <v>0</v>
      </c>
    </row>
    <row r="2102" spans="1:13">
      <c r="A2102" s="28">
        <v>154040</v>
      </c>
      <c r="B2102" t="s">
        <v>2244</v>
      </c>
      <c r="C2102">
        <v>1765</v>
      </c>
      <c r="D2102">
        <v>53</v>
      </c>
      <c r="E2102">
        <v>3.1</v>
      </c>
      <c r="F2102">
        <v>290</v>
      </c>
      <c r="G2102">
        <v>6.09</v>
      </c>
      <c r="H2102" t="s">
        <v>397</v>
      </c>
      <c r="I2102" t="s">
        <v>397</v>
      </c>
      <c r="J2102">
        <v>2011</v>
      </c>
      <c r="K2102">
        <v>0.88</v>
      </c>
      <c r="L2102">
        <v>0</v>
      </c>
      <c r="M2102">
        <v>0</v>
      </c>
    </row>
    <row r="2103" spans="1:13">
      <c r="A2103" s="28">
        <v>53950</v>
      </c>
      <c r="B2103" t="s">
        <v>2245</v>
      </c>
      <c r="C2103">
        <v>1206</v>
      </c>
      <c r="D2103">
        <v>0</v>
      </c>
      <c r="E2103">
        <v>0</v>
      </c>
      <c r="F2103" t="s">
        <v>397</v>
      </c>
      <c r="G2103" t="s">
        <v>397</v>
      </c>
      <c r="H2103" t="s">
        <v>397</v>
      </c>
      <c r="I2103" t="s">
        <v>397</v>
      </c>
      <c r="J2103">
        <v>2976</v>
      </c>
      <c r="K2103">
        <v>0.41</v>
      </c>
      <c r="L2103">
        <v>0</v>
      </c>
      <c r="M2103">
        <v>0</v>
      </c>
    </row>
    <row r="2104" spans="1:13">
      <c r="A2104" s="28">
        <v>442310</v>
      </c>
      <c r="B2104" t="s">
        <v>2246</v>
      </c>
      <c r="C2104">
        <v>2245</v>
      </c>
      <c r="D2104">
        <v>0</v>
      </c>
      <c r="E2104">
        <v>0</v>
      </c>
      <c r="F2104" t="s">
        <v>397</v>
      </c>
      <c r="G2104" t="s">
        <v>397</v>
      </c>
      <c r="H2104" t="s">
        <v>397</v>
      </c>
      <c r="I2104" t="s">
        <v>397</v>
      </c>
      <c r="J2104" t="s">
        <v>397</v>
      </c>
      <c r="K2104" t="s">
        <v>397</v>
      </c>
      <c r="L2104">
        <v>0</v>
      </c>
      <c r="M2104">
        <v>0</v>
      </c>
    </row>
    <row r="2105" spans="1:13">
      <c r="A2105" s="28">
        <v>6345</v>
      </c>
      <c r="B2105" t="s">
        <v>2247</v>
      </c>
      <c r="C2105">
        <v>2530</v>
      </c>
      <c r="D2105">
        <v>35</v>
      </c>
      <c r="E2105">
        <v>1.4</v>
      </c>
      <c r="F2105" t="s">
        <v>397</v>
      </c>
      <c r="G2105" t="s">
        <v>397</v>
      </c>
      <c r="H2105" t="s">
        <v>397</v>
      </c>
      <c r="I2105" t="s">
        <v>397</v>
      </c>
      <c r="J2105" t="s">
        <v>397</v>
      </c>
      <c r="K2105" t="s">
        <v>397</v>
      </c>
      <c r="L2105">
        <v>0</v>
      </c>
      <c r="M2105">
        <v>0</v>
      </c>
    </row>
    <row r="2106" spans="1:13">
      <c r="A2106" s="28">
        <v>6340</v>
      </c>
      <c r="B2106" t="s">
        <v>2248</v>
      </c>
      <c r="C2106">
        <v>1377</v>
      </c>
      <c r="D2106">
        <v>19</v>
      </c>
      <c r="E2106">
        <v>1.4</v>
      </c>
      <c r="F2106">
        <v>18</v>
      </c>
      <c r="G2106">
        <v>76.5</v>
      </c>
      <c r="H2106" t="s">
        <v>397</v>
      </c>
      <c r="I2106" t="s">
        <v>397</v>
      </c>
      <c r="J2106">
        <v>1273</v>
      </c>
      <c r="K2106">
        <v>1.08</v>
      </c>
      <c r="L2106">
        <v>0</v>
      </c>
      <c r="M2106">
        <v>0</v>
      </c>
    </row>
    <row r="2107" spans="1:13">
      <c r="A2107" s="28">
        <v>9320</v>
      </c>
      <c r="B2107" t="s">
        <v>2249</v>
      </c>
      <c r="C2107">
        <v>1244</v>
      </c>
      <c r="D2107">
        <v>0</v>
      </c>
      <c r="E2107">
        <v>0</v>
      </c>
      <c r="F2107" t="s">
        <v>397</v>
      </c>
      <c r="G2107" t="s">
        <v>397</v>
      </c>
      <c r="H2107" t="s">
        <v>397</v>
      </c>
      <c r="I2107" t="s">
        <v>397</v>
      </c>
      <c r="J2107">
        <v>539</v>
      </c>
      <c r="K2107">
        <v>2.31</v>
      </c>
      <c r="L2107">
        <v>0</v>
      </c>
      <c r="M2107">
        <v>0</v>
      </c>
    </row>
    <row r="2108" spans="1:13">
      <c r="A2108" s="28">
        <v>47040</v>
      </c>
      <c r="B2108" t="s">
        <v>2250</v>
      </c>
      <c r="C2108">
        <v>3830</v>
      </c>
      <c r="D2108">
        <v>100</v>
      </c>
      <c r="E2108">
        <v>2.68</v>
      </c>
      <c r="F2108">
        <v>1227</v>
      </c>
      <c r="G2108">
        <v>3.12</v>
      </c>
      <c r="H2108">
        <v>1100</v>
      </c>
      <c r="I2108">
        <v>3.48</v>
      </c>
      <c r="J2108">
        <v>9040</v>
      </c>
      <c r="K2108">
        <v>0.42</v>
      </c>
      <c r="L2108">
        <v>0</v>
      </c>
      <c r="M2108">
        <v>0</v>
      </c>
    </row>
    <row r="2109" spans="1:13">
      <c r="A2109" s="28">
        <v>14160</v>
      </c>
      <c r="B2109" t="s">
        <v>2251</v>
      </c>
      <c r="C2109">
        <v>1188</v>
      </c>
      <c r="D2109">
        <v>9</v>
      </c>
      <c r="E2109">
        <v>0.76</v>
      </c>
      <c r="F2109">
        <v>134</v>
      </c>
      <c r="G2109">
        <v>8.8699999999999992</v>
      </c>
      <c r="H2109" t="s">
        <v>397</v>
      </c>
      <c r="I2109" t="s">
        <v>397</v>
      </c>
      <c r="J2109">
        <v>1753</v>
      </c>
      <c r="K2109">
        <v>0.68</v>
      </c>
      <c r="L2109">
        <v>0</v>
      </c>
      <c r="M2109">
        <v>0</v>
      </c>
    </row>
    <row r="2110" spans="1:13">
      <c r="A2110" s="28">
        <v>108380</v>
      </c>
      <c r="B2110" t="s">
        <v>2252</v>
      </c>
      <c r="C2110">
        <v>13040</v>
      </c>
      <c r="D2110">
        <v>-180</v>
      </c>
      <c r="E2110">
        <v>-1.36</v>
      </c>
      <c r="F2110" t="s">
        <v>397</v>
      </c>
      <c r="G2110" t="s">
        <v>397</v>
      </c>
      <c r="H2110" t="s">
        <v>397</v>
      </c>
      <c r="I2110" t="s">
        <v>397</v>
      </c>
      <c r="J2110">
        <v>23432</v>
      </c>
      <c r="K2110">
        <v>0.56000000000000005</v>
      </c>
      <c r="L2110">
        <v>0</v>
      </c>
      <c r="M2110">
        <v>0</v>
      </c>
    </row>
    <row r="2111" spans="1:13">
      <c r="A2111" s="28">
        <v>9190</v>
      </c>
      <c r="B2111" t="s">
        <v>2253</v>
      </c>
      <c r="C2111">
        <v>1915</v>
      </c>
      <c r="D2111">
        <v>0</v>
      </c>
      <c r="E2111">
        <v>0</v>
      </c>
      <c r="F2111">
        <v>252</v>
      </c>
      <c r="G2111">
        <v>7.6</v>
      </c>
      <c r="H2111" t="s">
        <v>397</v>
      </c>
      <c r="I2111" t="s">
        <v>397</v>
      </c>
      <c r="J2111">
        <v>3353</v>
      </c>
      <c r="K2111">
        <v>0.56999999999999995</v>
      </c>
      <c r="L2111">
        <v>0</v>
      </c>
      <c r="M2111">
        <v>0</v>
      </c>
    </row>
    <row r="2112" spans="1:13">
      <c r="A2112" s="28">
        <v>45390</v>
      </c>
      <c r="B2112" t="s">
        <v>2254</v>
      </c>
      <c r="C2112">
        <v>3090</v>
      </c>
      <c r="D2112">
        <v>-70</v>
      </c>
      <c r="E2112">
        <v>-2.2200000000000002</v>
      </c>
      <c r="F2112">
        <v>119</v>
      </c>
      <c r="G2112">
        <v>25.97</v>
      </c>
      <c r="H2112" t="s">
        <v>397</v>
      </c>
      <c r="I2112" t="s">
        <v>397</v>
      </c>
      <c r="J2112">
        <v>1561</v>
      </c>
      <c r="K2112">
        <v>1.98</v>
      </c>
      <c r="L2112">
        <v>0</v>
      </c>
      <c r="M2112">
        <v>0</v>
      </c>
    </row>
    <row r="2113" spans="1:13">
      <c r="A2113" s="28">
        <v>471050</v>
      </c>
      <c r="B2113" t="s">
        <v>2255</v>
      </c>
      <c r="C2113">
        <v>2300</v>
      </c>
      <c r="D2113">
        <v>0</v>
      </c>
      <c r="E2113">
        <v>0</v>
      </c>
      <c r="F2113" t="s">
        <v>397</v>
      </c>
      <c r="G2113" t="s">
        <v>397</v>
      </c>
      <c r="H2113" t="s">
        <v>397</v>
      </c>
      <c r="I2113" t="s">
        <v>397</v>
      </c>
      <c r="J2113" t="s">
        <v>397</v>
      </c>
      <c r="K2113" t="s">
        <v>397</v>
      </c>
      <c r="L2113">
        <v>0</v>
      </c>
      <c r="M2113">
        <v>0</v>
      </c>
    </row>
    <row r="2114" spans="1:13">
      <c r="A2114" s="28">
        <v>457630</v>
      </c>
      <c r="B2114" t="s">
        <v>2256</v>
      </c>
      <c r="C2114">
        <v>2620</v>
      </c>
      <c r="D2114">
        <v>0</v>
      </c>
      <c r="E2114">
        <v>0</v>
      </c>
      <c r="F2114" t="s">
        <v>397</v>
      </c>
      <c r="G2114" t="s">
        <v>397</v>
      </c>
      <c r="H2114" t="s">
        <v>397</v>
      </c>
      <c r="I2114" t="s">
        <v>397</v>
      </c>
      <c r="J2114" t="s">
        <v>397</v>
      </c>
      <c r="K2114" t="s">
        <v>397</v>
      </c>
      <c r="L2114">
        <v>0</v>
      </c>
      <c r="M2114">
        <v>0</v>
      </c>
    </row>
    <row r="2115" spans="1:13">
      <c r="A2115" s="28">
        <v>457390</v>
      </c>
      <c r="B2115" t="s">
        <v>2257</v>
      </c>
      <c r="C2115">
        <v>2190</v>
      </c>
      <c r="D2115">
        <v>-5</v>
      </c>
      <c r="E2115">
        <v>-0.23</v>
      </c>
      <c r="F2115" t="s">
        <v>397</v>
      </c>
      <c r="G2115" t="s">
        <v>397</v>
      </c>
      <c r="H2115" t="s">
        <v>397</v>
      </c>
      <c r="I2115" t="s">
        <v>397</v>
      </c>
      <c r="J2115" t="s">
        <v>397</v>
      </c>
      <c r="K2115" t="s">
        <v>397</v>
      </c>
      <c r="L2115">
        <v>0</v>
      </c>
      <c r="M2115">
        <v>0</v>
      </c>
    </row>
    <row r="2116" spans="1:13">
      <c r="A2116" s="28">
        <v>438220</v>
      </c>
      <c r="B2116" t="s">
        <v>2258</v>
      </c>
      <c r="C2116">
        <v>2275</v>
      </c>
      <c r="D2116">
        <v>0</v>
      </c>
      <c r="E2116">
        <v>0</v>
      </c>
      <c r="F2116" t="s">
        <v>397</v>
      </c>
      <c r="G2116" t="s">
        <v>397</v>
      </c>
      <c r="H2116" t="s">
        <v>397</v>
      </c>
      <c r="I2116" t="s">
        <v>397</v>
      </c>
      <c r="J2116" t="s">
        <v>397</v>
      </c>
      <c r="K2116" t="s">
        <v>397</v>
      </c>
      <c r="L2116">
        <v>0</v>
      </c>
      <c r="M2116">
        <v>0</v>
      </c>
    </row>
    <row r="2117" spans="1:13">
      <c r="A2117" s="28">
        <v>58730</v>
      </c>
      <c r="B2117" t="s">
        <v>2259</v>
      </c>
      <c r="C2117">
        <v>3835</v>
      </c>
      <c r="D2117">
        <v>105</v>
      </c>
      <c r="E2117">
        <v>2.82</v>
      </c>
      <c r="F2117">
        <v>88</v>
      </c>
      <c r="G2117">
        <v>43.58</v>
      </c>
      <c r="H2117" t="s">
        <v>397</v>
      </c>
      <c r="I2117" t="s">
        <v>397</v>
      </c>
      <c r="J2117">
        <v>7408</v>
      </c>
      <c r="K2117">
        <v>0.52</v>
      </c>
      <c r="L2117">
        <v>0</v>
      </c>
      <c r="M2117">
        <v>0</v>
      </c>
    </row>
    <row r="2118" spans="1:13">
      <c r="A2118" s="28">
        <v>129920</v>
      </c>
      <c r="B2118" t="s">
        <v>2260</v>
      </c>
      <c r="C2118">
        <v>5610</v>
      </c>
      <c r="D2118">
        <v>-90</v>
      </c>
      <c r="E2118">
        <v>-1.58</v>
      </c>
      <c r="F2118">
        <v>192</v>
      </c>
      <c r="G2118">
        <v>29.22</v>
      </c>
      <c r="H2118">
        <v>262</v>
      </c>
      <c r="I2118">
        <v>21.37</v>
      </c>
      <c r="J2118">
        <v>4996</v>
      </c>
      <c r="K2118">
        <v>1.1200000000000001</v>
      </c>
      <c r="L2118">
        <v>0</v>
      </c>
      <c r="M2118">
        <v>0</v>
      </c>
    </row>
    <row r="2119" spans="1:13">
      <c r="A2119" s="28">
        <v>104040</v>
      </c>
      <c r="B2119" t="s">
        <v>2261</v>
      </c>
      <c r="C2119">
        <v>1006</v>
      </c>
      <c r="D2119">
        <v>13</v>
      </c>
      <c r="E2119">
        <v>1.31</v>
      </c>
      <c r="F2119" t="s">
        <v>397</v>
      </c>
      <c r="G2119" t="s">
        <v>397</v>
      </c>
      <c r="H2119" t="s">
        <v>397</v>
      </c>
      <c r="I2119" t="s">
        <v>397</v>
      </c>
      <c r="J2119">
        <v>1685</v>
      </c>
      <c r="K2119">
        <v>0.6</v>
      </c>
      <c r="L2119">
        <v>0</v>
      </c>
      <c r="M2119">
        <v>0</v>
      </c>
    </row>
    <row r="2120" spans="1:13">
      <c r="A2120" s="28">
        <v>27830</v>
      </c>
      <c r="B2120" t="s">
        <v>2262</v>
      </c>
      <c r="C2120">
        <v>1986</v>
      </c>
      <c r="D2120">
        <v>-39</v>
      </c>
      <c r="E2120">
        <v>-1.93</v>
      </c>
      <c r="F2120">
        <v>19</v>
      </c>
      <c r="G2120">
        <v>104.53</v>
      </c>
      <c r="H2120" t="s">
        <v>397</v>
      </c>
      <c r="I2120" t="s">
        <v>397</v>
      </c>
      <c r="J2120">
        <v>1388</v>
      </c>
      <c r="K2120">
        <v>1.43</v>
      </c>
      <c r="L2120">
        <v>0</v>
      </c>
      <c r="M2120">
        <v>0</v>
      </c>
    </row>
    <row r="2121" spans="1:13">
      <c r="A2121" s="28">
        <v>128820</v>
      </c>
      <c r="B2121" t="s">
        <v>2263</v>
      </c>
      <c r="C2121">
        <v>3860</v>
      </c>
      <c r="D2121">
        <v>50</v>
      </c>
      <c r="E2121">
        <v>1.31</v>
      </c>
      <c r="F2121" t="s">
        <v>397</v>
      </c>
      <c r="G2121" t="s">
        <v>397</v>
      </c>
      <c r="H2121" t="s">
        <v>397</v>
      </c>
      <c r="I2121" t="s">
        <v>397</v>
      </c>
      <c r="J2121">
        <v>16329</v>
      </c>
      <c r="K2121">
        <v>0.24</v>
      </c>
      <c r="L2121">
        <v>0</v>
      </c>
      <c r="M2121">
        <v>0</v>
      </c>
    </row>
    <row r="2122" spans="1:13">
      <c r="A2122" s="28">
        <v>65150</v>
      </c>
      <c r="B2122" t="s">
        <v>2264</v>
      </c>
      <c r="C2122">
        <v>206</v>
      </c>
      <c r="D2122">
        <v>6</v>
      </c>
      <c r="E2122">
        <v>3</v>
      </c>
      <c r="F2122" t="s">
        <v>397</v>
      </c>
      <c r="G2122" t="s">
        <v>397</v>
      </c>
      <c r="H2122" t="s">
        <v>397</v>
      </c>
      <c r="I2122" t="s">
        <v>397</v>
      </c>
      <c r="J2122">
        <v>262</v>
      </c>
      <c r="K2122">
        <v>0.79</v>
      </c>
      <c r="L2122">
        <v>0</v>
      </c>
      <c r="M2122">
        <v>0</v>
      </c>
    </row>
    <row r="2123" spans="1:13">
      <c r="A2123" s="28">
        <v>290670</v>
      </c>
      <c r="B2123" t="s">
        <v>2265</v>
      </c>
      <c r="C2123">
        <v>30250</v>
      </c>
      <c r="D2123">
        <v>-600</v>
      </c>
      <c r="E2123">
        <v>-1.94</v>
      </c>
      <c r="F2123">
        <v>2941</v>
      </c>
      <c r="G2123">
        <v>10.29</v>
      </c>
      <c r="H2123" t="s">
        <v>397</v>
      </c>
      <c r="I2123" t="s">
        <v>397</v>
      </c>
      <c r="J2123">
        <v>10708</v>
      </c>
      <c r="K2123">
        <v>2.82</v>
      </c>
      <c r="L2123">
        <v>0</v>
      </c>
      <c r="M2123">
        <v>0</v>
      </c>
    </row>
    <row r="2124" spans="1:13">
      <c r="A2124" s="28">
        <v>389260</v>
      </c>
      <c r="B2124" t="s">
        <v>2266</v>
      </c>
      <c r="C2124">
        <v>11380</v>
      </c>
      <c r="D2124">
        <v>-220</v>
      </c>
      <c r="E2124">
        <v>-1.9</v>
      </c>
      <c r="F2124">
        <v>1607</v>
      </c>
      <c r="G2124">
        <v>7.08</v>
      </c>
      <c r="H2124" t="s">
        <v>397</v>
      </c>
      <c r="I2124" t="s">
        <v>397</v>
      </c>
      <c r="J2124">
        <v>6278</v>
      </c>
      <c r="K2124">
        <v>1.81</v>
      </c>
      <c r="L2124">
        <v>0</v>
      </c>
      <c r="M2124">
        <v>0</v>
      </c>
    </row>
    <row r="2125" spans="1:13">
      <c r="A2125" s="28">
        <v>7720</v>
      </c>
      <c r="B2125" t="s">
        <v>2267</v>
      </c>
      <c r="C2125">
        <v>559</v>
      </c>
      <c r="D2125">
        <v>0</v>
      </c>
      <c r="E2125">
        <v>0</v>
      </c>
      <c r="F2125" t="s">
        <v>397</v>
      </c>
      <c r="G2125" t="s">
        <v>397</v>
      </c>
      <c r="H2125" t="s">
        <v>397</v>
      </c>
      <c r="I2125" t="s">
        <v>397</v>
      </c>
      <c r="J2125">
        <v>1141</v>
      </c>
      <c r="K2125">
        <v>0.49</v>
      </c>
      <c r="L2125">
        <v>0</v>
      </c>
      <c r="M2125">
        <v>0</v>
      </c>
    </row>
    <row r="2126" spans="1:13">
      <c r="A2126" s="28">
        <v>8110</v>
      </c>
      <c r="B2126" t="s">
        <v>2268</v>
      </c>
      <c r="C2126">
        <v>6660</v>
      </c>
      <c r="D2126">
        <v>10</v>
      </c>
      <c r="E2126">
        <v>0.15</v>
      </c>
      <c r="F2126">
        <v>1122</v>
      </c>
      <c r="G2126">
        <v>5.94</v>
      </c>
      <c r="H2126" t="s">
        <v>397</v>
      </c>
      <c r="I2126" t="s">
        <v>397</v>
      </c>
      <c r="J2126">
        <v>26394</v>
      </c>
      <c r="K2126">
        <v>0.25</v>
      </c>
      <c r="L2126">
        <v>0</v>
      </c>
      <c r="M2126">
        <v>0</v>
      </c>
    </row>
    <row r="2127" spans="1:13">
      <c r="A2127" s="28">
        <v>145210</v>
      </c>
      <c r="B2127" t="s">
        <v>2269</v>
      </c>
      <c r="C2127">
        <v>5100</v>
      </c>
      <c r="D2127">
        <v>80</v>
      </c>
      <c r="E2127">
        <v>1.59</v>
      </c>
      <c r="F2127" t="s">
        <v>397</v>
      </c>
      <c r="G2127" t="s">
        <v>397</v>
      </c>
      <c r="H2127" t="s">
        <v>397</v>
      </c>
      <c r="I2127" t="s">
        <v>397</v>
      </c>
      <c r="J2127">
        <v>3499</v>
      </c>
      <c r="K2127">
        <v>1.46</v>
      </c>
      <c r="L2127">
        <v>0</v>
      </c>
      <c r="M2127">
        <v>0</v>
      </c>
    </row>
    <row r="2128" spans="1:13">
      <c r="A2128" s="28">
        <v>68240</v>
      </c>
      <c r="B2128" t="s">
        <v>2270</v>
      </c>
      <c r="C2128">
        <v>12980</v>
      </c>
      <c r="D2128">
        <v>-50</v>
      </c>
      <c r="E2128">
        <v>-0.38</v>
      </c>
      <c r="F2128" t="s">
        <v>397</v>
      </c>
      <c r="G2128" t="s">
        <v>397</v>
      </c>
      <c r="H2128" t="s">
        <v>397</v>
      </c>
      <c r="I2128" t="s">
        <v>397</v>
      </c>
      <c r="J2128">
        <v>5874</v>
      </c>
      <c r="K2128">
        <v>2.21</v>
      </c>
      <c r="L2128">
        <v>0</v>
      </c>
      <c r="M2128">
        <v>0</v>
      </c>
    </row>
    <row r="2129" spans="1:13">
      <c r="A2129" s="28">
        <v>153460</v>
      </c>
      <c r="B2129" t="s">
        <v>2271</v>
      </c>
      <c r="C2129">
        <v>7000</v>
      </c>
      <c r="D2129">
        <v>0</v>
      </c>
      <c r="E2129">
        <v>0</v>
      </c>
      <c r="F2129">
        <v>824</v>
      </c>
      <c r="G2129">
        <v>8.5</v>
      </c>
      <c r="H2129" t="s">
        <v>397</v>
      </c>
      <c r="I2129" t="s">
        <v>397</v>
      </c>
      <c r="J2129">
        <v>5096</v>
      </c>
      <c r="K2129">
        <v>1.37</v>
      </c>
      <c r="L2129">
        <v>0</v>
      </c>
      <c r="M2129">
        <v>0</v>
      </c>
    </row>
    <row r="2130" spans="1:13">
      <c r="A2130" s="28">
        <v>306620</v>
      </c>
      <c r="B2130" t="s">
        <v>2272</v>
      </c>
      <c r="C2130">
        <v>2710</v>
      </c>
      <c r="D2130">
        <v>-30</v>
      </c>
      <c r="E2130">
        <v>-1.0900000000000001</v>
      </c>
      <c r="F2130" t="s">
        <v>397</v>
      </c>
      <c r="G2130" t="s">
        <v>397</v>
      </c>
      <c r="H2130" t="s">
        <v>397</v>
      </c>
      <c r="I2130" t="s">
        <v>397</v>
      </c>
      <c r="J2130">
        <v>1135</v>
      </c>
      <c r="K2130">
        <v>2.39</v>
      </c>
      <c r="L2130">
        <v>0</v>
      </c>
      <c r="M2130">
        <v>0</v>
      </c>
    </row>
    <row r="2131" spans="1:13">
      <c r="A2131" s="28">
        <v>290660</v>
      </c>
      <c r="B2131" t="s">
        <v>2273</v>
      </c>
      <c r="C2131">
        <v>1185</v>
      </c>
      <c r="D2131">
        <v>-17</v>
      </c>
      <c r="E2131">
        <v>-1.41</v>
      </c>
      <c r="F2131" t="s">
        <v>397</v>
      </c>
      <c r="G2131" t="s">
        <v>397</v>
      </c>
      <c r="H2131" t="s">
        <v>397</v>
      </c>
      <c r="I2131" t="s">
        <v>397</v>
      </c>
      <c r="J2131">
        <v>337</v>
      </c>
      <c r="K2131">
        <v>3.52</v>
      </c>
      <c r="L2131">
        <v>0</v>
      </c>
      <c r="M2131">
        <v>0</v>
      </c>
    </row>
    <row r="2132" spans="1:13">
      <c r="A2132" s="28">
        <v>5320</v>
      </c>
      <c r="B2132" t="s">
        <v>2274</v>
      </c>
      <c r="C2132">
        <v>621</v>
      </c>
      <c r="D2132">
        <v>-16</v>
      </c>
      <c r="E2132">
        <v>-2.5099999999999998</v>
      </c>
      <c r="F2132">
        <v>25</v>
      </c>
      <c r="G2132">
        <v>24.84</v>
      </c>
      <c r="H2132" t="s">
        <v>397</v>
      </c>
      <c r="I2132" t="s">
        <v>397</v>
      </c>
      <c r="J2132">
        <v>1997</v>
      </c>
      <c r="K2132">
        <v>0.31</v>
      </c>
      <c r="L2132">
        <v>0</v>
      </c>
      <c r="M2132">
        <v>0</v>
      </c>
    </row>
    <row r="2133" spans="1:13">
      <c r="A2133" s="28">
        <v>1570</v>
      </c>
      <c r="B2133" t="s">
        <v>2275</v>
      </c>
      <c r="C2133">
        <v>126400</v>
      </c>
      <c r="D2133">
        <v>600</v>
      </c>
      <c r="E2133">
        <v>0.48</v>
      </c>
      <c r="F2133" t="s">
        <v>397</v>
      </c>
      <c r="G2133" t="s">
        <v>397</v>
      </c>
      <c r="H2133" t="s">
        <v>397</v>
      </c>
      <c r="I2133" t="s">
        <v>397</v>
      </c>
      <c r="J2133">
        <v>2188</v>
      </c>
      <c r="K2133">
        <v>57.77</v>
      </c>
      <c r="L2133">
        <v>0</v>
      </c>
      <c r="M2133">
        <v>0</v>
      </c>
    </row>
    <row r="2134" spans="1:13">
      <c r="A2134" s="28">
        <v>19660</v>
      </c>
      <c r="B2134" t="s">
        <v>2276</v>
      </c>
      <c r="C2134">
        <v>915</v>
      </c>
      <c r="D2134">
        <v>25</v>
      </c>
      <c r="E2134">
        <v>2.81</v>
      </c>
      <c r="F2134" t="s">
        <v>397</v>
      </c>
      <c r="G2134" t="s">
        <v>397</v>
      </c>
      <c r="H2134" t="s">
        <v>397</v>
      </c>
      <c r="I2134" t="s">
        <v>397</v>
      </c>
      <c r="J2134">
        <v>429</v>
      </c>
      <c r="K2134">
        <v>2.13</v>
      </c>
      <c r="L2134">
        <v>0</v>
      </c>
      <c r="M2134">
        <v>0</v>
      </c>
    </row>
    <row r="2135" spans="1:13">
      <c r="A2135" s="28">
        <v>204620</v>
      </c>
      <c r="B2135" t="s">
        <v>2277</v>
      </c>
      <c r="C2135">
        <v>4780</v>
      </c>
      <c r="D2135">
        <v>-70</v>
      </c>
      <c r="E2135">
        <v>-1.44</v>
      </c>
      <c r="F2135" t="s">
        <v>397</v>
      </c>
      <c r="G2135" t="s">
        <v>397</v>
      </c>
      <c r="H2135">
        <v>427</v>
      </c>
      <c r="I2135">
        <v>11.19</v>
      </c>
      <c r="J2135">
        <v>1630</v>
      </c>
      <c r="K2135">
        <v>2.93</v>
      </c>
      <c r="L2135">
        <v>0</v>
      </c>
      <c r="M2135">
        <v>0</v>
      </c>
    </row>
    <row r="2136" spans="1:13">
      <c r="A2136" s="28">
        <v>186230</v>
      </c>
      <c r="B2136" t="s">
        <v>2278</v>
      </c>
      <c r="C2136">
        <v>9580</v>
      </c>
      <c r="D2136">
        <v>270</v>
      </c>
      <c r="E2136">
        <v>2.9</v>
      </c>
      <c r="F2136" t="s">
        <v>397</v>
      </c>
      <c r="G2136" t="s">
        <v>397</v>
      </c>
      <c r="H2136" t="s">
        <v>397</v>
      </c>
      <c r="I2136" t="s">
        <v>397</v>
      </c>
      <c r="J2136">
        <v>5635</v>
      </c>
      <c r="K2136">
        <v>1.7</v>
      </c>
      <c r="L2136">
        <v>0</v>
      </c>
      <c r="M2136">
        <v>0</v>
      </c>
    </row>
    <row r="2137" spans="1:13">
      <c r="A2137" s="28">
        <v>114450</v>
      </c>
      <c r="B2137" t="s">
        <v>2279</v>
      </c>
      <c r="C2137">
        <v>2240</v>
      </c>
      <c r="D2137">
        <v>-25</v>
      </c>
      <c r="E2137">
        <v>-1.1000000000000001</v>
      </c>
      <c r="F2137" t="s">
        <v>397</v>
      </c>
      <c r="G2137" t="s">
        <v>397</v>
      </c>
      <c r="H2137" t="s">
        <v>397</v>
      </c>
      <c r="I2137" t="s">
        <v>397</v>
      </c>
      <c r="J2137">
        <v>2632</v>
      </c>
      <c r="K2137">
        <v>0.85</v>
      </c>
      <c r="L2137">
        <v>0</v>
      </c>
      <c r="M2137">
        <v>0</v>
      </c>
    </row>
    <row r="2138" spans="1:13">
      <c r="A2138" s="28">
        <v>402490</v>
      </c>
      <c r="B2138" t="s">
        <v>2280</v>
      </c>
      <c r="C2138">
        <v>33500</v>
      </c>
      <c r="D2138">
        <v>1550</v>
      </c>
      <c r="E2138">
        <v>4.8499999999999996</v>
      </c>
      <c r="F2138">
        <v>547</v>
      </c>
      <c r="G2138">
        <v>61.24</v>
      </c>
      <c r="H2138" t="s">
        <v>397</v>
      </c>
      <c r="I2138" t="s">
        <v>397</v>
      </c>
      <c r="J2138">
        <v>3229</v>
      </c>
      <c r="K2138">
        <v>10.37</v>
      </c>
      <c r="L2138">
        <v>0</v>
      </c>
      <c r="M2138">
        <v>0</v>
      </c>
    </row>
    <row r="2139" spans="1:13">
      <c r="A2139" s="28">
        <v>2720</v>
      </c>
      <c r="B2139" t="s">
        <v>2281</v>
      </c>
      <c r="C2139">
        <v>4720</v>
      </c>
      <c r="D2139">
        <v>245</v>
      </c>
      <c r="E2139">
        <v>5.47</v>
      </c>
      <c r="F2139">
        <v>176</v>
      </c>
      <c r="G2139">
        <v>26.82</v>
      </c>
      <c r="H2139" t="s">
        <v>397</v>
      </c>
      <c r="I2139" t="s">
        <v>397</v>
      </c>
      <c r="J2139">
        <v>3666</v>
      </c>
      <c r="K2139">
        <v>1.29</v>
      </c>
      <c r="L2139">
        <v>0</v>
      </c>
      <c r="M2139">
        <v>0</v>
      </c>
    </row>
    <row r="2140" spans="1:13">
      <c r="A2140" s="28">
        <v>307750</v>
      </c>
      <c r="B2140" t="s">
        <v>2282</v>
      </c>
      <c r="C2140">
        <v>6050</v>
      </c>
      <c r="D2140">
        <v>-40</v>
      </c>
      <c r="E2140">
        <v>-0.66</v>
      </c>
      <c r="F2140">
        <v>182</v>
      </c>
      <c r="G2140">
        <v>33.24</v>
      </c>
      <c r="H2140" t="s">
        <v>397</v>
      </c>
      <c r="I2140" t="s">
        <v>397</v>
      </c>
      <c r="J2140">
        <v>1867</v>
      </c>
      <c r="K2140">
        <v>3.24</v>
      </c>
      <c r="L2140">
        <v>0</v>
      </c>
      <c r="M2140">
        <v>0</v>
      </c>
    </row>
    <row r="2141" spans="1:13">
      <c r="A2141" s="28">
        <v>78130</v>
      </c>
      <c r="B2141" t="s">
        <v>2283</v>
      </c>
      <c r="C2141">
        <v>800</v>
      </c>
      <c r="D2141">
        <v>0</v>
      </c>
      <c r="E2141">
        <v>0</v>
      </c>
      <c r="F2141" t="s">
        <v>397</v>
      </c>
      <c r="G2141" t="s">
        <v>397</v>
      </c>
      <c r="H2141" t="s">
        <v>397</v>
      </c>
      <c r="I2141" t="s">
        <v>397</v>
      </c>
      <c r="J2141">
        <v>413</v>
      </c>
      <c r="K2141">
        <v>1.94</v>
      </c>
      <c r="L2141">
        <v>0</v>
      </c>
      <c r="M2141">
        <v>0</v>
      </c>
    </row>
    <row r="2142" spans="1:13">
      <c r="A2142" s="28">
        <v>6050</v>
      </c>
      <c r="B2142" t="s">
        <v>2284</v>
      </c>
      <c r="C2142">
        <v>1207</v>
      </c>
      <c r="D2142">
        <v>-1</v>
      </c>
      <c r="E2142">
        <v>-0.08</v>
      </c>
      <c r="F2142">
        <v>55</v>
      </c>
      <c r="G2142">
        <v>21.95</v>
      </c>
      <c r="H2142" t="s">
        <v>397</v>
      </c>
      <c r="I2142" t="s">
        <v>397</v>
      </c>
      <c r="J2142">
        <v>1416</v>
      </c>
      <c r="K2142">
        <v>0.85</v>
      </c>
      <c r="L2142">
        <v>0</v>
      </c>
      <c r="M2142">
        <v>0</v>
      </c>
    </row>
    <row r="2143" spans="1:13">
      <c r="A2143" s="28">
        <v>1140</v>
      </c>
      <c r="B2143" t="s">
        <v>2285</v>
      </c>
      <c r="C2143">
        <v>2500</v>
      </c>
      <c r="D2143">
        <v>120</v>
      </c>
      <c r="E2143">
        <v>5.04</v>
      </c>
      <c r="F2143" t="s">
        <v>397</v>
      </c>
      <c r="G2143" t="s">
        <v>397</v>
      </c>
      <c r="H2143" t="s">
        <v>397</v>
      </c>
      <c r="I2143" t="s">
        <v>397</v>
      </c>
      <c r="J2143">
        <v>4100</v>
      </c>
      <c r="K2143">
        <v>0.61</v>
      </c>
      <c r="L2143">
        <v>0</v>
      </c>
      <c r="M2143">
        <v>0</v>
      </c>
    </row>
    <row r="2144" spans="1:13">
      <c r="A2144" s="28">
        <v>465320</v>
      </c>
      <c r="B2144" t="s">
        <v>2286</v>
      </c>
      <c r="C2144">
        <v>2170</v>
      </c>
      <c r="D2144">
        <v>5</v>
      </c>
      <c r="E2144">
        <v>0.23</v>
      </c>
      <c r="F2144" t="s">
        <v>397</v>
      </c>
      <c r="G2144" t="s">
        <v>397</v>
      </c>
      <c r="H2144" t="s">
        <v>397</v>
      </c>
      <c r="I2144" t="s">
        <v>397</v>
      </c>
      <c r="J2144" t="s">
        <v>397</v>
      </c>
      <c r="K2144" t="s">
        <v>397</v>
      </c>
      <c r="L2144">
        <v>0</v>
      </c>
      <c r="M2144">
        <v>0</v>
      </c>
    </row>
    <row r="2145" spans="1:13">
      <c r="A2145" s="28">
        <v>311390</v>
      </c>
      <c r="B2145" t="s">
        <v>2287</v>
      </c>
      <c r="C2145">
        <v>7000</v>
      </c>
      <c r="D2145">
        <v>-10</v>
      </c>
      <c r="E2145">
        <v>-0.14000000000000001</v>
      </c>
      <c r="F2145" t="s">
        <v>397</v>
      </c>
      <c r="G2145" t="s">
        <v>397</v>
      </c>
      <c r="H2145" t="s">
        <v>397</v>
      </c>
      <c r="I2145" t="s">
        <v>397</v>
      </c>
      <c r="J2145">
        <v>6133</v>
      </c>
      <c r="K2145">
        <v>1.1399999999999999</v>
      </c>
      <c r="L2145">
        <v>0</v>
      </c>
      <c r="M2145">
        <v>0</v>
      </c>
    </row>
    <row r="2146" spans="1:13">
      <c r="A2146" s="28">
        <v>456490</v>
      </c>
      <c r="B2146" t="s">
        <v>2288</v>
      </c>
      <c r="C2146">
        <v>2225</v>
      </c>
      <c r="D2146">
        <v>15</v>
      </c>
      <c r="E2146">
        <v>0.68</v>
      </c>
      <c r="F2146" t="s">
        <v>397</v>
      </c>
      <c r="G2146" t="s">
        <v>397</v>
      </c>
      <c r="H2146" t="s">
        <v>397</v>
      </c>
      <c r="I2146" t="s">
        <v>397</v>
      </c>
      <c r="J2146" t="s">
        <v>397</v>
      </c>
      <c r="K2146" t="s">
        <v>397</v>
      </c>
      <c r="L2146">
        <v>0</v>
      </c>
      <c r="M2146">
        <v>0</v>
      </c>
    </row>
    <row r="2147" spans="1:13">
      <c r="A2147" s="28">
        <v>440790</v>
      </c>
      <c r="B2147" t="s">
        <v>2289</v>
      </c>
      <c r="C2147">
        <v>2255</v>
      </c>
      <c r="D2147">
        <v>15</v>
      </c>
      <c r="E2147">
        <v>0.67</v>
      </c>
      <c r="F2147" t="s">
        <v>397</v>
      </c>
      <c r="G2147" t="s">
        <v>397</v>
      </c>
      <c r="H2147" t="s">
        <v>397</v>
      </c>
      <c r="I2147" t="s">
        <v>397</v>
      </c>
      <c r="J2147" t="s">
        <v>397</v>
      </c>
      <c r="K2147" t="s">
        <v>397</v>
      </c>
      <c r="L2147">
        <v>0</v>
      </c>
      <c r="M2147">
        <v>0</v>
      </c>
    </row>
    <row r="2148" spans="1:13">
      <c r="A2148" s="28">
        <v>421800</v>
      </c>
      <c r="B2148" t="s">
        <v>2290</v>
      </c>
      <c r="C2148">
        <v>2375</v>
      </c>
      <c r="D2148">
        <v>-5</v>
      </c>
      <c r="E2148">
        <v>-0.21</v>
      </c>
      <c r="F2148" t="s">
        <v>397</v>
      </c>
      <c r="G2148" t="s">
        <v>397</v>
      </c>
      <c r="H2148" t="s">
        <v>397</v>
      </c>
      <c r="I2148" t="s">
        <v>397</v>
      </c>
      <c r="J2148" t="s">
        <v>397</v>
      </c>
      <c r="K2148" t="s">
        <v>397</v>
      </c>
      <c r="L2148">
        <v>0</v>
      </c>
      <c r="M2148">
        <v>0</v>
      </c>
    </row>
    <row r="2149" spans="1:13">
      <c r="A2149" s="28">
        <v>397880</v>
      </c>
      <c r="B2149" t="s">
        <v>2291</v>
      </c>
      <c r="C2149">
        <v>3425</v>
      </c>
      <c r="D2149">
        <v>0</v>
      </c>
      <c r="E2149">
        <v>0</v>
      </c>
      <c r="F2149" t="s">
        <v>397</v>
      </c>
      <c r="G2149" t="s">
        <v>397</v>
      </c>
      <c r="H2149" t="s">
        <v>397</v>
      </c>
      <c r="I2149" t="s">
        <v>397</v>
      </c>
      <c r="J2149" t="s">
        <v>397</v>
      </c>
      <c r="K2149" t="s">
        <v>397</v>
      </c>
      <c r="L2149">
        <v>0</v>
      </c>
      <c r="M2149">
        <v>0</v>
      </c>
    </row>
    <row r="2150" spans="1:13">
      <c r="A2150" s="28">
        <v>26910</v>
      </c>
      <c r="B2150" t="s">
        <v>2292</v>
      </c>
      <c r="C2150">
        <v>3360</v>
      </c>
      <c r="D2150">
        <v>10</v>
      </c>
      <c r="E2150">
        <v>0.3</v>
      </c>
      <c r="F2150">
        <v>179</v>
      </c>
      <c r="G2150">
        <v>18.77</v>
      </c>
      <c r="H2150" t="s">
        <v>397</v>
      </c>
      <c r="I2150" t="s">
        <v>397</v>
      </c>
      <c r="J2150">
        <v>4287</v>
      </c>
      <c r="K2150">
        <v>0.78</v>
      </c>
      <c r="L2150">
        <v>0</v>
      </c>
      <c r="M2150">
        <v>0</v>
      </c>
    </row>
    <row r="2151" spans="1:13">
      <c r="A2151" s="28">
        <v>29480</v>
      </c>
      <c r="B2151" t="s">
        <v>2293</v>
      </c>
      <c r="C2151">
        <v>3360</v>
      </c>
      <c r="D2151">
        <v>-120</v>
      </c>
      <c r="E2151">
        <v>-3.45</v>
      </c>
      <c r="F2151" t="s">
        <v>397</v>
      </c>
      <c r="G2151" t="s">
        <v>397</v>
      </c>
      <c r="H2151" t="s">
        <v>397</v>
      </c>
      <c r="I2151" t="s">
        <v>397</v>
      </c>
      <c r="J2151">
        <v>2126</v>
      </c>
      <c r="K2151">
        <v>1.58</v>
      </c>
      <c r="L2151">
        <v>0</v>
      </c>
      <c r="M2151">
        <v>0</v>
      </c>
    </row>
    <row r="2152" spans="1:13">
      <c r="A2152" s="28">
        <v>14200</v>
      </c>
      <c r="B2152" t="s">
        <v>2294</v>
      </c>
      <c r="C2152">
        <v>1006</v>
      </c>
      <c r="D2152">
        <v>0</v>
      </c>
      <c r="E2152">
        <v>0</v>
      </c>
      <c r="F2152" t="s">
        <v>397</v>
      </c>
      <c r="G2152" t="s">
        <v>397</v>
      </c>
      <c r="H2152" t="s">
        <v>397</v>
      </c>
      <c r="I2152" t="s">
        <v>397</v>
      </c>
      <c r="J2152">
        <v>1622</v>
      </c>
      <c r="K2152">
        <v>0.62</v>
      </c>
      <c r="L2152">
        <v>0</v>
      </c>
      <c r="M2152">
        <v>0</v>
      </c>
    </row>
    <row r="2153" spans="1:13">
      <c r="A2153" s="28">
        <v>35290</v>
      </c>
      <c r="B2153" t="s">
        <v>2295</v>
      </c>
      <c r="C2153">
        <v>599</v>
      </c>
      <c r="D2153">
        <v>-9</v>
      </c>
      <c r="E2153">
        <v>-1.48</v>
      </c>
      <c r="F2153" t="s">
        <v>397</v>
      </c>
      <c r="G2153" t="s">
        <v>397</v>
      </c>
      <c r="H2153" t="s">
        <v>397</v>
      </c>
      <c r="I2153" t="s">
        <v>397</v>
      </c>
      <c r="J2153">
        <v>313</v>
      </c>
      <c r="K2153">
        <v>1.91</v>
      </c>
      <c r="L2153">
        <v>0</v>
      </c>
      <c r="M2153">
        <v>0</v>
      </c>
    </row>
    <row r="2154" spans="1:13">
      <c r="A2154" s="28">
        <v>348150</v>
      </c>
      <c r="B2154" t="s">
        <v>2296</v>
      </c>
      <c r="C2154">
        <v>8630</v>
      </c>
      <c r="D2154">
        <v>-230</v>
      </c>
      <c r="E2154">
        <v>-2.6</v>
      </c>
      <c r="F2154" t="s">
        <v>397</v>
      </c>
      <c r="G2154" t="s">
        <v>397</v>
      </c>
      <c r="H2154" t="s">
        <v>397</v>
      </c>
      <c r="I2154" t="s">
        <v>397</v>
      </c>
      <c r="J2154">
        <v>4433</v>
      </c>
      <c r="K2154">
        <v>1.95</v>
      </c>
      <c r="L2154">
        <v>0</v>
      </c>
      <c r="M2154">
        <v>0</v>
      </c>
    </row>
    <row r="2155" spans="1:13">
      <c r="A2155" s="28">
        <v>198440</v>
      </c>
      <c r="B2155" t="s">
        <v>2297</v>
      </c>
      <c r="C2155">
        <v>1810</v>
      </c>
      <c r="D2155">
        <v>10</v>
      </c>
      <c r="E2155">
        <v>0.56000000000000005</v>
      </c>
      <c r="F2155" t="s">
        <v>397</v>
      </c>
      <c r="G2155" t="s">
        <v>397</v>
      </c>
      <c r="H2155" t="s">
        <v>397</v>
      </c>
      <c r="I2155" t="s">
        <v>397</v>
      </c>
      <c r="J2155">
        <v>3419</v>
      </c>
      <c r="K2155">
        <v>0.53</v>
      </c>
      <c r="L2155">
        <v>0</v>
      </c>
      <c r="M2155">
        <v>0</v>
      </c>
    </row>
    <row r="2156" spans="1:13">
      <c r="A2156" s="28">
        <v>24910</v>
      </c>
      <c r="B2156" t="s">
        <v>2298</v>
      </c>
      <c r="C2156">
        <v>2260</v>
      </c>
      <c r="D2156">
        <v>30</v>
      </c>
      <c r="E2156">
        <v>1.35</v>
      </c>
      <c r="F2156">
        <v>581</v>
      </c>
      <c r="G2156">
        <v>3.89</v>
      </c>
      <c r="H2156" t="s">
        <v>397</v>
      </c>
      <c r="I2156" t="s">
        <v>397</v>
      </c>
      <c r="J2156">
        <v>3398</v>
      </c>
      <c r="K2156">
        <v>0.67</v>
      </c>
      <c r="L2156">
        <v>0</v>
      </c>
      <c r="M2156">
        <v>0</v>
      </c>
    </row>
    <row r="2157" spans="1:13">
      <c r="A2157" s="28">
        <v>214330</v>
      </c>
      <c r="B2157" t="s">
        <v>2299</v>
      </c>
      <c r="C2157">
        <v>631</v>
      </c>
      <c r="D2157">
        <v>-7</v>
      </c>
      <c r="E2157">
        <v>-1.1000000000000001</v>
      </c>
      <c r="F2157" t="s">
        <v>397</v>
      </c>
      <c r="G2157" t="s">
        <v>397</v>
      </c>
      <c r="H2157" t="s">
        <v>397</v>
      </c>
      <c r="I2157" t="s">
        <v>397</v>
      </c>
      <c r="J2157">
        <v>1749</v>
      </c>
      <c r="K2157">
        <v>0.36</v>
      </c>
      <c r="L2157">
        <v>0</v>
      </c>
      <c r="M2157">
        <v>0</v>
      </c>
    </row>
    <row r="2158" spans="1:13">
      <c r="A2158" s="28">
        <v>1210</v>
      </c>
      <c r="B2158" t="s">
        <v>2300</v>
      </c>
      <c r="C2158">
        <v>747</v>
      </c>
      <c r="D2158">
        <v>11</v>
      </c>
      <c r="E2158">
        <v>1.49</v>
      </c>
      <c r="F2158" t="s">
        <v>397</v>
      </c>
      <c r="G2158" t="s">
        <v>397</v>
      </c>
      <c r="H2158" t="s">
        <v>397</v>
      </c>
      <c r="I2158" t="s">
        <v>397</v>
      </c>
      <c r="J2158">
        <v>890</v>
      </c>
      <c r="K2158">
        <v>0.84</v>
      </c>
      <c r="L2158">
        <v>0</v>
      </c>
      <c r="M2158">
        <v>0</v>
      </c>
    </row>
    <row r="2159" spans="1:13">
      <c r="A2159" s="28">
        <v>73240</v>
      </c>
      <c r="B2159" t="s">
        <v>2301</v>
      </c>
      <c r="C2159">
        <v>5810</v>
      </c>
      <c r="D2159">
        <v>-70</v>
      </c>
      <c r="E2159">
        <v>-1.19</v>
      </c>
      <c r="F2159" t="s">
        <v>397</v>
      </c>
      <c r="G2159" t="s">
        <v>397</v>
      </c>
      <c r="H2159">
        <v>658</v>
      </c>
      <c r="I2159">
        <v>8.83</v>
      </c>
      <c r="J2159">
        <v>3920</v>
      </c>
      <c r="K2159">
        <v>1.48</v>
      </c>
      <c r="L2159">
        <v>0</v>
      </c>
      <c r="M2159">
        <v>0</v>
      </c>
    </row>
    <row r="2160" spans="1:13">
      <c r="A2160" s="28">
        <v>49080</v>
      </c>
      <c r="B2160" t="s">
        <v>2302</v>
      </c>
      <c r="C2160">
        <v>1217</v>
      </c>
      <c r="D2160">
        <v>-6</v>
      </c>
      <c r="E2160">
        <v>-0.49</v>
      </c>
      <c r="F2160" t="s">
        <v>397</v>
      </c>
      <c r="G2160" t="s">
        <v>397</v>
      </c>
      <c r="H2160" t="s">
        <v>397</v>
      </c>
      <c r="I2160" t="s">
        <v>397</v>
      </c>
      <c r="J2160">
        <v>718</v>
      </c>
      <c r="K2160">
        <v>1.69</v>
      </c>
      <c r="L2160">
        <v>0</v>
      </c>
      <c r="M2160">
        <v>0</v>
      </c>
    </row>
    <row r="2161" spans="1:13">
      <c r="A2161" s="28">
        <v>42420</v>
      </c>
      <c r="B2161" t="s">
        <v>2303</v>
      </c>
      <c r="C2161">
        <v>24200</v>
      </c>
      <c r="D2161">
        <v>-950</v>
      </c>
      <c r="E2161">
        <v>-3.78</v>
      </c>
      <c r="F2161" t="s">
        <v>397</v>
      </c>
      <c r="G2161" t="s">
        <v>397</v>
      </c>
      <c r="H2161" t="s">
        <v>397</v>
      </c>
      <c r="I2161" t="s">
        <v>397</v>
      </c>
      <c r="J2161">
        <v>48255</v>
      </c>
      <c r="K2161">
        <v>0.5</v>
      </c>
      <c r="L2161">
        <v>0</v>
      </c>
      <c r="M2161">
        <v>0</v>
      </c>
    </row>
    <row r="2162" spans="1:13">
      <c r="A2162" s="28">
        <v>95660</v>
      </c>
      <c r="B2162" t="s">
        <v>2304</v>
      </c>
      <c r="C2162">
        <v>22100</v>
      </c>
      <c r="D2162">
        <v>-250</v>
      </c>
      <c r="E2162">
        <v>-1.1200000000000001</v>
      </c>
      <c r="F2162">
        <v>625</v>
      </c>
      <c r="G2162">
        <v>35.36</v>
      </c>
      <c r="H2162">
        <v>1669</v>
      </c>
      <c r="I2162">
        <v>13.24</v>
      </c>
      <c r="J2162">
        <v>21772</v>
      </c>
      <c r="K2162">
        <v>1.02</v>
      </c>
      <c r="L2162">
        <v>0</v>
      </c>
      <c r="M2162">
        <v>0</v>
      </c>
    </row>
    <row r="2163" spans="1:13">
      <c r="A2163" s="28">
        <v>94860</v>
      </c>
      <c r="B2163" t="s">
        <v>2305</v>
      </c>
      <c r="C2163">
        <v>2040</v>
      </c>
      <c r="D2163">
        <v>0</v>
      </c>
      <c r="E2163">
        <v>0</v>
      </c>
      <c r="F2163" t="s">
        <v>397</v>
      </c>
      <c r="G2163" t="s">
        <v>397</v>
      </c>
      <c r="H2163" t="s">
        <v>397</v>
      </c>
      <c r="I2163" t="s">
        <v>397</v>
      </c>
      <c r="J2163">
        <v>1860</v>
      </c>
      <c r="K2163">
        <v>1.1000000000000001</v>
      </c>
      <c r="L2163">
        <v>0</v>
      </c>
      <c r="M2163">
        <v>0</v>
      </c>
    </row>
    <row r="2164" spans="1:13">
      <c r="A2164" s="28">
        <v>168330</v>
      </c>
      <c r="B2164" t="s">
        <v>2306</v>
      </c>
      <c r="C2164">
        <v>2230</v>
      </c>
      <c r="D2164">
        <v>15</v>
      </c>
      <c r="E2164">
        <v>0.68</v>
      </c>
      <c r="F2164" t="s">
        <v>397</v>
      </c>
      <c r="G2164" t="s">
        <v>397</v>
      </c>
      <c r="H2164" t="s">
        <v>397</v>
      </c>
      <c r="I2164" t="s">
        <v>397</v>
      </c>
      <c r="J2164">
        <v>1123</v>
      </c>
      <c r="K2164">
        <v>1.99</v>
      </c>
      <c r="L2164">
        <v>0</v>
      </c>
      <c r="M2164">
        <v>0</v>
      </c>
    </row>
    <row r="2165" spans="1:13">
      <c r="A2165" s="28">
        <v>8355</v>
      </c>
      <c r="B2165" t="s">
        <v>2307</v>
      </c>
      <c r="C2165">
        <v>22300</v>
      </c>
      <c r="D2165">
        <v>-300</v>
      </c>
      <c r="E2165">
        <v>-1.33</v>
      </c>
      <c r="F2165" t="s">
        <v>397</v>
      </c>
      <c r="G2165" t="s">
        <v>397</v>
      </c>
      <c r="H2165" t="s">
        <v>397</v>
      </c>
      <c r="I2165" t="s">
        <v>397</v>
      </c>
      <c r="J2165" t="s">
        <v>397</v>
      </c>
      <c r="K2165" t="s">
        <v>397</v>
      </c>
      <c r="L2165">
        <v>0</v>
      </c>
      <c r="M2165">
        <v>0</v>
      </c>
    </row>
    <row r="2166" spans="1:13">
      <c r="A2166" s="28">
        <v>8350</v>
      </c>
      <c r="B2166" t="s">
        <v>2308</v>
      </c>
      <c r="C2166">
        <v>2000</v>
      </c>
      <c r="D2166">
        <v>-10</v>
      </c>
      <c r="E2166">
        <v>-0.5</v>
      </c>
      <c r="F2166">
        <v>238</v>
      </c>
      <c r="G2166">
        <v>8.4</v>
      </c>
      <c r="H2166" t="s">
        <v>397</v>
      </c>
      <c r="I2166" t="s">
        <v>397</v>
      </c>
      <c r="J2166">
        <v>2376</v>
      </c>
      <c r="K2166">
        <v>0.84</v>
      </c>
      <c r="L2166">
        <v>0</v>
      </c>
      <c r="M2166">
        <v>0</v>
      </c>
    </row>
    <row r="2167" spans="1:13">
      <c r="A2167" s="28">
        <v>1260</v>
      </c>
      <c r="B2167" t="s">
        <v>2309</v>
      </c>
      <c r="C2167">
        <v>6740</v>
      </c>
      <c r="D2167">
        <v>50</v>
      </c>
      <c r="E2167">
        <v>0.75</v>
      </c>
      <c r="F2167">
        <v>1969</v>
      </c>
      <c r="G2167">
        <v>3.42</v>
      </c>
      <c r="H2167" t="s">
        <v>397</v>
      </c>
      <c r="I2167" t="s">
        <v>397</v>
      </c>
      <c r="J2167">
        <v>10896</v>
      </c>
      <c r="K2167">
        <v>0.62</v>
      </c>
      <c r="L2167">
        <v>0</v>
      </c>
      <c r="M2167">
        <v>0</v>
      </c>
    </row>
    <row r="2168" spans="1:13">
      <c r="A2168" s="28">
        <v>267320</v>
      </c>
      <c r="B2168" t="s">
        <v>2310</v>
      </c>
      <c r="C2168">
        <v>3005</v>
      </c>
      <c r="D2168">
        <v>-40</v>
      </c>
      <c r="E2168">
        <v>-1.31</v>
      </c>
      <c r="F2168">
        <v>1</v>
      </c>
      <c r="G2168">
        <v>3005</v>
      </c>
      <c r="H2168">
        <v>292</v>
      </c>
      <c r="I2168">
        <v>10.27</v>
      </c>
      <c r="J2168">
        <v>671</v>
      </c>
      <c r="K2168">
        <v>4.4800000000000004</v>
      </c>
      <c r="L2168">
        <v>0</v>
      </c>
      <c r="M2168">
        <v>0</v>
      </c>
    </row>
    <row r="2169" spans="1:13">
      <c r="A2169" s="28">
        <v>138610</v>
      </c>
      <c r="B2169" t="s">
        <v>2311</v>
      </c>
      <c r="C2169">
        <v>16740</v>
      </c>
      <c r="D2169">
        <v>-210</v>
      </c>
      <c r="E2169">
        <v>-1.24</v>
      </c>
      <c r="F2169" t="s">
        <v>397</v>
      </c>
      <c r="G2169" t="s">
        <v>397</v>
      </c>
      <c r="H2169" t="s">
        <v>397</v>
      </c>
      <c r="I2169" t="s">
        <v>397</v>
      </c>
      <c r="J2169">
        <v>3696</v>
      </c>
      <c r="K2169">
        <v>4.53</v>
      </c>
      <c r="L2169">
        <v>0</v>
      </c>
      <c r="M2169">
        <v>0</v>
      </c>
    </row>
    <row r="2170" spans="1:13">
      <c r="A2170" s="28">
        <v>242040</v>
      </c>
      <c r="B2170" t="s">
        <v>2312</v>
      </c>
      <c r="C2170">
        <v>2395</v>
      </c>
      <c r="D2170">
        <v>20</v>
      </c>
      <c r="E2170">
        <v>0.84</v>
      </c>
      <c r="F2170">
        <v>10</v>
      </c>
      <c r="G2170">
        <v>239.5</v>
      </c>
      <c r="H2170" t="s">
        <v>397</v>
      </c>
      <c r="I2170" t="s">
        <v>397</v>
      </c>
      <c r="J2170">
        <v>1193</v>
      </c>
      <c r="K2170">
        <v>2.0099999999999998</v>
      </c>
      <c r="L2170">
        <v>0</v>
      </c>
      <c r="M2170">
        <v>0</v>
      </c>
    </row>
    <row r="2171" spans="1:13">
      <c r="A2171" s="28">
        <v>190510</v>
      </c>
      <c r="B2171" t="s">
        <v>2313</v>
      </c>
      <c r="C2171">
        <v>14900</v>
      </c>
      <c r="D2171">
        <v>-90</v>
      </c>
      <c r="E2171">
        <v>-0.6</v>
      </c>
      <c r="F2171">
        <v>2119</v>
      </c>
      <c r="G2171">
        <v>7.03</v>
      </c>
      <c r="H2171">
        <v>1886</v>
      </c>
      <c r="I2171">
        <v>7.9</v>
      </c>
      <c r="J2171">
        <v>7719</v>
      </c>
      <c r="K2171">
        <v>1.93</v>
      </c>
      <c r="L2171">
        <v>0</v>
      </c>
      <c r="M2171">
        <v>0</v>
      </c>
    </row>
    <row r="2172" spans="1:13">
      <c r="A2172" s="28">
        <v>405920</v>
      </c>
      <c r="B2172" t="s">
        <v>2314</v>
      </c>
      <c r="C2172">
        <v>5210</v>
      </c>
      <c r="D2172">
        <v>-40</v>
      </c>
      <c r="E2172">
        <v>-0.76</v>
      </c>
      <c r="F2172">
        <v>1005</v>
      </c>
      <c r="G2172">
        <v>5.18</v>
      </c>
      <c r="H2172" t="s">
        <v>397</v>
      </c>
      <c r="I2172" t="s">
        <v>397</v>
      </c>
      <c r="J2172">
        <v>4774</v>
      </c>
      <c r="K2172">
        <v>1.0900000000000001</v>
      </c>
      <c r="L2172">
        <v>0</v>
      </c>
      <c r="M2172">
        <v>0</v>
      </c>
    </row>
    <row r="2173" spans="1:13">
      <c r="A2173" s="28">
        <v>417010</v>
      </c>
      <c r="B2173" t="s">
        <v>2315</v>
      </c>
      <c r="C2173">
        <v>13180</v>
      </c>
      <c r="D2173">
        <v>-380</v>
      </c>
      <c r="E2173">
        <v>-2.8</v>
      </c>
      <c r="F2173">
        <v>243</v>
      </c>
      <c r="G2173">
        <v>54.24</v>
      </c>
      <c r="H2173">
        <v>462</v>
      </c>
      <c r="I2173">
        <v>28.51</v>
      </c>
      <c r="J2173">
        <v>1067</v>
      </c>
      <c r="K2173">
        <v>12.35</v>
      </c>
      <c r="L2173">
        <v>0</v>
      </c>
      <c r="M2173">
        <v>0</v>
      </c>
    </row>
    <row r="2174" spans="1:13">
      <c r="A2174" s="28">
        <v>91970</v>
      </c>
      <c r="B2174" t="s">
        <v>2316</v>
      </c>
      <c r="C2174">
        <v>654</v>
      </c>
      <c r="D2174">
        <v>-9</v>
      </c>
      <c r="E2174">
        <v>-1.36</v>
      </c>
      <c r="F2174" t="s">
        <v>397</v>
      </c>
      <c r="G2174" t="s">
        <v>397</v>
      </c>
      <c r="H2174" t="s">
        <v>397</v>
      </c>
      <c r="I2174" t="s">
        <v>397</v>
      </c>
      <c r="J2174">
        <v>1050</v>
      </c>
      <c r="K2174">
        <v>0.62</v>
      </c>
      <c r="L2174">
        <v>0</v>
      </c>
      <c r="M2174">
        <v>0</v>
      </c>
    </row>
    <row r="2175" spans="1:13">
      <c r="A2175" s="28">
        <v>39860</v>
      </c>
      <c r="B2175" t="s">
        <v>2317</v>
      </c>
      <c r="C2175">
        <v>3750</v>
      </c>
      <c r="D2175">
        <v>-35</v>
      </c>
      <c r="E2175">
        <v>-0.92</v>
      </c>
      <c r="F2175">
        <v>174</v>
      </c>
      <c r="G2175">
        <v>21.55</v>
      </c>
      <c r="H2175" t="s">
        <v>397</v>
      </c>
      <c r="I2175" t="s">
        <v>397</v>
      </c>
      <c r="J2175">
        <v>2150</v>
      </c>
      <c r="K2175">
        <v>1.74</v>
      </c>
      <c r="L2175">
        <v>0</v>
      </c>
      <c r="M2175">
        <v>0</v>
      </c>
    </row>
    <row r="2176" spans="1:13">
      <c r="A2176" s="28">
        <v>247660</v>
      </c>
      <c r="B2176" t="s">
        <v>2318</v>
      </c>
      <c r="C2176">
        <v>9270</v>
      </c>
      <c r="D2176">
        <v>-20</v>
      </c>
      <c r="E2176">
        <v>-0.22</v>
      </c>
      <c r="F2176">
        <v>49</v>
      </c>
      <c r="G2176">
        <v>189.18</v>
      </c>
      <c r="H2176" t="s">
        <v>397</v>
      </c>
      <c r="I2176" t="s">
        <v>397</v>
      </c>
      <c r="J2176">
        <v>7261</v>
      </c>
      <c r="K2176">
        <v>1.28</v>
      </c>
      <c r="L2176">
        <v>0</v>
      </c>
      <c r="M2176">
        <v>0</v>
      </c>
    </row>
    <row r="2177" spans="1:13">
      <c r="A2177" s="28">
        <v>286750</v>
      </c>
      <c r="B2177" t="s">
        <v>2319</v>
      </c>
      <c r="C2177">
        <v>2355</v>
      </c>
      <c r="D2177">
        <v>0</v>
      </c>
      <c r="E2177">
        <v>0</v>
      </c>
      <c r="F2177" t="s">
        <v>397</v>
      </c>
      <c r="G2177" t="s">
        <v>397</v>
      </c>
      <c r="H2177" t="s">
        <v>397</v>
      </c>
      <c r="I2177" t="s">
        <v>397</v>
      </c>
      <c r="J2177">
        <v>496</v>
      </c>
      <c r="K2177">
        <v>4.75</v>
      </c>
      <c r="L2177">
        <v>0</v>
      </c>
      <c r="M2177">
        <v>0</v>
      </c>
    </row>
    <row r="2178" spans="1:13">
      <c r="A2178" s="28">
        <v>187790</v>
      </c>
      <c r="B2178" t="s">
        <v>2320</v>
      </c>
      <c r="C2178">
        <v>1369</v>
      </c>
      <c r="D2178">
        <v>34</v>
      </c>
      <c r="E2178">
        <v>2.5499999999999998</v>
      </c>
      <c r="F2178" t="s">
        <v>397</v>
      </c>
      <c r="G2178" t="s">
        <v>397</v>
      </c>
      <c r="H2178" t="s">
        <v>397</v>
      </c>
      <c r="I2178" t="s">
        <v>397</v>
      </c>
      <c r="J2178">
        <v>883</v>
      </c>
      <c r="K2178">
        <v>1.55</v>
      </c>
      <c r="L2178">
        <v>0</v>
      </c>
      <c r="M2178">
        <v>0</v>
      </c>
    </row>
    <row r="2179" spans="1:13">
      <c r="A2179" s="28">
        <v>407400</v>
      </c>
      <c r="B2179" t="s">
        <v>2321</v>
      </c>
      <c r="C2179">
        <v>8980</v>
      </c>
      <c r="D2179">
        <v>-130</v>
      </c>
      <c r="E2179">
        <v>-1.43</v>
      </c>
      <c r="F2179">
        <v>168</v>
      </c>
      <c r="G2179">
        <v>53.45</v>
      </c>
      <c r="H2179" t="s">
        <v>397</v>
      </c>
      <c r="I2179" t="s">
        <v>397</v>
      </c>
      <c r="J2179">
        <v>1106</v>
      </c>
      <c r="K2179">
        <v>8.1199999999999992</v>
      </c>
      <c r="L2179">
        <v>0</v>
      </c>
      <c r="M2179">
        <v>0</v>
      </c>
    </row>
    <row r="2180" spans="1:13">
      <c r="A2180" s="28">
        <v>4545</v>
      </c>
      <c r="B2180" t="s">
        <v>2322</v>
      </c>
      <c r="C2180">
        <v>14750</v>
      </c>
      <c r="D2180">
        <v>-260</v>
      </c>
      <c r="E2180">
        <v>-1.73</v>
      </c>
      <c r="F2180" t="s">
        <v>397</v>
      </c>
      <c r="G2180" t="s">
        <v>397</v>
      </c>
      <c r="H2180" t="s">
        <v>397</v>
      </c>
      <c r="I2180" t="s">
        <v>397</v>
      </c>
      <c r="J2180" t="s">
        <v>397</v>
      </c>
      <c r="K2180" t="s">
        <v>397</v>
      </c>
      <c r="L2180">
        <v>0</v>
      </c>
      <c r="M2180">
        <v>0</v>
      </c>
    </row>
    <row r="2181" spans="1:13">
      <c r="A2181" s="28">
        <v>4540</v>
      </c>
      <c r="B2181" t="s">
        <v>2323</v>
      </c>
      <c r="C2181">
        <v>2540</v>
      </c>
      <c r="D2181">
        <v>20</v>
      </c>
      <c r="E2181">
        <v>0.79</v>
      </c>
      <c r="F2181" t="s">
        <v>397</v>
      </c>
      <c r="G2181" t="s">
        <v>397</v>
      </c>
      <c r="H2181" t="s">
        <v>397</v>
      </c>
      <c r="I2181" t="s">
        <v>397</v>
      </c>
      <c r="J2181">
        <v>6481</v>
      </c>
      <c r="K2181">
        <v>0.39</v>
      </c>
      <c r="L2181">
        <v>0</v>
      </c>
      <c r="M2181">
        <v>0</v>
      </c>
    </row>
    <row r="2182" spans="1:13">
      <c r="A2182" s="28">
        <v>308100</v>
      </c>
      <c r="B2182" t="s">
        <v>2324</v>
      </c>
      <c r="C2182">
        <v>4425</v>
      </c>
      <c r="D2182">
        <v>-45</v>
      </c>
      <c r="E2182">
        <v>-1.01</v>
      </c>
      <c r="F2182" t="s">
        <v>397</v>
      </c>
      <c r="G2182" t="s">
        <v>397</v>
      </c>
      <c r="H2182" t="s">
        <v>397</v>
      </c>
      <c r="I2182" t="s">
        <v>397</v>
      </c>
      <c r="J2182">
        <v>9442</v>
      </c>
      <c r="K2182">
        <v>0.47</v>
      </c>
      <c r="L2182">
        <v>0</v>
      </c>
      <c r="M2182">
        <v>0</v>
      </c>
    </row>
    <row r="2183" spans="1:13">
      <c r="A2183" s="28">
        <v>35460</v>
      </c>
      <c r="B2183" t="s">
        <v>2325</v>
      </c>
      <c r="C2183">
        <v>2350</v>
      </c>
      <c r="D2183">
        <v>0</v>
      </c>
      <c r="E2183">
        <v>0</v>
      </c>
      <c r="F2183">
        <v>209</v>
      </c>
      <c r="G2183">
        <v>11.24</v>
      </c>
      <c r="H2183" t="s">
        <v>397</v>
      </c>
      <c r="I2183" t="s">
        <v>397</v>
      </c>
      <c r="J2183">
        <v>2435</v>
      </c>
      <c r="K2183">
        <v>0.97</v>
      </c>
      <c r="L2183">
        <v>0</v>
      </c>
      <c r="M2183">
        <v>0</v>
      </c>
    </row>
    <row r="2184" spans="1:13">
      <c r="A2184" s="28">
        <v>207940</v>
      </c>
      <c r="B2184" t="s">
        <v>2326</v>
      </c>
      <c r="C2184">
        <v>826000</v>
      </c>
      <c r="D2184">
        <v>-14000</v>
      </c>
      <c r="E2184">
        <v>-1.67</v>
      </c>
      <c r="F2184">
        <v>11442</v>
      </c>
      <c r="G2184">
        <v>72.19</v>
      </c>
      <c r="H2184">
        <v>14281</v>
      </c>
      <c r="I2184">
        <v>57.84</v>
      </c>
      <c r="J2184">
        <v>126233</v>
      </c>
      <c r="K2184">
        <v>6.54</v>
      </c>
      <c r="L2184">
        <v>0</v>
      </c>
      <c r="M2184">
        <v>0</v>
      </c>
    </row>
    <row r="2185" spans="1:13">
      <c r="A2185" s="28">
        <v>425290</v>
      </c>
      <c r="B2185" t="s">
        <v>2327</v>
      </c>
      <c r="C2185">
        <v>2275</v>
      </c>
      <c r="D2185">
        <v>-15</v>
      </c>
      <c r="E2185">
        <v>-0.66</v>
      </c>
      <c r="F2185" t="s">
        <v>397</v>
      </c>
      <c r="G2185" t="s">
        <v>397</v>
      </c>
      <c r="H2185" t="s">
        <v>397</v>
      </c>
      <c r="I2185" t="s">
        <v>397</v>
      </c>
      <c r="J2185" t="s">
        <v>397</v>
      </c>
      <c r="K2185" t="s">
        <v>397</v>
      </c>
      <c r="L2185">
        <v>0</v>
      </c>
      <c r="M2185">
        <v>0</v>
      </c>
    </row>
    <row r="2186" spans="1:13">
      <c r="A2186" s="28">
        <v>439250</v>
      </c>
      <c r="B2186" t="s">
        <v>2328</v>
      </c>
      <c r="C2186">
        <v>9970</v>
      </c>
      <c r="D2186">
        <v>0</v>
      </c>
      <c r="E2186">
        <v>0</v>
      </c>
      <c r="F2186" t="s">
        <v>397</v>
      </c>
      <c r="G2186" t="s">
        <v>397</v>
      </c>
      <c r="H2186" t="s">
        <v>397</v>
      </c>
      <c r="I2186" t="s">
        <v>397</v>
      </c>
      <c r="J2186" t="s">
        <v>397</v>
      </c>
      <c r="K2186" t="s">
        <v>397</v>
      </c>
      <c r="L2186">
        <v>0</v>
      </c>
      <c r="M2186">
        <v>0</v>
      </c>
    </row>
    <row r="2187" spans="1:13">
      <c r="A2187" s="28">
        <v>101360</v>
      </c>
      <c r="B2187" t="s">
        <v>2329</v>
      </c>
      <c r="C2187">
        <v>60900</v>
      </c>
      <c r="D2187">
        <v>1200</v>
      </c>
      <c r="E2187">
        <v>2.0099999999999998</v>
      </c>
      <c r="F2187">
        <v>7</v>
      </c>
      <c r="G2187">
        <v>8700</v>
      </c>
      <c r="H2187" t="s">
        <v>397</v>
      </c>
      <c r="I2187" t="s">
        <v>397</v>
      </c>
      <c r="J2187">
        <v>7635</v>
      </c>
      <c r="K2187">
        <v>7.98</v>
      </c>
      <c r="L2187">
        <v>0</v>
      </c>
      <c r="M2187">
        <v>0</v>
      </c>
    </row>
    <row r="2188" spans="1:13">
      <c r="A2188" s="28">
        <v>317870</v>
      </c>
      <c r="B2188" t="s">
        <v>2330</v>
      </c>
      <c r="C2188">
        <v>19740</v>
      </c>
      <c r="D2188">
        <v>-310</v>
      </c>
      <c r="E2188">
        <v>-1.55</v>
      </c>
      <c r="F2188" t="s">
        <v>397</v>
      </c>
      <c r="G2188" t="s">
        <v>397</v>
      </c>
      <c r="H2188" t="s">
        <v>397</v>
      </c>
      <c r="I2188" t="s">
        <v>397</v>
      </c>
      <c r="J2188">
        <v>2577</v>
      </c>
      <c r="K2188">
        <v>7.66</v>
      </c>
      <c r="L2188">
        <v>0</v>
      </c>
      <c r="M2188">
        <v>0</v>
      </c>
    </row>
    <row r="2189" spans="1:13">
      <c r="A2189" s="28">
        <v>317770</v>
      </c>
      <c r="B2189" t="s">
        <v>2331</v>
      </c>
      <c r="C2189">
        <v>5430</v>
      </c>
      <c r="D2189">
        <v>210</v>
      </c>
      <c r="E2189">
        <v>4.0199999999999996</v>
      </c>
      <c r="F2189">
        <v>142</v>
      </c>
      <c r="G2189">
        <v>38.24</v>
      </c>
      <c r="H2189" t="s">
        <v>397</v>
      </c>
      <c r="I2189" t="s">
        <v>397</v>
      </c>
      <c r="J2189">
        <v>2170</v>
      </c>
      <c r="K2189">
        <v>2.5</v>
      </c>
      <c r="L2189">
        <v>0</v>
      </c>
      <c r="M2189">
        <v>0</v>
      </c>
    </row>
    <row r="2190" spans="1:13">
      <c r="A2190" s="28">
        <v>70300</v>
      </c>
      <c r="B2190" t="s">
        <v>2332</v>
      </c>
      <c r="C2190">
        <v>2665</v>
      </c>
      <c r="D2190">
        <v>-15</v>
      </c>
      <c r="E2190">
        <v>-0.56000000000000005</v>
      </c>
      <c r="F2190">
        <v>121</v>
      </c>
      <c r="G2190">
        <v>22.02</v>
      </c>
      <c r="H2190" t="s">
        <v>397</v>
      </c>
      <c r="I2190" t="s">
        <v>397</v>
      </c>
      <c r="J2190">
        <v>3331</v>
      </c>
      <c r="K2190">
        <v>0.8</v>
      </c>
      <c r="L2190">
        <v>0</v>
      </c>
      <c r="M2190">
        <v>0</v>
      </c>
    </row>
    <row r="2191" spans="1:13">
      <c r="A2191" s="28">
        <v>356680</v>
      </c>
      <c r="B2191" t="s">
        <v>2333</v>
      </c>
      <c r="C2191">
        <v>5690</v>
      </c>
      <c r="D2191">
        <v>-130</v>
      </c>
      <c r="E2191">
        <v>-2.23</v>
      </c>
      <c r="F2191">
        <v>219</v>
      </c>
      <c r="G2191">
        <v>25.98</v>
      </c>
      <c r="H2191" t="s">
        <v>397</v>
      </c>
      <c r="I2191" t="s">
        <v>397</v>
      </c>
      <c r="J2191">
        <v>1081</v>
      </c>
      <c r="K2191">
        <v>5.26</v>
      </c>
      <c r="L2191">
        <v>0</v>
      </c>
      <c r="M2191">
        <v>0</v>
      </c>
    </row>
    <row r="2192" spans="1:13">
      <c r="A2192" s="28">
        <v>205100</v>
      </c>
      <c r="B2192" t="s">
        <v>2334</v>
      </c>
      <c r="C2192">
        <v>2390</v>
      </c>
      <c r="D2192">
        <v>-40</v>
      </c>
      <c r="E2192">
        <v>-1.65</v>
      </c>
      <c r="F2192">
        <v>124</v>
      </c>
      <c r="G2192">
        <v>19.27</v>
      </c>
      <c r="H2192" t="s">
        <v>397</v>
      </c>
      <c r="I2192" t="s">
        <v>397</v>
      </c>
      <c r="J2192">
        <v>1332</v>
      </c>
      <c r="K2192">
        <v>1.79</v>
      </c>
      <c r="L2192">
        <v>0</v>
      </c>
      <c r="M2192">
        <v>0</v>
      </c>
    </row>
    <row r="2193" spans="1:13">
      <c r="A2193" s="28">
        <v>43090</v>
      </c>
      <c r="B2193" t="s">
        <v>2335</v>
      </c>
      <c r="C2193">
        <v>419</v>
      </c>
      <c r="D2193">
        <v>-3</v>
      </c>
      <c r="E2193">
        <v>-0.71</v>
      </c>
      <c r="F2193" t="s">
        <v>397</v>
      </c>
      <c r="G2193" t="s">
        <v>397</v>
      </c>
      <c r="H2193" t="s">
        <v>397</v>
      </c>
      <c r="I2193" t="s">
        <v>397</v>
      </c>
      <c r="J2193">
        <v>1118</v>
      </c>
      <c r="K2193">
        <v>0.37</v>
      </c>
      <c r="L2193">
        <v>0</v>
      </c>
      <c r="M2193">
        <v>0</v>
      </c>
    </row>
    <row r="2194" spans="1:13">
      <c r="A2194" s="28">
        <v>54940</v>
      </c>
      <c r="B2194" t="s">
        <v>2336</v>
      </c>
      <c r="C2194">
        <v>786</v>
      </c>
      <c r="D2194">
        <v>-7</v>
      </c>
      <c r="E2194">
        <v>-0.88</v>
      </c>
      <c r="F2194">
        <v>227</v>
      </c>
      <c r="G2194">
        <v>3.46</v>
      </c>
      <c r="H2194" t="s">
        <v>397</v>
      </c>
      <c r="I2194" t="s">
        <v>397</v>
      </c>
      <c r="J2194">
        <v>1853</v>
      </c>
      <c r="K2194">
        <v>0.42</v>
      </c>
      <c r="L2194">
        <v>0</v>
      </c>
      <c r="M2194">
        <v>0</v>
      </c>
    </row>
    <row r="2195" spans="1:13">
      <c r="A2195" s="28">
        <v>173940</v>
      </c>
      <c r="B2195" t="s">
        <v>2337</v>
      </c>
      <c r="C2195">
        <v>4065</v>
      </c>
      <c r="D2195">
        <v>-65</v>
      </c>
      <c r="E2195">
        <v>-1.57</v>
      </c>
      <c r="F2195" t="s">
        <v>397</v>
      </c>
      <c r="G2195" t="s">
        <v>397</v>
      </c>
      <c r="H2195" t="s">
        <v>397</v>
      </c>
      <c r="I2195" t="s">
        <v>397</v>
      </c>
      <c r="J2195">
        <v>3005</v>
      </c>
      <c r="K2195">
        <v>1.35</v>
      </c>
      <c r="L2195">
        <v>0</v>
      </c>
      <c r="M2195">
        <v>0</v>
      </c>
    </row>
    <row r="2196" spans="1:13">
      <c r="A2196" s="28">
        <v>73540</v>
      </c>
      <c r="B2196" t="s">
        <v>2338</v>
      </c>
      <c r="C2196">
        <v>2220</v>
      </c>
      <c r="D2196">
        <v>75</v>
      </c>
      <c r="E2196">
        <v>3.5</v>
      </c>
      <c r="F2196">
        <v>706</v>
      </c>
      <c r="G2196">
        <v>3.14</v>
      </c>
      <c r="H2196" t="s">
        <v>397</v>
      </c>
      <c r="I2196" t="s">
        <v>397</v>
      </c>
      <c r="J2196">
        <v>4923</v>
      </c>
      <c r="K2196">
        <v>0.45</v>
      </c>
      <c r="L2196">
        <v>0</v>
      </c>
      <c r="M2196">
        <v>0</v>
      </c>
    </row>
    <row r="2197" spans="1:13">
      <c r="A2197" s="28">
        <v>450080</v>
      </c>
      <c r="B2197" t="s">
        <v>2339</v>
      </c>
      <c r="C2197">
        <v>150200</v>
      </c>
      <c r="D2197">
        <v>-4000</v>
      </c>
      <c r="E2197">
        <v>-2.59</v>
      </c>
      <c r="F2197">
        <v>294</v>
      </c>
      <c r="G2197">
        <v>510.88</v>
      </c>
      <c r="H2197" t="s">
        <v>397</v>
      </c>
      <c r="I2197" t="s">
        <v>397</v>
      </c>
      <c r="J2197">
        <v>5428</v>
      </c>
      <c r="K2197">
        <v>27.67</v>
      </c>
      <c r="L2197">
        <v>0</v>
      </c>
      <c r="M2197">
        <v>0</v>
      </c>
    </row>
    <row r="2198" spans="1:13">
      <c r="A2198" s="28">
        <v>128540</v>
      </c>
      <c r="B2198" t="s">
        <v>2340</v>
      </c>
      <c r="C2198">
        <v>2445</v>
      </c>
      <c r="D2198">
        <v>-5</v>
      </c>
      <c r="E2198">
        <v>-0.2</v>
      </c>
      <c r="F2198" t="s">
        <v>397</v>
      </c>
      <c r="G2198" t="s">
        <v>397</v>
      </c>
      <c r="H2198" t="s">
        <v>397</v>
      </c>
      <c r="I2198" t="s">
        <v>397</v>
      </c>
      <c r="J2198">
        <v>3408</v>
      </c>
      <c r="K2198">
        <v>0.72</v>
      </c>
      <c r="L2198">
        <v>0</v>
      </c>
      <c r="M2198">
        <v>0</v>
      </c>
    </row>
    <row r="2199" spans="1:13">
      <c r="A2199" s="28">
        <v>97780</v>
      </c>
      <c r="B2199" t="s">
        <v>2341</v>
      </c>
      <c r="C2199">
        <v>1028</v>
      </c>
      <c r="D2199">
        <v>-4</v>
      </c>
      <c r="E2199">
        <v>-0.39</v>
      </c>
      <c r="F2199" t="s">
        <v>397</v>
      </c>
      <c r="G2199" t="s">
        <v>397</v>
      </c>
      <c r="H2199" t="s">
        <v>397</v>
      </c>
      <c r="I2199" t="s">
        <v>397</v>
      </c>
      <c r="J2199">
        <v>4117</v>
      </c>
      <c r="K2199">
        <v>0.25</v>
      </c>
      <c r="L2199">
        <v>0</v>
      </c>
      <c r="M2199">
        <v>0</v>
      </c>
    </row>
    <row r="2200" spans="1:13">
      <c r="A2200" s="28">
        <v>101400</v>
      </c>
      <c r="B2200" t="s">
        <v>2342</v>
      </c>
      <c r="C2200">
        <v>596</v>
      </c>
      <c r="D2200">
        <v>-5</v>
      </c>
      <c r="E2200">
        <v>-0.83</v>
      </c>
      <c r="F2200" t="s">
        <v>397</v>
      </c>
      <c r="G2200" t="s">
        <v>397</v>
      </c>
      <c r="H2200" t="s">
        <v>397</v>
      </c>
      <c r="I2200" t="s">
        <v>397</v>
      </c>
      <c r="J2200">
        <v>614</v>
      </c>
      <c r="K2200">
        <v>0.97</v>
      </c>
      <c r="L2200">
        <v>0</v>
      </c>
      <c r="M2200">
        <v>0</v>
      </c>
    </row>
    <row r="2201" spans="1:13">
      <c r="A2201" s="28">
        <v>38870</v>
      </c>
      <c r="B2201" t="s">
        <v>2343</v>
      </c>
      <c r="C2201">
        <v>5580</v>
      </c>
      <c r="D2201">
        <v>-30</v>
      </c>
      <c r="E2201">
        <v>-0.53</v>
      </c>
      <c r="F2201" t="s">
        <v>397</v>
      </c>
      <c r="G2201" t="s">
        <v>397</v>
      </c>
      <c r="H2201" t="s">
        <v>397</v>
      </c>
      <c r="I2201" t="s">
        <v>397</v>
      </c>
      <c r="J2201">
        <v>5888</v>
      </c>
      <c r="K2201">
        <v>0.95</v>
      </c>
      <c r="L2201">
        <v>0</v>
      </c>
      <c r="M2201">
        <v>0</v>
      </c>
    </row>
    <row r="2202" spans="1:13">
      <c r="A2202" s="28">
        <v>230240</v>
      </c>
      <c r="B2202" t="s">
        <v>2344</v>
      </c>
      <c r="C2202">
        <v>14380</v>
      </c>
      <c r="D2202">
        <v>80</v>
      </c>
      <c r="E2202">
        <v>0.56000000000000005</v>
      </c>
      <c r="F2202">
        <v>5127</v>
      </c>
      <c r="G2202">
        <v>2.8</v>
      </c>
      <c r="H2202" t="s">
        <v>397</v>
      </c>
      <c r="I2202" t="s">
        <v>397</v>
      </c>
      <c r="J2202">
        <v>13150</v>
      </c>
      <c r="K2202">
        <v>1.0900000000000001</v>
      </c>
      <c r="L2202">
        <v>0</v>
      </c>
      <c r="M2202">
        <v>0</v>
      </c>
    </row>
    <row r="2203" spans="1:13">
      <c r="A2203" s="28">
        <v>89970</v>
      </c>
      <c r="B2203" t="s">
        <v>2345</v>
      </c>
      <c r="C2203">
        <v>16090</v>
      </c>
      <c r="D2203">
        <v>240</v>
      </c>
      <c r="E2203">
        <v>1.51</v>
      </c>
      <c r="F2203">
        <v>1298</v>
      </c>
      <c r="G2203">
        <v>12.4</v>
      </c>
      <c r="H2203" t="s">
        <v>397</v>
      </c>
      <c r="I2203" t="s">
        <v>397</v>
      </c>
      <c r="J2203">
        <v>5529</v>
      </c>
      <c r="K2203">
        <v>2.91</v>
      </c>
      <c r="L2203">
        <v>0</v>
      </c>
      <c r="M2203">
        <v>0</v>
      </c>
    </row>
    <row r="2204" spans="1:13">
      <c r="A2204" s="28">
        <v>278470</v>
      </c>
      <c r="B2204" t="s">
        <v>2346</v>
      </c>
      <c r="C2204">
        <v>300500</v>
      </c>
      <c r="D2204">
        <v>10500</v>
      </c>
      <c r="E2204">
        <v>3.62</v>
      </c>
      <c r="F2204">
        <v>4221</v>
      </c>
      <c r="G2204">
        <v>71.19</v>
      </c>
      <c r="H2204" t="s">
        <v>397</v>
      </c>
      <c r="I2204" t="s">
        <v>397</v>
      </c>
      <c r="J2204">
        <v>13953</v>
      </c>
      <c r="K2204">
        <v>21.54</v>
      </c>
      <c r="L2204">
        <v>0</v>
      </c>
      <c r="M2204">
        <v>0</v>
      </c>
    </row>
    <row r="2205" spans="1:13">
      <c r="A2205" s="28">
        <v>397030</v>
      </c>
      <c r="B2205" t="s">
        <v>2347</v>
      </c>
      <c r="C2205">
        <v>17050</v>
      </c>
      <c r="D2205">
        <v>750</v>
      </c>
      <c r="E2205">
        <v>4.5999999999999996</v>
      </c>
      <c r="F2205" t="s">
        <v>397</v>
      </c>
      <c r="G2205" t="s">
        <v>397</v>
      </c>
      <c r="H2205">
        <v>266</v>
      </c>
      <c r="I2205">
        <v>64.11</v>
      </c>
      <c r="J2205">
        <v>3276</v>
      </c>
      <c r="K2205">
        <v>5.2</v>
      </c>
      <c r="L2205">
        <v>0</v>
      </c>
      <c r="M2205">
        <v>0</v>
      </c>
    </row>
    <row r="2206" spans="1:13">
      <c r="A2206" s="28">
        <v>3060</v>
      </c>
      <c r="B2206" t="s">
        <v>2348</v>
      </c>
      <c r="C2206">
        <v>171</v>
      </c>
      <c r="D2206">
        <v>-8</v>
      </c>
      <c r="E2206">
        <v>-4.47</v>
      </c>
      <c r="F2206">
        <v>19</v>
      </c>
      <c r="G2206">
        <v>9</v>
      </c>
      <c r="H2206" t="s">
        <v>397</v>
      </c>
      <c r="I2206" t="s">
        <v>397</v>
      </c>
      <c r="J2206">
        <v>720</v>
      </c>
      <c r="K2206">
        <v>0.24</v>
      </c>
      <c r="L2206">
        <v>0</v>
      </c>
      <c r="M2206">
        <v>0</v>
      </c>
    </row>
    <row r="2207" spans="1:13">
      <c r="A2207" s="28">
        <v>109960</v>
      </c>
      <c r="B2207" t="s">
        <v>2349</v>
      </c>
      <c r="C2207">
        <v>600</v>
      </c>
      <c r="D2207">
        <v>-30</v>
      </c>
      <c r="E2207">
        <v>-4.76</v>
      </c>
      <c r="F2207" t="s">
        <v>397</v>
      </c>
      <c r="G2207" t="s">
        <v>397</v>
      </c>
      <c r="H2207" t="s">
        <v>397</v>
      </c>
      <c r="I2207" t="s">
        <v>397</v>
      </c>
      <c r="J2207">
        <v>5570</v>
      </c>
      <c r="K2207">
        <v>0.11</v>
      </c>
      <c r="L2207">
        <v>0</v>
      </c>
      <c r="M2207">
        <v>0</v>
      </c>
    </row>
    <row r="2208" spans="1:13">
      <c r="A2208" s="28">
        <v>7460</v>
      </c>
      <c r="B2208" t="s">
        <v>2350</v>
      </c>
      <c r="C2208">
        <v>1072</v>
      </c>
      <c r="D2208">
        <v>42</v>
      </c>
      <c r="E2208">
        <v>4.08</v>
      </c>
      <c r="F2208" t="s">
        <v>397</v>
      </c>
      <c r="G2208" t="s">
        <v>397</v>
      </c>
      <c r="H2208" t="s">
        <v>397</v>
      </c>
      <c r="I2208" t="s">
        <v>397</v>
      </c>
      <c r="J2208">
        <v>923</v>
      </c>
      <c r="K2208">
        <v>1.1599999999999999</v>
      </c>
      <c r="L2208">
        <v>0</v>
      </c>
      <c r="M2208">
        <v>0</v>
      </c>
    </row>
    <row r="2209" spans="1:13">
      <c r="A2209" s="28">
        <v>262260</v>
      </c>
      <c r="B2209" t="s">
        <v>2351</v>
      </c>
      <c r="C2209">
        <v>13200</v>
      </c>
      <c r="D2209">
        <v>-310</v>
      </c>
      <c r="E2209">
        <v>-2.29</v>
      </c>
      <c r="F2209" t="s">
        <v>397</v>
      </c>
      <c r="G2209" t="s">
        <v>397</v>
      </c>
      <c r="H2209" t="s">
        <v>397</v>
      </c>
      <c r="I2209" t="s">
        <v>397</v>
      </c>
      <c r="J2209">
        <v>4153</v>
      </c>
      <c r="K2209">
        <v>3.18</v>
      </c>
      <c r="L2209">
        <v>0</v>
      </c>
      <c r="M2209">
        <v>0</v>
      </c>
    </row>
    <row r="2210" spans="1:13">
      <c r="A2210" s="28">
        <v>200470</v>
      </c>
      <c r="B2210" t="s">
        <v>2352</v>
      </c>
      <c r="C2210">
        <v>5910</v>
      </c>
      <c r="D2210">
        <v>1220</v>
      </c>
      <c r="E2210">
        <v>26.01</v>
      </c>
      <c r="F2210">
        <v>105</v>
      </c>
      <c r="G2210">
        <v>56.29</v>
      </c>
      <c r="H2210" t="s">
        <v>397</v>
      </c>
      <c r="I2210" t="s">
        <v>397</v>
      </c>
      <c r="J2210">
        <v>2805</v>
      </c>
      <c r="K2210">
        <v>2.11</v>
      </c>
      <c r="L2210">
        <v>0</v>
      </c>
      <c r="M2210">
        <v>0</v>
      </c>
    </row>
    <row r="2211" spans="1:13">
      <c r="A2211" s="28">
        <v>89530</v>
      </c>
      <c r="B2211" t="s">
        <v>2353</v>
      </c>
      <c r="C2211">
        <v>600</v>
      </c>
      <c r="D2211">
        <v>0</v>
      </c>
      <c r="E2211">
        <v>0</v>
      </c>
      <c r="F2211" t="s">
        <v>397</v>
      </c>
      <c r="G2211" t="s">
        <v>397</v>
      </c>
      <c r="H2211" t="s">
        <v>397</v>
      </c>
      <c r="I2211" t="s">
        <v>397</v>
      </c>
      <c r="J2211">
        <v>612</v>
      </c>
      <c r="K2211">
        <v>0.98</v>
      </c>
      <c r="L2211">
        <v>0</v>
      </c>
      <c r="M2211">
        <v>0</v>
      </c>
    </row>
    <row r="2212" spans="1:13">
      <c r="A2212" s="28">
        <v>236810</v>
      </c>
      <c r="B2212" t="s">
        <v>2354</v>
      </c>
      <c r="C2212">
        <v>6930</v>
      </c>
      <c r="D2212">
        <v>-140</v>
      </c>
      <c r="E2212">
        <v>-1.98</v>
      </c>
      <c r="F2212" t="s">
        <v>397</v>
      </c>
      <c r="G2212" t="s">
        <v>397</v>
      </c>
      <c r="H2212" t="s">
        <v>397</v>
      </c>
      <c r="I2212" t="s">
        <v>397</v>
      </c>
      <c r="J2212">
        <v>2248</v>
      </c>
      <c r="K2212">
        <v>3.08</v>
      </c>
      <c r="L2212">
        <v>0</v>
      </c>
      <c r="M2212">
        <v>0</v>
      </c>
    </row>
    <row r="2213" spans="1:13">
      <c r="A2213" s="28">
        <v>391060</v>
      </c>
      <c r="B2213" t="s">
        <v>2355</v>
      </c>
      <c r="C2213">
        <v>10260</v>
      </c>
      <c r="D2213">
        <v>30</v>
      </c>
      <c r="E2213">
        <v>0.28999999999999998</v>
      </c>
      <c r="F2213" t="s">
        <v>397</v>
      </c>
      <c r="G2213" t="s">
        <v>397</v>
      </c>
      <c r="H2213" t="s">
        <v>397</v>
      </c>
      <c r="I2213" t="s">
        <v>397</v>
      </c>
      <c r="J2213" t="s">
        <v>397</v>
      </c>
      <c r="K2213" t="s">
        <v>397</v>
      </c>
      <c r="L2213">
        <v>0</v>
      </c>
      <c r="M2213">
        <v>0</v>
      </c>
    </row>
    <row r="2214" spans="1:13">
      <c r="A2214" s="28">
        <v>373170</v>
      </c>
      <c r="B2214" t="s">
        <v>2356</v>
      </c>
      <c r="C2214">
        <v>13500</v>
      </c>
      <c r="D2214">
        <v>-20</v>
      </c>
      <c r="E2214">
        <v>-0.15</v>
      </c>
      <c r="F2214">
        <v>898</v>
      </c>
      <c r="G2214">
        <v>15.03</v>
      </c>
      <c r="H2214" t="s">
        <v>397</v>
      </c>
      <c r="I2214" t="s">
        <v>397</v>
      </c>
      <c r="J2214">
        <v>1445</v>
      </c>
      <c r="K2214">
        <v>9.34</v>
      </c>
      <c r="L2214">
        <v>0</v>
      </c>
      <c r="M2214">
        <v>0</v>
      </c>
    </row>
    <row r="2215" spans="1:13">
      <c r="A2215" s="28">
        <v>348370</v>
      </c>
      <c r="B2215" t="s">
        <v>2357</v>
      </c>
      <c r="C2215">
        <v>231000</v>
      </c>
      <c r="D2215">
        <v>-1500</v>
      </c>
      <c r="E2215">
        <v>-0.65</v>
      </c>
      <c r="F2215">
        <v>1419</v>
      </c>
      <c r="G2215">
        <v>162.79</v>
      </c>
      <c r="H2215" t="s">
        <v>397</v>
      </c>
      <c r="I2215" t="s">
        <v>397</v>
      </c>
      <c r="J2215">
        <v>17886</v>
      </c>
      <c r="K2215">
        <v>12.92</v>
      </c>
      <c r="L2215">
        <v>0</v>
      </c>
      <c r="M2215">
        <v>0</v>
      </c>
    </row>
    <row r="2216" spans="1:13">
      <c r="A2216" s="28">
        <v>58970</v>
      </c>
      <c r="B2216" t="s">
        <v>2358</v>
      </c>
      <c r="C2216">
        <v>57600</v>
      </c>
      <c r="D2216">
        <v>2900</v>
      </c>
      <c r="E2216">
        <v>5.3</v>
      </c>
      <c r="F2216">
        <v>578</v>
      </c>
      <c r="G2216">
        <v>99.65</v>
      </c>
      <c r="H2216" t="s">
        <v>397</v>
      </c>
      <c r="I2216" t="s">
        <v>397</v>
      </c>
      <c r="J2216">
        <v>4519</v>
      </c>
      <c r="K2216">
        <v>12.75</v>
      </c>
      <c r="L2216">
        <v>0</v>
      </c>
      <c r="M2216">
        <v>0</v>
      </c>
    </row>
    <row r="2217" spans="1:13">
      <c r="A2217" s="28">
        <v>58630</v>
      </c>
      <c r="B2217" t="s">
        <v>2359</v>
      </c>
      <c r="C2217">
        <v>5780</v>
      </c>
      <c r="D2217">
        <v>-60</v>
      </c>
      <c r="E2217">
        <v>-1.03</v>
      </c>
      <c r="F2217">
        <v>1162</v>
      </c>
      <c r="G2217">
        <v>4.97</v>
      </c>
      <c r="H2217" t="s">
        <v>397</v>
      </c>
      <c r="I2217" t="s">
        <v>397</v>
      </c>
      <c r="J2217">
        <v>4868</v>
      </c>
      <c r="K2217">
        <v>1.19</v>
      </c>
      <c r="L2217">
        <v>0</v>
      </c>
      <c r="M2217">
        <v>0</v>
      </c>
    </row>
    <row r="2218" spans="1:13">
      <c r="A2218" s="28">
        <v>170920</v>
      </c>
      <c r="B2218" t="s">
        <v>2360</v>
      </c>
      <c r="C2218">
        <v>14030</v>
      </c>
      <c r="D2218">
        <v>-280</v>
      </c>
      <c r="E2218">
        <v>-1.96</v>
      </c>
      <c r="F2218">
        <v>275</v>
      </c>
      <c r="G2218">
        <v>51.02</v>
      </c>
      <c r="H2218" t="s">
        <v>397</v>
      </c>
      <c r="I2218" t="s">
        <v>397</v>
      </c>
      <c r="J2218">
        <v>10649</v>
      </c>
      <c r="K2218">
        <v>1.32</v>
      </c>
      <c r="L2218">
        <v>0</v>
      </c>
      <c r="M2218">
        <v>0</v>
      </c>
    </row>
    <row r="2219" spans="1:13">
      <c r="A2219" s="28">
        <v>37950</v>
      </c>
      <c r="B2219" t="s">
        <v>2361</v>
      </c>
      <c r="C2219">
        <v>1349</v>
      </c>
      <c r="D2219">
        <v>46</v>
      </c>
      <c r="E2219">
        <v>3.53</v>
      </c>
      <c r="F2219">
        <v>93</v>
      </c>
      <c r="G2219">
        <v>14.51</v>
      </c>
      <c r="H2219" t="s">
        <v>397</v>
      </c>
      <c r="I2219" t="s">
        <v>397</v>
      </c>
      <c r="J2219">
        <v>863</v>
      </c>
      <c r="K2219">
        <v>1.56</v>
      </c>
      <c r="L2219">
        <v>0</v>
      </c>
      <c r="M2219">
        <v>0</v>
      </c>
    </row>
    <row r="2220" spans="1:13">
      <c r="A2220" s="28">
        <v>156100</v>
      </c>
      <c r="B2220" t="s">
        <v>2362</v>
      </c>
      <c r="C2220">
        <v>8420</v>
      </c>
      <c r="D2220">
        <v>120</v>
      </c>
      <c r="E2220">
        <v>1.45</v>
      </c>
      <c r="F2220" t="s">
        <v>397</v>
      </c>
      <c r="G2220" t="s">
        <v>397</v>
      </c>
      <c r="H2220" t="s">
        <v>397</v>
      </c>
      <c r="I2220" t="s">
        <v>397</v>
      </c>
      <c r="J2220">
        <v>824</v>
      </c>
      <c r="K2220">
        <v>10.220000000000001</v>
      </c>
      <c r="L2220">
        <v>0</v>
      </c>
      <c r="M2220">
        <v>0</v>
      </c>
    </row>
    <row r="2221" spans="1:13">
      <c r="A2221" s="28">
        <v>96870</v>
      </c>
      <c r="B2221" t="s">
        <v>2363</v>
      </c>
      <c r="C2221">
        <v>2840</v>
      </c>
      <c r="D2221">
        <v>5</v>
      </c>
      <c r="E2221">
        <v>0.18</v>
      </c>
      <c r="F2221">
        <v>293</v>
      </c>
      <c r="G2221">
        <v>9.69</v>
      </c>
      <c r="H2221" t="s">
        <v>397</v>
      </c>
      <c r="I2221" t="s">
        <v>397</v>
      </c>
      <c r="J2221">
        <v>2308</v>
      </c>
      <c r="K2221">
        <v>1.23</v>
      </c>
      <c r="L2221">
        <v>0</v>
      </c>
      <c r="M2221">
        <v>0</v>
      </c>
    </row>
    <row r="2222" spans="1:13">
      <c r="A2222" s="28">
        <v>198080</v>
      </c>
      <c r="B2222" t="s">
        <v>2364</v>
      </c>
      <c r="C2222">
        <v>2420</v>
      </c>
      <c r="D2222">
        <v>-65</v>
      </c>
      <c r="E2222">
        <v>-2.62</v>
      </c>
      <c r="F2222" t="s">
        <v>397</v>
      </c>
      <c r="G2222" t="s">
        <v>397</v>
      </c>
      <c r="H2222" t="s">
        <v>397</v>
      </c>
      <c r="I2222" t="s">
        <v>397</v>
      </c>
      <c r="J2222">
        <v>4249</v>
      </c>
      <c r="K2222">
        <v>0.56999999999999995</v>
      </c>
      <c r="L2222">
        <v>0</v>
      </c>
      <c r="M2222">
        <v>0</v>
      </c>
    </row>
    <row r="2223" spans="1:13">
      <c r="A2223" s="28">
        <v>291230</v>
      </c>
      <c r="B2223" t="s">
        <v>2365</v>
      </c>
      <c r="C2223">
        <v>3075</v>
      </c>
      <c r="D2223">
        <v>-60</v>
      </c>
      <c r="E2223">
        <v>-1.91</v>
      </c>
      <c r="F2223" t="s">
        <v>397</v>
      </c>
      <c r="G2223" t="s">
        <v>397</v>
      </c>
      <c r="H2223" t="s">
        <v>397</v>
      </c>
      <c r="I2223" t="s">
        <v>397</v>
      </c>
      <c r="J2223">
        <v>732</v>
      </c>
      <c r="K2223">
        <v>4.2</v>
      </c>
      <c r="L2223">
        <v>0</v>
      </c>
      <c r="M2223">
        <v>0</v>
      </c>
    </row>
    <row r="2224" spans="1:13">
      <c r="A2224" s="28">
        <v>227950</v>
      </c>
      <c r="B2224" t="s">
        <v>2366</v>
      </c>
      <c r="C2224">
        <v>786</v>
      </c>
      <c r="D2224">
        <v>28</v>
      </c>
      <c r="E2224">
        <v>3.69</v>
      </c>
      <c r="F2224">
        <v>9</v>
      </c>
      <c r="G2224">
        <v>87.33</v>
      </c>
      <c r="H2224" t="s">
        <v>397</v>
      </c>
      <c r="I2224" t="s">
        <v>397</v>
      </c>
      <c r="J2224">
        <v>962</v>
      </c>
      <c r="K2224">
        <v>0.82</v>
      </c>
      <c r="L2224">
        <v>0</v>
      </c>
      <c r="M2224">
        <v>0</v>
      </c>
    </row>
    <row r="2225" spans="1:13">
      <c r="A2225" s="28">
        <v>69410</v>
      </c>
      <c r="B2225" t="s">
        <v>2367</v>
      </c>
      <c r="C2225">
        <v>5120</v>
      </c>
      <c r="D2225">
        <v>-110</v>
      </c>
      <c r="E2225">
        <v>-2.1</v>
      </c>
      <c r="F2225">
        <v>12</v>
      </c>
      <c r="G2225">
        <v>426.67</v>
      </c>
      <c r="H2225" t="s">
        <v>397</v>
      </c>
      <c r="I2225" t="s">
        <v>397</v>
      </c>
      <c r="J2225">
        <v>5273</v>
      </c>
      <c r="K2225">
        <v>0.97</v>
      </c>
      <c r="L2225">
        <v>0</v>
      </c>
      <c r="M2225">
        <v>0</v>
      </c>
    </row>
    <row r="2226" spans="1:13">
      <c r="A2226" s="28">
        <v>58450</v>
      </c>
      <c r="B2226" t="s">
        <v>2368</v>
      </c>
      <c r="C2226">
        <v>3000</v>
      </c>
      <c r="D2226">
        <v>75</v>
      </c>
      <c r="E2226">
        <v>2.56</v>
      </c>
      <c r="F2226" t="s">
        <v>397</v>
      </c>
      <c r="G2226" t="s">
        <v>397</v>
      </c>
      <c r="H2226" t="s">
        <v>397</v>
      </c>
      <c r="I2226" t="s">
        <v>397</v>
      </c>
      <c r="J2226">
        <v>1410</v>
      </c>
      <c r="K2226">
        <v>2.13</v>
      </c>
      <c r="L2226">
        <v>0</v>
      </c>
      <c r="M2226">
        <v>0</v>
      </c>
    </row>
    <row r="2227" spans="1:13">
      <c r="A2227" s="28">
        <v>182400</v>
      </c>
      <c r="B2227" t="s">
        <v>2369</v>
      </c>
      <c r="C2227">
        <v>1950</v>
      </c>
      <c r="D2227">
        <v>54</v>
      </c>
      <c r="E2227">
        <v>2.85</v>
      </c>
      <c r="F2227" t="s">
        <v>397</v>
      </c>
      <c r="G2227" t="s">
        <v>397</v>
      </c>
      <c r="H2227" t="s">
        <v>397</v>
      </c>
      <c r="I2227" t="s">
        <v>397</v>
      </c>
      <c r="J2227">
        <v>1079</v>
      </c>
      <c r="K2227">
        <v>1.81</v>
      </c>
      <c r="L2227">
        <v>0</v>
      </c>
      <c r="M2227">
        <v>0</v>
      </c>
    </row>
    <row r="2228" spans="1:13">
      <c r="A2228" s="28">
        <v>422040</v>
      </c>
      <c r="B2228" t="s">
        <v>2370</v>
      </c>
      <c r="C2228">
        <v>2140</v>
      </c>
      <c r="D2228">
        <v>-10</v>
      </c>
      <c r="E2228">
        <v>-0.47</v>
      </c>
      <c r="F2228" t="s">
        <v>397</v>
      </c>
      <c r="G2228" t="s">
        <v>397</v>
      </c>
      <c r="H2228" t="s">
        <v>397</v>
      </c>
      <c r="I2228" t="s">
        <v>397</v>
      </c>
      <c r="J2228" t="s">
        <v>397</v>
      </c>
      <c r="K2228" t="s">
        <v>397</v>
      </c>
      <c r="L2228">
        <v>0</v>
      </c>
      <c r="M2228">
        <v>0</v>
      </c>
    </row>
    <row r="2229" spans="1:13">
      <c r="A2229" s="28">
        <v>85310</v>
      </c>
      <c r="B2229" t="s">
        <v>2371</v>
      </c>
      <c r="C2229">
        <v>917</v>
      </c>
      <c r="D2229">
        <v>-13</v>
      </c>
      <c r="E2229">
        <v>-1.4</v>
      </c>
      <c r="F2229">
        <v>136</v>
      </c>
      <c r="G2229">
        <v>6.74</v>
      </c>
      <c r="H2229" t="s">
        <v>397</v>
      </c>
      <c r="I2229" t="s">
        <v>397</v>
      </c>
      <c r="J2229">
        <v>1457</v>
      </c>
      <c r="K2229">
        <v>0.63</v>
      </c>
      <c r="L2229">
        <v>0</v>
      </c>
      <c r="M2229">
        <v>0</v>
      </c>
    </row>
    <row r="2230" spans="1:13">
      <c r="A2230" s="28">
        <v>183490</v>
      </c>
      <c r="B2230" t="s">
        <v>2372</v>
      </c>
      <c r="C2230">
        <v>1657</v>
      </c>
      <c r="D2230">
        <v>-3</v>
      </c>
      <c r="E2230">
        <v>-0.18</v>
      </c>
      <c r="F2230" t="s">
        <v>397</v>
      </c>
      <c r="G2230" t="s">
        <v>397</v>
      </c>
      <c r="H2230" t="s">
        <v>397</v>
      </c>
      <c r="I2230" t="s">
        <v>397</v>
      </c>
      <c r="J2230">
        <v>2394</v>
      </c>
      <c r="K2230">
        <v>0.69</v>
      </c>
      <c r="L2230">
        <v>0</v>
      </c>
      <c r="M2230">
        <v>0</v>
      </c>
    </row>
    <row r="2231" spans="1:13">
      <c r="A2231" s="28">
        <v>208860</v>
      </c>
      <c r="B2231" t="s">
        <v>2373</v>
      </c>
      <c r="C2231">
        <v>2205</v>
      </c>
      <c r="D2231">
        <v>0</v>
      </c>
      <c r="E2231">
        <v>0</v>
      </c>
      <c r="F2231" t="s">
        <v>397</v>
      </c>
      <c r="G2231" t="s">
        <v>397</v>
      </c>
      <c r="H2231" t="s">
        <v>397</v>
      </c>
      <c r="I2231" t="s">
        <v>397</v>
      </c>
      <c r="J2231">
        <v>584</v>
      </c>
      <c r="K2231">
        <v>3.78</v>
      </c>
      <c r="L2231">
        <v>0</v>
      </c>
      <c r="M2231">
        <v>0</v>
      </c>
    </row>
    <row r="2232" spans="1:13">
      <c r="A2232" s="28">
        <v>419080</v>
      </c>
      <c r="B2232" t="s">
        <v>2374</v>
      </c>
      <c r="C2232">
        <v>13000</v>
      </c>
      <c r="D2232">
        <v>-360</v>
      </c>
      <c r="E2232">
        <v>-2.69</v>
      </c>
      <c r="F2232">
        <v>476</v>
      </c>
      <c r="G2232">
        <v>27.31</v>
      </c>
      <c r="H2232" t="s">
        <v>397</v>
      </c>
      <c r="I2232" t="s">
        <v>397</v>
      </c>
      <c r="J2232">
        <v>4504</v>
      </c>
      <c r="K2232">
        <v>2.89</v>
      </c>
      <c r="L2232">
        <v>0</v>
      </c>
      <c r="M2232">
        <v>0</v>
      </c>
    </row>
    <row r="2233" spans="1:13">
      <c r="A2233" s="28">
        <v>354200</v>
      </c>
      <c r="B2233" t="s">
        <v>2375</v>
      </c>
      <c r="C2233">
        <v>4700</v>
      </c>
      <c r="D2233">
        <v>-10</v>
      </c>
      <c r="E2233">
        <v>-0.21</v>
      </c>
      <c r="F2233" t="s">
        <v>397</v>
      </c>
      <c r="G2233" t="s">
        <v>397</v>
      </c>
      <c r="H2233" t="s">
        <v>397</v>
      </c>
      <c r="I2233" t="s">
        <v>397</v>
      </c>
      <c r="J2233">
        <v>2020</v>
      </c>
      <c r="K2233">
        <v>2.33</v>
      </c>
      <c r="L2233">
        <v>0</v>
      </c>
      <c r="M2233">
        <v>0</v>
      </c>
    </row>
    <row r="2234" spans="1:13">
      <c r="A2234" s="28">
        <v>466910</v>
      </c>
      <c r="B2234" t="s">
        <v>2376</v>
      </c>
      <c r="C2234">
        <v>2020</v>
      </c>
      <c r="D2234">
        <v>0</v>
      </c>
      <c r="E2234">
        <v>0</v>
      </c>
      <c r="F2234" t="s">
        <v>397</v>
      </c>
      <c r="G2234" t="s">
        <v>397</v>
      </c>
      <c r="H2234" t="s">
        <v>397</v>
      </c>
      <c r="I2234" t="s">
        <v>397</v>
      </c>
      <c r="J2234" t="s">
        <v>397</v>
      </c>
      <c r="K2234" t="s">
        <v>397</v>
      </c>
      <c r="L2234">
        <v>0</v>
      </c>
      <c r="M2234">
        <v>0</v>
      </c>
    </row>
    <row r="2235" spans="1:13">
      <c r="A2235" s="28">
        <v>451700</v>
      </c>
      <c r="B2235" t="s">
        <v>2377</v>
      </c>
      <c r="C2235">
        <v>2020</v>
      </c>
      <c r="D2235">
        <v>10</v>
      </c>
      <c r="E2235">
        <v>0.5</v>
      </c>
      <c r="F2235" t="s">
        <v>397</v>
      </c>
      <c r="G2235" t="s">
        <v>397</v>
      </c>
      <c r="H2235" t="s">
        <v>397</v>
      </c>
      <c r="I2235" t="s">
        <v>397</v>
      </c>
      <c r="J2235" t="s">
        <v>397</v>
      </c>
      <c r="K2235" t="s">
        <v>397</v>
      </c>
      <c r="L2235">
        <v>0</v>
      </c>
      <c r="M2235">
        <v>0</v>
      </c>
    </row>
    <row r="2236" spans="1:13">
      <c r="A2236" s="28">
        <v>440820</v>
      </c>
      <c r="B2236" t="s">
        <v>2378</v>
      </c>
      <c r="C2236">
        <v>2065</v>
      </c>
      <c r="D2236">
        <v>0</v>
      </c>
      <c r="E2236">
        <v>0</v>
      </c>
      <c r="F2236" t="s">
        <v>397</v>
      </c>
      <c r="G2236" t="s">
        <v>397</v>
      </c>
      <c r="H2236" t="s">
        <v>397</v>
      </c>
      <c r="I2236" t="s">
        <v>397</v>
      </c>
      <c r="J2236" t="s">
        <v>397</v>
      </c>
      <c r="K2236" t="s">
        <v>397</v>
      </c>
      <c r="L2236">
        <v>0</v>
      </c>
      <c r="M2236">
        <v>0</v>
      </c>
    </row>
    <row r="2237" spans="1:13">
      <c r="A2237" s="28">
        <v>439410</v>
      </c>
      <c r="B2237" t="s">
        <v>2379</v>
      </c>
      <c r="C2237">
        <v>2055</v>
      </c>
      <c r="D2237">
        <v>-5</v>
      </c>
      <c r="E2237">
        <v>-0.24</v>
      </c>
      <c r="F2237" t="s">
        <v>397</v>
      </c>
      <c r="G2237" t="s">
        <v>397</v>
      </c>
      <c r="H2237" t="s">
        <v>397</v>
      </c>
      <c r="I2237" t="s">
        <v>397</v>
      </c>
      <c r="J2237" t="s">
        <v>397</v>
      </c>
      <c r="K2237" t="s">
        <v>397</v>
      </c>
      <c r="L2237">
        <v>0</v>
      </c>
      <c r="M2237">
        <v>0</v>
      </c>
    </row>
    <row r="2238" spans="1:13">
      <c r="A2238" s="28">
        <v>438580</v>
      </c>
      <c r="B2238" t="s">
        <v>2380</v>
      </c>
      <c r="C2238">
        <v>2325</v>
      </c>
      <c r="D2238">
        <v>10</v>
      </c>
      <c r="E2238">
        <v>0.43</v>
      </c>
      <c r="F2238" t="s">
        <v>397</v>
      </c>
      <c r="G2238" t="s">
        <v>397</v>
      </c>
      <c r="H2238" t="s">
        <v>397</v>
      </c>
      <c r="I2238" t="s">
        <v>397</v>
      </c>
      <c r="J2238" t="s">
        <v>397</v>
      </c>
      <c r="K2238" t="s">
        <v>397</v>
      </c>
      <c r="L2238">
        <v>0</v>
      </c>
      <c r="M2238">
        <v>0</v>
      </c>
    </row>
    <row r="2239" spans="1:13">
      <c r="A2239" s="28">
        <v>437780</v>
      </c>
      <c r="B2239" t="s">
        <v>2381</v>
      </c>
      <c r="C2239">
        <v>2165</v>
      </c>
      <c r="D2239">
        <v>15</v>
      </c>
      <c r="E2239">
        <v>0.7</v>
      </c>
      <c r="F2239" t="s">
        <v>397</v>
      </c>
      <c r="G2239" t="s">
        <v>397</v>
      </c>
      <c r="H2239" t="s">
        <v>397</v>
      </c>
      <c r="I2239" t="s">
        <v>397</v>
      </c>
      <c r="J2239" t="s">
        <v>397</v>
      </c>
      <c r="K2239" t="s">
        <v>397</v>
      </c>
      <c r="L2239">
        <v>0</v>
      </c>
      <c r="M2239">
        <v>0</v>
      </c>
    </row>
    <row r="2240" spans="1:13">
      <c r="A2240" s="28">
        <v>71670</v>
      </c>
      <c r="B2240" t="s">
        <v>2382</v>
      </c>
      <c r="C2240">
        <v>10100</v>
      </c>
      <c r="D2240">
        <v>-40</v>
      </c>
      <c r="E2240">
        <v>-0.39</v>
      </c>
      <c r="F2240">
        <v>479</v>
      </c>
      <c r="G2240">
        <v>21.09</v>
      </c>
      <c r="H2240" t="s">
        <v>397</v>
      </c>
      <c r="I2240" t="s">
        <v>397</v>
      </c>
      <c r="J2240">
        <v>8402</v>
      </c>
      <c r="K2240">
        <v>1.2</v>
      </c>
      <c r="L2240">
        <v>0</v>
      </c>
      <c r="M2240">
        <v>0</v>
      </c>
    </row>
    <row r="2241" spans="1:13">
      <c r="A2241" s="28">
        <v>355690</v>
      </c>
      <c r="B2241" t="s">
        <v>2383</v>
      </c>
      <c r="C2241">
        <v>13930</v>
      </c>
      <c r="D2241">
        <v>-180</v>
      </c>
      <c r="E2241">
        <v>-1.28</v>
      </c>
      <c r="F2241" t="s">
        <v>397</v>
      </c>
      <c r="G2241" t="s">
        <v>397</v>
      </c>
      <c r="H2241" t="s">
        <v>397</v>
      </c>
      <c r="I2241" t="s">
        <v>397</v>
      </c>
      <c r="J2241">
        <v>495</v>
      </c>
      <c r="K2241">
        <v>28.14</v>
      </c>
      <c r="L2241">
        <v>0</v>
      </c>
      <c r="M2241">
        <v>0</v>
      </c>
    </row>
    <row r="2242" spans="1:13">
      <c r="A2242" s="28">
        <v>148930</v>
      </c>
      <c r="B2242" t="s">
        <v>2384</v>
      </c>
      <c r="C2242">
        <v>7090</v>
      </c>
      <c r="D2242">
        <v>10</v>
      </c>
      <c r="E2242">
        <v>0.14000000000000001</v>
      </c>
      <c r="F2242">
        <v>227</v>
      </c>
      <c r="G2242">
        <v>31.23</v>
      </c>
      <c r="H2242" t="s">
        <v>397</v>
      </c>
      <c r="I2242" t="s">
        <v>397</v>
      </c>
      <c r="J2242">
        <v>5458</v>
      </c>
      <c r="K2242">
        <v>1.3</v>
      </c>
      <c r="L2242">
        <v>0</v>
      </c>
      <c r="M2242">
        <v>0</v>
      </c>
    </row>
    <row r="2243" spans="1:13">
      <c r="A2243" s="28">
        <v>95910</v>
      </c>
      <c r="B2243" t="s">
        <v>2385</v>
      </c>
      <c r="C2243">
        <v>1811</v>
      </c>
      <c r="D2243">
        <v>1</v>
      </c>
      <c r="E2243">
        <v>0.06</v>
      </c>
      <c r="F2243" t="s">
        <v>397</v>
      </c>
      <c r="G2243" t="s">
        <v>397</v>
      </c>
      <c r="H2243" t="s">
        <v>397</v>
      </c>
      <c r="I2243" t="s">
        <v>397</v>
      </c>
      <c r="J2243">
        <v>3518</v>
      </c>
      <c r="K2243">
        <v>0.51</v>
      </c>
      <c r="L2243">
        <v>0</v>
      </c>
      <c r="M2243">
        <v>0</v>
      </c>
    </row>
    <row r="2244" spans="1:13">
      <c r="A2244" s="28">
        <v>435870</v>
      </c>
      <c r="B2244" t="s">
        <v>2386</v>
      </c>
      <c r="C2244">
        <v>2240</v>
      </c>
      <c r="D2244">
        <v>0</v>
      </c>
      <c r="E2244">
        <v>0</v>
      </c>
      <c r="F2244" t="s">
        <v>397</v>
      </c>
      <c r="G2244" t="s">
        <v>397</v>
      </c>
      <c r="H2244" t="s">
        <v>397</v>
      </c>
      <c r="I2244" t="s">
        <v>397</v>
      </c>
      <c r="J2244" t="s">
        <v>397</v>
      </c>
      <c r="K2244" t="s">
        <v>397</v>
      </c>
      <c r="L2244">
        <v>0</v>
      </c>
      <c r="M2244">
        <v>0</v>
      </c>
    </row>
    <row r="2245" spans="1:13">
      <c r="A2245" s="28">
        <v>472230</v>
      </c>
      <c r="B2245" t="s">
        <v>2387</v>
      </c>
      <c r="C2245">
        <v>2095</v>
      </c>
      <c r="D2245">
        <v>0</v>
      </c>
      <c r="E2245">
        <v>0</v>
      </c>
      <c r="F2245" t="s">
        <v>397</v>
      </c>
      <c r="G2245" t="s">
        <v>397</v>
      </c>
      <c r="H2245" t="s">
        <v>397</v>
      </c>
      <c r="I2245" t="s">
        <v>397</v>
      </c>
      <c r="J2245" t="s">
        <v>397</v>
      </c>
      <c r="K2245" t="s">
        <v>397</v>
      </c>
      <c r="L2245">
        <v>0</v>
      </c>
      <c r="M2245">
        <v>0</v>
      </c>
    </row>
    <row r="2246" spans="1:13">
      <c r="A2246" s="28">
        <v>457940</v>
      </c>
      <c r="B2246" t="s">
        <v>2388</v>
      </c>
      <c r="C2246">
        <v>2340</v>
      </c>
      <c r="D2246">
        <v>10</v>
      </c>
      <c r="E2246">
        <v>0.43</v>
      </c>
      <c r="F2246" t="s">
        <v>397</v>
      </c>
      <c r="G2246" t="s">
        <v>397</v>
      </c>
      <c r="H2246" t="s">
        <v>397</v>
      </c>
      <c r="I2246" t="s">
        <v>397</v>
      </c>
      <c r="J2246" t="s">
        <v>397</v>
      </c>
      <c r="K2246" t="s">
        <v>397</v>
      </c>
      <c r="L2246">
        <v>0</v>
      </c>
      <c r="M2246">
        <v>0</v>
      </c>
    </row>
    <row r="2247" spans="1:13">
      <c r="A2247" s="28">
        <v>31860</v>
      </c>
      <c r="B2247" t="s">
        <v>2389</v>
      </c>
      <c r="C2247">
        <v>195</v>
      </c>
      <c r="D2247">
        <v>-4</v>
      </c>
      <c r="E2247">
        <v>-2.0099999999999998</v>
      </c>
      <c r="F2247" t="s">
        <v>397</v>
      </c>
      <c r="G2247" t="s">
        <v>397</v>
      </c>
      <c r="H2247" t="s">
        <v>397</v>
      </c>
      <c r="I2247" t="s">
        <v>397</v>
      </c>
      <c r="J2247">
        <v>688</v>
      </c>
      <c r="K2247">
        <v>0.28000000000000003</v>
      </c>
      <c r="L2247">
        <v>0</v>
      </c>
      <c r="M2247">
        <v>0</v>
      </c>
    </row>
    <row r="2248" spans="1:13">
      <c r="A2248" s="28">
        <v>365330</v>
      </c>
      <c r="B2248" t="s">
        <v>2390</v>
      </c>
      <c r="C2248">
        <v>3020</v>
      </c>
      <c r="D2248">
        <v>45</v>
      </c>
      <c r="E2248">
        <v>1.51</v>
      </c>
      <c r="F2248">
        <v>253</v>
      </c>
      <c r="G2248">
        <v>11.94</v>
      </c>
      <c r="H2248" t="s">
        <v>397</v>
      </c>
      <c r="I2248" t="s">
        <v>397</v>
      </c>
      <c r="J2248">
        <v>954</v>
      </c>
      <c r="K2248">
        <v>3.17</v>
      </c>
      <c r="L2248">
        <v>0</v>
      </c>
      <c r="M2248">
        <v>0</v>
      </c>
    </row>
    <row r="2249" spans="1:13">
      <c r="A2249" s="28">
        <v>109610</v>
      </c>
      <c r="B2249" t="s">
        <v>2391</v>
      </c>
      <c r="C2249">
        <v>4845</v>
      </c>
      <c r="D2249">
        <v>385</v>
      </c>
      <c r="E2249">
        <v>8.6300000000000008</v>
      </c>
      <c r="F2249">
        <v>169</v>
      </c>
      <c r="G2249">
        <v>28.67</v>
      </c>
      <c r="H2249" t="s">
        <v>397</v>
      </c>
      <c r="I2249" t="s">
        <v>397</v>
      </c>
      <c r="J2249">
        <v>3719</v>
      </c>
      <c r="K2249">
        <v>1.3</v>
      </c>
      <c r="L2249">
        <v>0</v>
      </c>
      <c r="M2249">
        <v>0</v>
      </c>
    </row>
    <row r="2250" spans="1:13">
      <c r="A2250" s="28">
        <v>10580</v>
      </c>
      <c r="B2250" t="s">
        <v>2392</v>
      </c>
      <c r="C2250">
        <v>1611</v>
      </c>
      <c r="D2250">
        <v>4</v>
      </c>
      <c r="E2250">
        <v>0.25</v>
      </c>
      <c r="F2250">
        <v>92</v>
      </c>
      <c r="G2250">
        <v>17.510000000000002</v>
      </c>
      <c r="H2250" t="s">
        <v>397</v>
      </c>
      <c r="I2250" t="s">
        <v>397</v>
      </c>
      <c r="J2250">
        <v>603</v>
      </c>
      <c r="K2250">
        <v>2.67</v>
      </c>
      <c r="L2250">
        <v>0</v>
      </c>
      <c r="M2250">
        <v>0</v>
      </c>
    </row>
    <row r="2251" spans="1:13">
      <c r="A2251" s="28">
        <v>246250</v>
      </c>
      <c r="B2251" t="s">
        <v>2393</v>
      </c>
      <c r="C2251">
        <v>5260</v>
      </c>
      <c r="D2251">
        <v>-50</v>
      </c>
      <c r="E2251">
        <v>-0.94</v>
      </c>
      <c r="F2251">
        <v>412</v>
      </c>
      <c r="G2251">
        <v>12.77</v>
      </c>
      <c r="H2251" t="s">
        <v>397</v>
      </c>
      <c r="I2251" t="s">
        <v>397</v>
      </c>
      <c r="J2251">
        <v>977</v>
      </c>
      <c r="K2251">
        <v>5.38</v>
      </c>
      <c r="L2251">
        <v>0</v>
      </c>
      <c r="M2251">
        <v>0</v>
      </c>
    </row>
    <row r="2252" spans="1:13">
      <c r="A2252" s="28">
        <v>214310</v>
      </c>
      <c r="B2252" t="s">
        <v>2394</v>
      </c>
      <c r="C2252">
        <v>306</v>
      </c>
      <c r="D2252">
        <v>0</v>
      </c>
      <c r="E2252">
        <v>0</v>
      </c>
      <c r="F2252" t="s">
        <v>397</v>
      </c>
      <c r="G2252" t="s">
        <v>397</v>
      </c>
      <c r="H2252" t="s">
        <v>397</v>
      </c>
      <c r="I2252" t="s">
        <v>397</v>
      </c>
      <c r="J2252">
        <v>972</v>
      </c>
      <c r="K2252">
        <v>0.31</v>
      </c>
      <c r="L2252">
        <v>0</v>
      </c>
      <c r="M2252">
        <v>0</v>
      </c>
    </row>
    <row r="2253" spans="1:13">
      <c r="A2253" s="28">
        <v>80000</v>
      </c>
      <c r="B2253" t="s">
        <v>2395</v>
      </c>
      <c r="C2253">
        <v>2740</v>
      </c>
      <c r="D2253">
        <v>-55</v>
      </c>
      <c r="E2253">
        <v>-1.97</v>
      </c>
      <c r="F2253">
        <v>221</v>
      </c>
      <c r="G2253">
        <v>12.4</v>
      </c>
      <c r="H2253" t="s">
        <v>397</v>
      </c>
      <c r="I2253" t="s">
        <v>397</v>
      </c>
      <c r="J2253">
        <v>3989</v>
      </c>
      <c r="K2253">
        <v>0.69</v>
      </c>
      <c r="L2253">
        <v>0</v>
      </c>
      <c r="M2253">
        <v>0</v>
      </c>
    </row>
    <row r="2254" spans="1:13">
      <c r="A2254" s="28">
        <v>275630</v>
      </c>
      <c r="B2254" t="s">
        <v>2396</v>
      </c>
      <c r="C2254">
        <v>4165</v>
      </c>
      <c r="D2254">
        <v>20</v>
      </c>
      <c r="E2254">
        <v>0.48</v>
      </c>
      <c r="F2254">
        <v>315</v>
      </c>
      <c r="G2254">
        <v>13.22</v>
      </c>
      <c r="H2254" t="s">
        <v>397</v>
      </c>
      <c r="I2254" t="s">
        <v>397</v>
      </c>
      <c r="J2254">
        <v>4626</v>
      </c>
      <c r="K2254">
        <v>0.9</v>
      </c>
      <c r="L2254">
        <v>0</v>
      </c>
      <c r="M2254">
        <v>0</v>
      </c>
    </row>
    <row r="2255" spans="1:13">
      <c r="A2255" s="28">
        <v>103230</v>
      </c>
      <c r="B2255" t="s">
        <v>2397</v>
      </c>
      <c r="C2255">
        <v>4100</v>
      </c>
      <c r="D2255">
        <v>240</v>
      </c>
      <c r="E2255">
        <v>6.22</v>
      </c>
      <c r="F2255">
        <v>323</v>
      </c>
      <c r="G2255">
        <v>12.69</v>
      </c>
      <c r="H2255" t="s">
        <v>397</v>
      </c>
      <c r="I2255" t="s">
        <v>397</v>
      </c>
      <c r="J2255">
        <v>5907</v>
      </c>
      <c r="K2255">
        <v>0.69</v>
      </c>
      <c r="L2255">
        <v>0</v>
      </c>
      <c r="M2255">
        <v>0</v>
      </c>
    </row>
    <row r="2256" spans="1:13">
      <c r="A2256" s="28">
        <v>462020</v>
      </c>
      <c r="B2256" t="s">
        <v>2398</v>
      </c>
      <c r="C2256">
        <v>2060</v>
      </c>
      <c r="D2256">
        <v>-5</v>
      </c>
      <c r="E2256">
        <v>-0.24</v>
      </c>
      <c r="F2256" t="s">
        <v>397</v>
      </c>
      <c r="G2256" t="s">
        <v>397</v>
      </c>
      <c r="H2256" t="s">
        <v>397</v>
      </c>
      <c r="I2256" t="s">
        <v>397</v>
      </c>
      <c r="J2256" t="s">
        <v>397</v>
      </c>
      <c r="K2256" t="s">
        <v>397</v>
      </c>
      <c r="L2256">
        <v>0</v>
      </c>
      <c r="M2256">
        <v>0</v>
      </c>
    </row>
    <row r="2257" spans="1:13">
      <c r="A2257" s="28">
        <v>65420</v>
      </c>
      <c r="B2257" t="s">
        <v>2399</v>
      </c>
      <c r="C2257">
        <v>229</v>
      </c>
      <c r="D2257">
        <v>-24</v>
      </c>
      <c r="E2257">
        <v>-9.49</v>
      </c>
      <c r="F2257" t="s">
        <v>397</v>
      </c>
      <c r="G2257" t="s">
        <v>397</v>
      </c>
      <c r="H2257" t="s">
        <v>397</v>
      </c>
      <c r="I2257" t="s">
        <v>397</v>
      </c>
      <c r="J2257">
        <v>259</v>
      </c>
      <c r="K2257">
        <v>0.88</v>
      </c>
      <c r="L2257">
        <v>0</v>
      </c>
      <c r="M2257">
        <v>0</v>
      </c>
    </row>
    <row r="2258" spans="1:13">
      <c r="A2258" s="28">
        <v>298060</v>
      </c>
      <c r="B2258" t="s">
        <v>2400</v>
      </c>
      <c r="C2258">
        <v>2935</v>
      </c>
      <c r="D2258">
        <v>-10</v>
      </c>
      <c r="E2258">
        <v>-0.34</v>
      </c>
      <c r="F2258" t="s">
        <v>397</v>
      </c>
      <c r="G2258" t="s">
        <v>397</v>
      </c>
      <c r="H2258" t="s">
        <v>397</v>
      </c>
      <c r="I2258" t="s">
        <v>397</v>
      </c>
      <c r="J2258">
        <v>1542</v>
      </c>
      <c r="K2258">
        <v>1.9</v>
      </c>
      <c r="L2258">
        <v>0</v>
      </c>
      <c r="M2258">
        <v>0</v>
      </c>
    </row>
    <row r="2259" spans="1:13">
      <c r="A2259" s="28">
        <v>389500</v>
      </c>
      <c r="B2259" t="s">
        <v>2401</v>
      </c>
      <c r="C2259">
        <v>36800</v>
      </c>
      <c r="D2259">
        <v>-100</v>
      </c>
      <c r="E2259">
        <v>-0.27</v>
      </c>
      <c r="F2259" t="s">
        <v>397</v>
      </c>
      <c r="G2259" t="s">
        <v>397</v>
      </c>
      <c r="H2259" t="s">
        <v>397</v>
      </c>
      <c r="I2259" t="s">
        <v>397</v>
      </c>
      <c r="J2259">
        <v>3701</v>
      </c>
      <c r="K2259">
        <v>9.94</v>
      </c>
      <c r="L2259">
        <v>0</v>
      </c>
      <c r="M2259">
        <v>0</v>
      </c>
    </row>
    <row r="2260" spans="1:13">
      <c r="A2260" s="28">
        <v>304360</v>
      </c>
      <c r="B2260" t="s">
        <v>2402</v>
      </c>
      <c r="C2260">
        <v>10300</v>
      </c>
      <c r="D2260">
        <v>-400</v>
      </c>
      <c r="E2260">
        <v>-3.74</v>
      </c>
      <c r="F2260" t="s">
        <v>397</v>
      </c>
      <c r="G2260" t="s">
        <v>397</v>
      </c>
      <c r="H2260" t="s">
        <v>397</v>
      </c>
      <c r="I2260" t="s">
        <v>397</v>
      </c>
      <c r="J2260" t="s">
        <v>397</v>
      </c>
      <c r="K2260" t="s">
        <v>397</v>
      </c>
      <c r="L2260">
        <v>0</v>
      </c>
      <c r="M2260">
        <v>0</v>
      </c>
    </row>
    <row r="2261" spans="1:13">
      <c r="A2261" s="28">
        <v>118000</v>
      </c>
      <c r="B2261" t="s">
        <v>2403</v>
      </c>
      <c r="C2261">
        <v>504</v>
      </c>
      <c r="D2261">
        <v>-8</v>
      </c>
      <c r="E2261">
        <v>-1.56</v>
      </c>
      <c r="F2261" t="s">
        <v>397</v>
      </c>
      <c r="G2261" t="s">
        <v>397</v>
      </c>
      <c r="H2261" t="s">
        <v>397</v>
      </c>
      <c r="I2261" t="s">
        <v>397</v>
      </c>
      <c r="J2261">
        <v>1172</v>
      </c>
      <c r="K2261">
        <v>0.43</v>
      </c>
      <c r="L2261">
        <v>0</v>
      </c>
      <c r="M2261">
        <v>0</v>
      </c>
    </row>
    <row r="2262" spans="1:13">
      <c r="A2262" s="28">
        <v>121890</v>
      </c>
      <c r="B2262" t="s">
        <v>2404</v>
      </c>
      <c r="C2262">
        <v>1902</v>
      </c>
      <c r="D2262">
        <v>57</v>
      </c>
      <c r="E2262">
        <v>3.09</v>
      </c>
      <c r="F2262" t="s">
        <v>397</v>
      </c>
      <c r="G2262" t="s">
        <v>397</v>
      </c>
      <c r="H2262" t="s">
        <v>397</v>
      </c>
      <c r="I2262" t="s">
        <v>397</v>
      </c>
      <c r="J2262">
        <v>739</v>
      </c>
      <c r="K2262">
        <v>2.57</v>
      </c>
      <c r="L2262">
        <v>0</v>
      </c>
      <c r="M2262">
        <v>0</v>
      </c>
    </row>
    <row r="2263" spans="1:13">
      <c r="A2263" s="28">
        <v>217480</v>
      </c>
      <c r="B2263" t="s">
        <v>2405</v>
      </c>
      <c r="C2263">
        <v>499</v>
      </c>
      <c r="D2263">
        <v>0</v>
      </c>
      <c r="E2263">
        <v>0</v>
      </c>
      <c r="F2263" t="s">
        <v>397</v>
      </c>
      <c r="G2263" t="s">
        <v>397</v>
      </c>
      <c r="H2263" t="s">
        <v>397</v>
      </c>
      <c r="I2263" t="s">
        <v>397</v>
      </c>
      <c r="J2263">
        <v>895</v>
      </c>
      <c r="K2263">
        <v>0.56000000000000005</v>
      </c>
      <c r="L2263">
        <v>0</v>
      </c>
      <c r="M2263">
        <v>0</v>
      </c>
    </row>
    <row r="2264" spans="1:13">
      <c r="A2264" s="28">
        <v>38680</v>
      </c>
      <c r="B2264" t="s">
        <v>2406</v>
      </c>
      <c r="C2264">
        <v>5360</v>
      </c>
      <c r="D2264">
        <v>-100</v>
      </c>
      <c r="E2264">
        <v>-1.83</v>
      </c>
      <c r="F2264" t="s">
        <v>397</v>
      </c>
      <c r="G2264" t="s">
        <v>397</v>
      </c>
      <c r="H2264" t="s">
        <v>397</v>
      </c>
      <c r="I2264" t="s">
        <v>397</v>
      </c>
      <c r="J2264">
        <v>4248</v>
      </c>
      <c r="K2264">
        <v>1.26</v>
      </c>
      <c r="L2264">
        <v>0</v>
      </c>
      <c r="M2264">
        <v>0</v>
      </c>
    </row>
    <row r="2265" spans="1:13">
      <c r="A2265" s="28">
        <v>270660</v>
      </c>
      <c r="B2265" t="s">
        <v>2407</v>
      </c>
      <c r="C2265">
        <v>25000</v>
      </c>
      <c r="D2265">
        <v>-350</v>
      </c>
      <c r="E2265">
        <v>-1.38</v>
      </c>
      <c r="F2265">
        <v>570</v>
      </c>
      <c r="G2265">
        <v>43.86</v>
      </c>
      <c r="H2265" t="s">
        <v>397</v>
      </c>
      <c r="I2265" t="s">
        <v>397</v>
      </c>
      <c r="J2265">
        <v>5106</v>
      </c>
      <c r="K2265">
        <v>4.9000000000000004</v>
      </c>
      <c r="L2265">
        <v>0</v>
      </c>
      <c r="M2265">
        <v>0</v>
      </c>
    </row>
    <row r="2266" spans="1:13">
      <c r="A2266" s="28">
        <v>11090</v>
      </c>
      <c r="B2266" t="s">
        <v>2408</v>
      </c>
      <c r="C2266">
        <v>499</v>
      </c>
      <c r="D2266">
        <v>1</v>
      </c>
      <c r="E2266">
        <v>0.2</v>
      </c>
      <c r="F2266" t="s">
        <v>397</v>
      </c>
      <c r="G2266" t="s">
        <v>397</v>
      </c>
      <c r="H2266" t="s">
        <v>397</v>
      </c>
      <c r="I2266" t="s">
        <v>397</v>
      </c>
      <c r="J2266">
        <v>748</v>
      </c>
      <c r="K2266">
        <v>0.67</v>
      </c>
      <c r="L2266">
        <v>0</v>
      </c>
      <c r="M2266">
        <v>0</v>
      </c>
    </row>
    <row r="2267" spans="1:13">
      <c r="A2267" s="28">
        <v>238120</v>
      </c>
      <c r="B2267" t="s">
        <v>2409</v>
      </c>
      <c r="C2267">
        <v>4245</v>
      </c>
      <c r="D2267">
        <v>-45</v>
      </c>
      <c r="E2267">
        <v>-1.05</v>
      </c>
      <c r="F2267">
        <v>162</v>
      </c>
      <c r="G2267">
        <v>26.2</v>
      </c>
      <c r="H2267" t="s">
        <v>397</v>
      </c>
      <c r="I2267" t="s">
        <v>397</v>
      </c>
      <c r="J2267">
        <v>2007</v>
      </c>
      <c r="K2267">
        <v>2.12</v>
      </c>
      <c r="L2267">
        <v>0</v>
      </c>
      <c r="M2267">
        <v>0</v>
      </c>
    </row>
    <row r="2268" spans="1:13">
      <c r="A2268" s="28">
        <v>455910</v>
      </c>
      <c r="B2268" t="s">
        <v>2410</v>
      </c>
      <c r="C2268">
        <v>2265</v>
      </c>
      <c r="D2268">
        <v>20</v>
      </c>
      <c r="E2268">
        <v>0.89</v>
      </c>
      <c r="F2268" t="s">
        <v>397</v>
      </c>
      <c r="G2268" t="s">
        <v>397</v>
      </c>
      <c r="H2268" t="s">
        <v>397</v>
      </c>
      <c r="I2268" t="s">
        <v>397</v>
      </c>
      <c r="J2268" t="s">
        <v>397</v>
      </c>
      <c r="K2268" t="s">
        <v>397</v>
      </c>
      <c r="L2268">
        <v>0</v>
      </c>
      <c r="M2268">
        <v>0</v>
      </c>
    </row>
    <row r="2269" spans="1:13">
      <c r="A2269" s="28">
        <v>96630</v>
      </c>
      <c r="B2269" t="s">
        <v>2411</v>
      </c>
      <c r="C2269">
        <v>1957</v>
      </c>
      <c r="D2269">
        <v>64</v>
      </c>
      <c r="E2269">
        <v>3.38</v>
      </c>
      <c r="F2269">
        <v>66</v>
      </c>
      <c r="G2269">
        <v>29.65</v>
      </c>
      <c r="H2269" t="s">
        <v>397</v>
      </c>
      <c r="I2269" t="s">
        <v>397</v>
      </c>
      <c r="J2269">
        <v>744</v>
      </c>
      <c r="K2269">
        <v>2.63</v>
      </c>
      <c r="L2269">
        <v>0</v>
      </c>
      <c r="M2269">
        <v>0</v>
      </c>
    </row>
    <row r="2270" spans="1:13">
      <c r="A2270" s="28">
        <v>234300</v>
      </c>
      <c r="B2270" t="s">
        <v>2412</v>
      </c>
      <c r="C2270">
        <v>3955</v>
      </c>
      <c r="D2270">
        <v>-45</v>
      </c>
      <c r="E2270">
        <v>-1.1299999999999999</v>
      </c>
      <c r="F2270">
        <v>1250</v>
      </c>
      <c r="G2270">
        <v>3.16</v>
      </c>
      <c r="H2270" t="s">
        <v>397</v>
      </c>
      <c r="I2270" t="s">
        <v>397</v>
      </c>
      <c r="J2270">
        <v>2506</v>
      </c>
      <c r="K2270">
        <v>1.58</v>
      </c>
      <c r="L2270">
        <v>0</v>
      </c>
      <c r="M2270">
        <v>0</v>
      </c>
    </row>
    <row r="2271" spans="1:13">
      <c r="A2271" s="28">
        <v>52020</v>
      </c>
      <c r="B2271" t="s">
        <v>2413</v>
      </c>
      <c r="C2271">
        <v>6030</v>
      </c>
      <c r="D2271">
        <v>-100</v>
      </c>
      <c r="E2271">
        <v>-1.63</v>
      </c>
      <c r="F2271" t="s">
        <v>397</v>
      </c>
      <c r="G2271" t="s">
        <v>397</v>
      </c>
      <c r="H2271" t="s">
        <v>397</v>
      </c>
      <c r="I2271" t="s">
        <v>397</v>
      </c>
      <c r="J2271">
        <v>1175</v>
      </c>
      <c r="K2271">
        <v>5.13</v>
      </c>
      <c r="L2271">
        <v>0</v>
      </c>
      <c r="M2271">
        <v>0</v>
      </c>
    </row>
    <row r="2272" spans="1:13">
      <c r="A2272" s="28">
        <v>239610</v>
      </c>
      <c r="B2272" t="s">
        <v>2414</v>
      </c>
      <c r="C2272">
        <v>15420</v>
      </c>
      <c r="D2272">
        <v>-160</v>
      </c>
      <c r="E2272">
        <v>-1.03</v>
      </c>
      <c r="F2272">
        <v>304</v>
      </c>
      <c r="G2272">
        <v>50.72</v>
      </c>
      <c r="H2272" t="s">
        <v>397</v>
      </c>
      <c r="I2272" t="s">
        <v>397</v>
      </c>
      <c r="J2272">
        <v>20353</v>
      </c>
      <c r="K2272">
        <v>0.76</v>
      </c>
      <c r="L2272">
        <v>0</v>
      </c>
      <c r="M2272">
        <v>0</v>
      </c>
    </row>
    <row r="2273" spans="1:13">
      <c r="A2273" s="28">
        <v>227100</v>
      </c>
      <c r="B2273" t="s">
        <v>2415</v>
      </c>
      <c r="C2273">
        <v>1110</v>
      </c>
      <c r="D2273">
        <v>0</v>
      </c>
      <c r="E2273">
        <v>0</v>
      </c>
      <c r="F2273" t="s">
        <v>397</v>
      </c>
      <c r="G2273" t="s">
        <v>397</v>
      </c>
      <c r="H2273" t="s">
        <v>397</v>
      </c>
      <c r="I2273" t="s">
        <v>397</v>
      </c>
      <c r="J2273">
        <v>3613</v>
      </c>
      <c r="K2273">
        <v>0.31</v>
      </c>
      <c r="L2273">
        <v>0</v>
      </c>
      <c r="M2273">
        <v>0</v>
      </c>
    </row>
    <row r="2274" spans="1:13">
      <c r="A2274" s="28">
        <v>72990</v>
      </c>
      <c r="B2274" t="s">
        <v>2416</v>
      </c>
      <c r="C2274">
        <v>9560</v>
      </c>
      <c r="D2274">
        <v>-290</v>
      </c>
      <c r="E2274">
        <v>-2.94</v>
      </c>
      <c r="F2274">
        <v>769</v>
      </c>
      <c r="G2274">
        <v>12.43</v>
      </c>
      <c r="H2274" t="s">
        <v>397</v>
      </c>
      <c r="I2274" t="s">
        <v>397</v>
      </c>
      <c r="J2274">
        <v>10338</v>
      </c>
      <c r="K2274">
        <v>0.92</v>
      </c>
      <c r="L2274">
        <v>0</v>
      </c>
      <c r="M2274">
        <v>0</v>
      </c>
    </row>
    <row r="2275" spans="1:13">
      <c r="A2275" s="28">
        <v>445090</v>
      </c>
      <c r="B2275" t="s">
        <v>2417</v>
      </c>
      <c r="C2275">
        <v>70200</v>
      </c>
      <c r="D2275">
        <v>-1800</v>
      </c>
      <c r="E2275">
        <v>-2.5</v>
      </c>
      <c r="F2275">
        <v>937</v>
      </c>
      <c r="G2275">
        <v>74.92</v>
      </c>
      <c r="H2275">
        <v>934</v>
      </c>
      <c r="I2275">
        <v>75.150000000000006</v>
      </c>
      <c r="J2275">
        <v>580</v>
      </c>
      <c r="K2275">
        <v>121.03</v>
      </c>
      <c r="L2275">
        <v>0</v>
      </c>
      <c r="M2275">
        <v>0</v>
      </c>
    </row>
    <row r="2276" spans="1:13">
      <c r="A2276" s="28">
        <v>15260</v>
      </c>
      <c r="B2276" t="s">
        <v>2418</v>
      </c>
      <c r="C2276">
        <v>1040</v>
      </c>
      <c r="D2276">
        <v>-38</v>
      </c>
      <c r="E2276">
        <v>-3.53</v>
      </c>
      <c r="F2276" t="s">
        <v>397</v>
      </c>
      <c r="G2276" t="s">
        <v>397</v>
      </c>
      <c r="H2276" t="s">
        <v>397</v>
      </c>
      <c r="I2276" t="s">
        <v>397</v>
      </c>
      <c r="J2276">
        <v>741</v>
      </c>
      <c r="K2276">
        <v>1.4</v>
      </c>
      <c r="L2276">
        <v>0</v>
      </c>
      <c r="M2276">
        <v>0</v>
      </c>
    </row>
    <row r="2277" spans="1:13">
      <c r="A2277" s="28">
        <v>312610</v>
      </c>
      <c r="B2277" t="s">
        <v>2419</v>
      </c>
      <c r="C2277">
        <v>2085</v>
      </c>
      <c r="D2277">
        <v>-15</v>
      </c>
      <c r="E2277">
        <v>-0.71</v>
      </c>
      <c r="F2277" t="s">
        <v>397</v>
      </c>
      <c r="G2277" t="s">
        <v>397</v>
      </c>
      <c r="H2277" t="s">
        <v>397</v>
      </c>
      <c r="I2277" t="s">
        <v>397</v>
      </c>
      <c r="J2277">
        <v>3256</v>
      </c>
      <c r="K2277">
        <v>0.64</v>
      </c>
      <c r="L2277">
        <v>0</v>
      </c>
      <c r="M2277">
        <v>0</v>
      </c>
    </row>
    <row r="2278" spans="1:13">
      <c r="A2278" s="28">
        <v>453860</v>
      </c>
      <c r="B2278" t="s">
        <v>2420</v>
      </c>
      <c r="C2278">
        <v>29500</v>
      </c>
      <c r="D2278">
        <v>-600</v>
      </c>
      <c r="E2278">
        <v>-1.99</v>
      </c>
      <c r="F2278">
        <v>593</v>
      </c>
      <c r="G2278">
        <v>49.75</v>
      </c>
      <c r="H2278" t="s">
        <v>397</v>
      </c>
      <c r="I2278" t="s">
        <v>397</v>
      </c>
      <c r="J2278">
        <v>1234</v>
      </c>
      <c r="K2278">
        <v>23.91</v>
      </c>
      <c r="L2278">
        <v>0</v>
      </c>
      <c r="M2278">
        <v>0</v>
      </c>
    </row>
    <row r="2279" spans="1:13">
      <c r="A2279" s="28">
        <v>241840</v>
      </c>
      <c r="B2279" t="s">
        <v>2421</v>
      </c>
      <c r="C2279">
        <v>11260</v>
      </c>
      <c r="D2279">
        <v>-310</v>
      </c>
      <c r="E2279">
        <v>-2.68</v>
      </c>
      <c r="F2279">
        <v>440</v>
      </c>
      <c r="G2279">
        <v>25.59</v>
      </c>
      <c r="H2279" t="s">
        <v>397</v>
      </c>
      <c r="I2279" t="s">
        <v>397</v>
      </c>
      <c r="J2279">
        <v>6302</v>
      </c>
      <c r="K2279">
        <v>1.79</v>
      </c>
      <c r="L2279">
        <v>0</v>
      </c>
      <c r="M2279">
        <v>0</v>
      </c>
    </row>
    <row r="2280" spans="1:13">
      <c r="A2280" s="28">
        <v>88800</v>
      </c>
      <c r="B2280" t="s">
        <v>2422</v>
      </c>
      <c r="C2280">
        <v>2030</v>
      </c>
      <c r="D2280">
        <v>5</v>
      </c>
      <c r="E2280">
        <v>0.25</v>
      </c>
      <c r="F2280" t="s">
        <v>397</v>
      </c>
      <c r="G2280" t="s">
        <v>397</v>
      </c>
      <c r="H2280" t="s">
        <v>397</v>
      </c>
      <c r="I2280" t="s">
        <v>397</v>
      </c>
      <c r="J2280">
        <v>1355</v>
      </c>
      <c r="K2280">
        <v>1.5</v>
      </c>
      <c r="L2280">
        <v>0</v>
      </c>
      <c r="M2280">
        <v>0</v>
      </c>
    </row>
    <row r="2281" spans="1:13">
      <c r="A2281" s="28">
        <v>195990</v>
      </c>
      <c r="B2281" t="s">
        <v>2423</v>
      </c>
      <c r="C2281">
        <v>574</v>
      </c>
      <c r="D2281">
        <v>-5</v>
      </c>
      <c r="E2281">
        <v>-0.86</v>
      </c>
      <c r="F2281" t="s">
        <v>397</v>
      </c>
      <c r="G2281" t="s">
        <v>397</v>
      </c>
      <c r="H2281" t="s">
        <v>397</v>
      </c>
      <c r="I2281" t="s">
        <v>397</v>
      </c>
      <c r="J2281">
        <v>512</v>
      </c>
      <c r="K2281">
        <v>1.1200000000000001</v>
      </c>
      <c r="L2281">
        <v>0</v>
      </c>
      <c r="M2281">
        <v>0</v>
      </c>
    </row>
    <row r="2282" spans="1:13">
      <c r="A2282" s="28">
        <v>203400</v>
      </c>
      <c r="B2282" t="s">
        <v>2424</v>
      </c>
      <c r="C2282">
        <v>7300</v>
      </c>
      <c r="D2282">
        <v>30</v>
      </c>
      <c r="E2282">
        <v>0.41</v>
      </c>
      <c r="F2282" t="s">
        <v>397</v>
      </c>
      <c r="G2282" t="s">
        <v>397</v>
      </c>
      <c r="H2282" t="s">
        <v>397</v>
      </c>
      <c r="I2282" t="s">
        <v>397</v>
      </c>
      <c r="J2282">
        <v>801</v>
      </c>
      <c r="K2282">
        <v>9.11</v>
      </c>
      <c r="L2282">
        <v>0</v>
      </c>
      <c r="M2282">
        <v>0</v>
      </c>
    </row>
    <row r="2283" spans="1:13">
      <c r="A2283" s="28">
        <v>298380</v>
      </c>
      <c r="B2283" t="s">
        <v>2425</v>
      </c>
      <c r="C2283">
        <v>25250</v>
      </c>
      <c r="D2283">
        <v>-1900</v>
      </c>
      <c r="E2283">
        <v>-7</v>
      </c>
      <c r="F2283">
        <v>67</v>
      </c>
      <c r="G2283">
        <v>376.87</v>
      </c>
      <c r="H2283" t="s">
        <v>397</v>
      </c>
      <c r="I2283" t="s">
        <v>397</v>
      </c>
      <c r="J2283">
        <v>1455</v>
      </c>
      <c r="K2283">
        <v>17.350000000000001</v>
      </c>
      <c r="L2283">
        <v>0</v>
      </c>
      <c r="M2283">
        <v>0</v>
      </c>
    </row>
    <row r="2284" spans="1:13">
      <c r="A2284" s="28">
        <v>78520</v>
      </c>
      <c r="B2284" t="s">
        <v>2426</v>
      </c>
      <c r="C2284">
        <v>6500</v>
      </c>
      <c r="D2284">
        <v>-70</v>
      </c>
      <c r="E2284">
        <v>-1.07</v>
      </c>
      <c r="F2284">
        <v>36</v>
      </c>
      <c r="G2284">
        <v>180.56</v>
      </c>
      <c r="H2284" t="s">
        <v>397</v>
      </c>
      <c r="I2284" t="s">
        <v>397</v>
      </c>
      <c r="J2284">
        <v>4422</v>
      </c>
      <c r="K2284">
        <v>1.47</v>
      </c>
      <c r="L2284">
        <v>0</v>
      </c>
      <c r="M2284">
        <v>0</v>
      </c>
    </row>
    <row r="2285" spans="1:13">
      <c r="A2285" s="28">
        <v>96690</v>
      </c>
      <c r="B2285" t="s">
        <v>2427</v>
      </c>
      <c r="C2285">
        <v>413</v>
      </c>
      <c r="D2285">
        <v>-14</v>
      </c>
      <c r="E2285">
        <v>-3.28</v>
      </c>
      <c r="F2285">
        <v>39</v>
      </c>
      <c r="G2285">
        <v>10.59</v>
      </c>
      <c r="H2285" t="s">
        <v>397</v>
      </c>
      <c r="I2285" t="s">
        <v>397</v>
      </c>
      <c r="J2285">
        <v>908</v>
      </c>
      <c r="K2285">
        <v>0.45</v>
      </c>
      <c r="L2285">
        <v>0</v>
      </c>
      <c r="M2285">
        <v>0</v>
      </c>
    </row>
    <row r="2286" spans="1:13">
      <c r="A2286" s="28">
        <v>200710</v>
      </c>
      <c r="B2286" t="s">
        <v>2428</v>
      </c>
      <c r="C2286">
        <v>43150</v>
      </c>
      <c r="D2286">
        <v>300</v>
      </c>
      <c r="E2286">
        <v>0.7</v>
      </c>
      <c r="F2286">
        <v>450</v>
      </c>
      <c r="G2286">
        <v>95.89</v>
      </c>
      <c r="H2286" t="s">
        <v>397</v>
      </c>
      <c r="I2286" t="s">
        <v>397</v>
      </c>
      <c r="J2286">
        <v>12572</v>
      </c>
      <c r="K2286">
        <v>3.43</v>
      </c>
      <c r="L2286">
        <v>0</v>
      </c>
      <c r="M2286">
        <v>0</v>
      </c>
    </row>
    <row r="2287" spans="1:13">
      <c r="A2287" s="28">
        <v>54630</v>
      </c>
      <c r="B2287" t="s">
        <v>2429</v>
      </c>
      <c r="C2287">
        <v>263</v>
      </c>
      <c r="D2287">
        <v>0</v>
      </c>
      <c r="E2287">
        <v>0</v>
      </c>
      <c r="F2287" t="s">
        <v>397</v>
      </c>
      <c r="G2287" t="s">
        <v>397</v>
      </c>
      <c r="H2287" t="s">
        <v>397</v>
      </c>
      <c r="I2287" t="s">
        <v>397</v>
      </c>
      <c r="J2287">
        <v>367</v>
      </c>
      <c r="K2287">
        <v>0.72</v>
      </c>
      <c r="L2287">
        <v>0</v>
      </c>
      <c r="M2287">
        <v>0</v>
      </c>
    </row>
    <row r="2288" spans="1:13">
      <c r="A2288" s="28">
        <v>187660</v>
      </c>
      <c r="B2288" t="s">
        <v>2430</v>
      </c>
      <c r="C2288">
        <v>2855</v>
      </c>
      <c r="D2288">
        <v>0</v>
      </c>
      <c r="E2288">
        <v>0</v>
      </c>
      <c r="F2288">
        <v>12</v>
      </c>
      <c r="G2288">
        <v>237.92</v>
      </c>
      <c r="H2288" t="s">
        <v>397</v>
      </c>
      <c r="I2288" t="s">
        <v>397</v>
      </c>
      <c r="J2288">
        <v>1434</v>
      </c>
      <c r="K2288">
        <v>1.99</v>
      </c>
      <c r="L2288">
        <v>0</v>
      </c>
      <c r="M2288">
        <v>0</v>
      </c>
    </row>
    <row r="2289" spans="1:13">
      <c r="A2289" s="28">
        <v>298690</v>
      </c>
      <c r="B2289" t="s">
        <v>2431</v>
      </c>
      <c r="C2289">
        <v>2660</v>
      </c>
      <c r="D2289">
        <v>-90</v>
      </c>
      <c r="E2289">
        <v>-3.27</v>
      </c>
      <c r="F2289" t="s">
        <v>397</v>
      </c>
      <c r="G2289" t="s">
        <v>397</v>
      </c>
      <c r="H2289" t="s">
        <v>397</v>
      </c>
      <c r="I2289" t="s">
        <v>397</v>
      </c>
      <c r="J2289">
        <v>1086</v>
      </c>
      <c r="K2289">
        <v>2.4500000000000002</v>
      </c>
      <c r="L2289">
        <v>0</v>
      </c>
      <c r="M2289">
        <v>0</v>
      </c>
    </row>
    <row r="2290" spans="1:13">
      <c r="A2290" s="28">
        <v>23960</v>
      </c>
      <c r="B2290" t="s">
        <v>2432</v>
      </c>
      <c r="C2290">
        <v>1540</v>
      </c>
      <c r="D2290">
        <v>3</v>
      </c>
      <c r="E2290">
        <v>0.2</v>
      </c>
      <c r="F2290">
        <v>175</v>
      </c>
      <c r="G2290">
        <v>8.8000000000000007</v>
      </c>
      <c r="H2290" t="s">
        <v>397</v>
      </c>
      <c r="I2290" t="s">
        <v>397</v>
      </c>
      <c r="J2290">
        <v>1320</v>
      </c>
      <c r="K2290">
        <v>1.17</v>
      </c>
      <c r="L2290">
        <v>0</v>
      </c>
      <c r="M2290">
        <v>0</v>
      </c>
    </row>
    <row r="2291" spans="1:13">
      <c r="A2291" s="28">
        <v>43340</v>
      </c>
      <c r="B2291" t="s">
        <v>2433</v>
      </c>
      <c r="C2291">
        <v>700</v>
      </c>
      <c r="D2291">
        <v>-2</v>
      </c>
      <c r="E2291">
        <v>-0.28000000000000003</v>
      </c>
      <c r="F2291">
        <v>5</v>
      </c>
      <c r="G2291">
        <v>140</v>
      </c>
      <c r="H2291" t="s">
        <v>397</v>
      </c>
      <c r="I2291" t="s">
        <v>397</v>
      </c>
      <c r="J2291">
        <v>333</v>
      </c>
      <c r="K2291">
        <v>2.1</v>
      </c>
      <c r="L2291">
        <v>0</v>
      </c>
      <c r="M2291">
        <v>0</v>
      </c>
    </row>
    <row r="2292" spans="1:13">
      <c r="A2292" s="28">
        <v>317830</v>
      </c>
      <c r="B2292" t="s">
        <v>2434</v>
      </c>
      <c r="C2292">
        <v>10820</v>
      </c>
      <c r="D2292">
        <v>80</v>
      </c>
      <c r="E2292">
        <v>0.74</v>
      </c>
      <c r="F2292">
        <v>222</v>
      </c>
      <c r="G2292">
        <v>48.74</v>
      </c>
      <c r="H2292" t="s">
        <v>397</v>
      </c>
      <c r="I2292" t="s">
        <v>397</v>
      </c>
      <c r="J2292">
        <v>5715</v>
      </c>
      <c r="K2292">
        <v>1.89</v>
      </c>
      <c r="L2292">
        <v>0</v>
      </c>
      <c r="M2292">
        <v>0</v>
      </c>
    </row>
    <row r="2293" spans="1:13">
      <c r="A2293" s="28">
        <v>443670</v>
      </c>
      <c r="B2293" t="s">
        <v>2435</v>
      </c>
      <c r="C2293">
        <v>15730</v>
      </c>
      <c r="D2293">
        <v>-380</v>
      </c>
      <c r="E2293">
        <v>-2.36</v>
      </c>
      <c r="F2293" t="s">
        <v>397</v>
      </c>
      <c r="G2293" t="s">
        <v>397</v>
      </c>
      <c r="H2293" t="s">
        <v>397</v>
      </c>
      <c r="I2293" t="s">
        <v>397</v>
      </c>
      <c r="J2293" t="s">
        <v>397</v>
      </c>
      <c r="K2293" t="s">
        <v>397</v>
      </c>
      <c r="L2293">
        <v>0</v>
      </c>
      <c r="M2293">
        <v>0</v>
      </c>
    </row>
    <row r="2294" spans="1:13">
      <c r="A2294" s="28">
        <v>50760</v>
      </c>
      <c r="B2294" t="s">
        <v>2436</v>
      </c>
      <c r="C2294">
        <v>1874</v>
      </c>
      <c r="D2294">
        <v>-6</v>
      </c>
      <c r="E2294">
        <v>-0.32</v>
      </c>
      <c r="F2294" t="s">
        <v>397</v>
      </c>
      <c r="G2294" t="s">
        <v>397</v>
      </c>
      <c r="H2294" t="s">
        <v>397</v>
      </c>
      <c r="I2294" t="s">
        <v>397</v>
      </c>
      <c r="J2294">
        <v>4237</v>
      </c>
      <c r="K2294">
        <v>0.44</v>
      </c>
      <c r="L2294">
        <v>0</v>
      </c>
      <c r="M2294">
        <v>0</v>
      </c>
    </row>
    <row r="2295" spans="1:13">
      <c r="A2295" s="28">
        <v>19590</v>
      </c>
      <c r="B2295" t="s">
        <v>2437</v>
      </c>
      <c r="C2295">
        <v>965</v>
      </c>
      <c r="D2295">
        <v>50</v>
      </c>
      <c r="E2295">
        <v>5.46</v>
      </c>
      <c r="F2295" t="s">
        <v>397</v>
      </c>
      <c r="G2295" t="s">
        <v>397</v>
      </c>
      <c r="H2295" t="s">
        <v>397</v>
      </c>
      <c r="I2295" t="s">
        <v>397</v>
      </c>
      <c r="J2295">
        <v>468</v>
      </c>
      <c r="K2295">
        <v>2.06</v>
      </c>
      <c r="L2295">
        <v>0</v>
      </c>
      <c r="M2295">
        <v>0</v>
      </c>
    </row>
    <row r="2296" spans="1:13">
      <c r="A2296" s="28">
        <v>323230</v>
      </c>
      <c r="B2296" t="s">
        <v>2438</v>
      </c>
      <c r="C2296">
        <v>610</v>
      </c>
      <c r="D2296">
        <v>-24</v>
      </c>
      <c r="E2296">
        <v>-3.79</v>
      </c>
      <c r="F2296" t="s">
        <v>397</v>
      </c>
      <c r="G2296" t="s">
        <v>397</v>
      </c>
      <c r="H2296">
        <v>30</v>
      </c>
      <c r="I2296">
        <v>20.63</v>
      </c>
      <c r="J2296">
        <v>1058</v>
      </c>
      <c r="K2296">
        <v>0.57999999999999996</v>
      </c>
      <c r="L2296">
        <v>0</v>
      </c>
      <c r="M2296">
        <v>0</v>
      </c>
    </row>
    <row r="2297" spans="1:13">
      <c r="A2297" s="28">
        <v>448740</v>
      </c>
      <c r="B2297" t="s">
        <v>2439</v>
      </c>
      <c r="C2297">
        <v>9760</v>
      </c>
      <c r="D2297">
        <v>0</v>
      </c>
      <c r="E2297">
        <v>0</v>
      </c>
      <c r="F2297" t="s">
        <v>397</v>
      </c>
      <c r="G2297" t="s">
        <v>397</v>
      </c>
      <c r="H2297" t="s">
        <v>397</v>
      </c>
      <c r="I2297" t="s">
        <v>397</v>
      </c>
      <c r="J2297" t="s">
        <v>397</v>
      </c>
      <c r="K2297" t="s">
        <v>397</v>
      </c>
      <c r="L2297">
        <v>0</v>
      </c>
      <c r="M2297">
        <v>0</v>
      </c>
    </row>
    <row r="2298" spans="1:13">
      <c r="A2298" s="28">
        <v>336060</v>
      </c>
      <c r="B2298" t="s">
        <v>2440</v>
      </c>
      <c r="C2298">
        <v>1442</v>
      </c>
      <c r="D2298">
        <v>-10</v>
      </c>
      <c r="E2298">
        <v>-0.69</v>
      </c>
      <c r="F2298" t="s">
        <v>397</v>
      </c>
      <c r="G2298" t="s">
        <v>397</v>
      </c>
      <c r="H2298" t="s">
        <v>397</v>
      </c>
      <c r="I2298" t="s">
        <v>397</v>
      </c>
      <c r="J2298">
        <v>569</v>
      </c>
      <c r="K2298">
        <v>2.5299999999999998</v>
      </c>
      <c r="L2298">
        <v>0</v>
      </c>
      <c r="M2298">
        <v>0</v>
      </c>
    </row>
    <row r="2299" spans="1:13">
      <c r="A2299" s="28">
        <v>101730</v>
      </c>
      <c r="B2299" t="s">
        <v>2441</v>
      </c>
      <c r="C2299">
        <v>12780</v>
      </c>
      <c r="D2299">
        <v>-1000</v>
      </c>
      <c r="E2299">
        <v>-7.26</v>
      </c>
      <c r="F2299">
        <v>811</v>
      </c>
      <c r="G2299">
        <v>15.76</v>
      </c>
      <c r="H2299" t="s">
        <v>397</v>
      </c>
      <c r="I2299" t="s">
        <v>397</v>
      </c>
      <c r="J2299">
        <v>2328</v>
      </c>
      <c r="K2299">
        <v>5.49</v>
      </c>
      <c r="L2299">
        <v>0</v>
      </c>
      <c r="M2299">
        <v>0</v>
      </c>
    </row>
    <row r="2300" spans="1:13">
      <c r="A2300" s="28">
        <v>330350</v>
      </c>
      <c r="B2300" t="s">
        <v>2442</v>
      </c>
      <c r="C2300">
        <v>8170</v>
      </c>
      <c r="D2300">
        <v>-120</v>
      </c>
      <c r="E2300">
        <v>-1.45</v>
      </c>
      <c r="F2300">
        <v>188</v>
      </c>
      <c r="G2300">
        <v>43.46</v>
      </c>
      <c r="H2300" t="s">
        <v>397</v>
      </c>
      <c r="I2300" t="s">
        <v>397</v>
      </c>
      <c r="J2300">
        <v>6295</v>
      </c>
      <c r="K2300">
        <v>1.3</v>
      </c>
      <c r="L2300">
        <v>0</v>
      </c>
      <c r="M2300">
        <v>0</v>
      </c>
    </row>
    <row r="2301" spans="1:13">
      <c r="A2301" s="28">
        <v>377460</v>
      </c>
      <c r="B2301" t="s">
        <v>2443</v>
      </c>
      <c r="C2301">
        <v>1691</v>
      </c>
      <c r="D2301">
        <v>0</v>
      </c>
      <c r="E2301">
        <v>0</v>
      </c>
      <c r="F2301">
        <v>1232</v>
      </c>
      <c r="G2301">
        <v>1.37</v>
      </c>
      <c r="H2301" t="s">
        <v>397</v>
      </c>
      <c r="I2301" t="s">
        <v>397</v>
      </c>
      <c r="J2301">
        <v>13534</v>
      </c>
      <c r="K2301">
        <v>0.12</v>
      </c>
      <c r="L2301">
        <v>0</v>
      </c>
      <c r="M2301">
        <v>0</v>
      </c>
    </row>
    <row r="2302" spans="1:13">
      <c r="A2302" s="28">
        <v>71460</v>
      </c>
      <c r="B2302" t="s">
        <v>2444</v>
      </c>
      <c r="C2302">
        <v>613</v>
      </c>
      <c r="D2302">
        <v>0</v>
      </c>
      <c r="E2302">
        <v>0</v>
      </c>
      <c r="F2302" t="s">
        <v>397</v>
      </c>
      <c r="G2302" t="s">
        <v>397</v>
      </c>
      <c r="H2302" t="s">
        <v>397</v>
      </c>
      <c r="I2302" t="s">
        <v>397</v>
      </c>
      <c r="J2302">
        <v>784</v>
      </c>
      <c r="K2302">
        <v>0.78</v>
      </c>
      <c r="L2302">
        <v>0</v>
      </c>
      <c r="M2302">
        <v>0</v>
      </c>
    </row>
    <row r="2303" spans="1:13">
      <c r="A2303" s="28">
        <v>53580</v>
      </c>
      <c r="B2303" t="s">
        <v>2445</v>
      </c>
      <c r="C2303">
        <v>10500</v>
      </c>
      <c r="D2303">
        <v>120</v>
      </c>
      <c r="E2303">
        <v>1.1599999999999999</v>
      </c>
      <c r="F2303">
        <v>852</v>
      </c>
      <c r="G2303">
        <v>12.32</v>
      </c>
      <c r="H2303" t="s">
        <v>397</v>
      </c>
      <c r="I2303" t="s">
        <v>397</v>
      </c>
      <c r="J2303">
        <v>7610</v>
      </c>
      <c r="K2303">
        <v>1.38</v>
      </c>
      <c r="L2303">
        <v>0</v>
      </c>
      <c r="M2303">
        <v>0</v>
      </c>
    </row>
    <row r="2304" spans="1:13">
      <c r="A2304" s="28">
        <v>196700</v>
      </c>
      <c r="B2304" t="s">
        <v>2446</v>
      </c>
      <c r="C2304">
        <v>1710</v>
      </c>
      <c r="D2304">
        <v>31</v>
      </c>
      <c r="E2304">
        <v>1.85</v>
      </c>
      <c r="F2304" t="s">
        <v>397</v>
      </c>
      <c r="G2304" t="s">
        <v>397</v>
      </c>
      <c r="H2304" t="s">
        <v>397</v>
      </c>
      <c r="I2304" t="s">
        <v>397</v>
      </c>
      <c r="J2304">
        <v>2335</v>
      </c>
      <c r="K2304">
        <v>0.73</v>
      </c>
      <c r="L2304">
        <v>0</v>
      </c>
      <c r="M2304">
        <v>0</v>
      </c>
    </row>
    <row r="2305" spans="1:13">
      <c r="A2305" s="28">
        <v>43590</v>
      </c>
      <c r="B2305" t="s">
        <v>2447</v>
      </c>
      <c r="C2305">
        <v>1197</v>
      </c>
      <c r="D2305">
        <v>27</v>
      </c>
      <c r="E2305">
        <v>2.31</v>
      </c>
      <c r="F2305" t="s">
        <v>397</v>
      </c>
      <c r="G2305" t="s">
        <v>397</v>
      </c>
      <c r="H2305" t="s">
        <v>397</v>
      </c>
      <c r="I2305" t="s">
        <v>397</v>
      </c>
      <c r="J2305">
        <v>1266</v>
      </c>
      <c r="K2305">
        <v>0.95</v>
      </c>
      <c r="L2305">
        <v>0</v>
      </c>
      <c r="M2305">
        <v>0</v>
      </c>
    </row>
    <row r="2306" spans="1:13">
      <c r="A2306" s="28">
        <v>76080</v>
      </c>
      <c r="B2306" t="s">
        <v>2448</v>
      </c>
      <c r="C2306">
        <v>2410</v>
      </c>
      <c r="D2306">
        <v>-35</v>
      </c>
      <c r="E2306">
        <v>-1.43</v>
      </c>
      <c r="F2306" t="s">
        <v>397</v>
      </c>
      <c r="G2306" t="s">
        <v>397</v>
      </c>
      <c r="H2306" t="s">
        <v>397</v>
      </c>
      <c r="I2306" t="s">
        <v>397</v>
      </c>
      <c r="J2306">
        <v>3066</v>
      </c>
      <c r="K2306">
        <v>0.79</v>
      </c>
      <c r="L2306">
        <v>0</v>
      </c>
      <c r="M2306">
        <v>0</v>
      </c>
    </row>
    <row r="2307" spans="1:13">
      <c r="A2307" s="28">
        <v>65950</v>
      </c>
      <c r="B2307" t="s">
        <v>2449</v>
      </c>
      <c r="C2307">
        <v>2720</v>
      </c>
      <c r="D2307">
        <v>10</v>
      </c>
      <c r="E2307">
        <v>0.37</v>
      </c>
      <c r="F2307">
        <v>24</v>
      </c>
      <c r="G2307">
        <v>113.33</v>
      </c>
      <c r="H2307" t="s">
        <v>397</v>
      </c>
      <c r="I2307" t="s">
        <v>397</v>
      </c>
      <c r="J2307">
        <v>2793</v>
      </c>
      <c r="K2307">
        <v>0.97</v>
      </c>
      <c r="L2307">
        <v>0</v>
      </c>
      <c r="M2307">
        <v>0</v>
      </c>
    </row>
    <row r="2308" spans="1:13">
      <c r="A2308" s="28">
        <v>10600</v>
      </c>
      <c r="B2308" t="s">
        <v>2450</v>
      </c>
      <c r="C2308">
        <v>964</v>
      </c>
      <c r="D2308">
        <v>66</v>
      </c>
      <c r="E2308">
        <v>7.35</v>
      </c>
      <c r="F2308" t="s">
        <v>397</v>
      </c>
      <c r="G2308" t="s">
        <v>397</v>
      </c>
      <c r="H2308" t="s">
        <v>397</v>
      </c>
      <c r="I2308" t="s">
        <v>397</v>
      </c>
      <c r="J2308">
        <v>561</v>
      </c>
      <c r="K2308">
        <v>1.72</v>
      </c>
      <c r="L2308">
        <v>0</v>
      </c>
      <c r="M2308">
        <v>0</v>
      </c>
    </row>
    <row r="2309" spans="1:13">
      <c r="A2309" s="28">
        <v>95270</v>
      </c>
      <c r="B2309" t="s">
        <v>2451</v>
      </c>
      <c r="C2309">
        <v>5090</v>
      </c>
      <c r="D2309">
        <v>160</v>
      </c>
      <c r="E2309">
        <v>3.25</v>
      </c>
      <c r="F2309" t="s">
        <v>397</v>
      </c>
      <c r="G2309" t="s">
        <v>397</v>
      </c>
      <c r="H2309" t="s">
        <v>397</v>
      </c>
      <c r="I2309" t="s">
        <v>397</v>
      </c>
      <c r="J2309">
        <v>4678</v>
      </c>
      <c r="K2309">
        <v>1.0900000000000001</v>
      </c>
      <c r="L2309">
        <v>0</v>
      </c>
      <c r="M2309">
        <v>0</v>
      </c>
    </row>
    <row r="2310" spans="1:13">
      <c r="A2310" s="28">
        <v>64090</v>
      </c>
      <c r="B2310" t="s">
        <v>2452</v>
      </c>
      <c r="C2310">
        <v>2820</v>
      </c>
      <c r="D2310">
        <v>10</v>
      </c>
      <c r="E2310">
        <v>0.36</v>
      </c>
      <c r="F2310" t="s">
        <v>397</v>
      </c>
      <c r="G2310" t="s">
        <v>397</v>
      </c>
      <c r="H2310" t="s">
        <v>397</v>
      </c>
      <c r="I2310" t="s">
        <v>397</v>
      </c>
      <c r="J2310">
        <v>273</v>
      </c>
      <c r="K2310">
        <v>10.33</v>
      </c>
      <c r="L2310">
        <v>0</v>
      </c>
      <c r="M2310">
        <v>0</v>
      </c>
    </row>
    <row r="2311" spans="1:13">
      <c r="A2311" s="28">
        <v>38620</v>
      </c>
      <c r="B2311" t="s">
        <v>2453</v>
      </c>
      <c r="C2311">
        <v>800</v>
      </c>
      <c r="D2311">
        <v>-1</v>
      </c>
      <c r="E2311">
        <v>-0.12</v>
      </c>
      <c r="F2311">
        <v>45</v>
      </c>
      <c r="G2311">
        <v>17.78</v>
      </c>
      <c r="H2311" t="s">
        <v>397</v>
      </c>
      <c r="I2311" t="s">
        <v>397</v>
      </c>
      <c r="J2311">
        <v>1247</v>
      </c>
      <c r="K2311">
        <v>0.64</v>
      </c>
      <c r="L2311">
        <v>0</v>
      </c>
      <c r="M2311">
        <v>0</v>
      </c>
    </row>
    <row r="2312" spans="1:13">
      <c r="A2312" s="28">
        <v>8290</v>
      </c>
      <c r="B2312" t="s">
        <v>2454</v>
      </c>
      <c r="C2312">
        <v>716</v>
      </c>
      <c r="D2312">
        <v>1</v>
      </c>
      <c r="E2312">
        <v>0.14000000000000001</v>
      </c>
      <c r="F2312" t="s">
        <v>397</v>
      </c>
      <c r="G2312" t="s">
        <v>397</v>
      </c>
      <c r="H2312" t="s">
        <v>397</v>
      </c>
      <c r="I2312" t="s">
        <v>397</v>
      </c>
      <c r="J2312">
        <v>352</v>
      </c>
      <c r="K2312">
        <v>2.0299999999999998</v>
      </c>
      <c r="L2312">
        <v>0</v>
      </c>
      <c r="M2312">
        <v>0</v>
      </c>
    </row>
    <row r="2313" spans="1:13">
      <c r="A2313" s="28">
        <v>376980</v>
      </c>
      <c r="B2313" t="s">
        <v>2455</v>
      </c>
      <c r="C2313">
        <v>8190</v>
      </c>
      <c r="D2313">
        <v>250</v>
      </c>
      <c r="E2313">
        <v>3.15</v>
      </c>
      <c r="F2313">
        <v>1002</v>
      </c>
      <c r="G2313">
        <v>8.17</v>
      </c>
      <c r="H2313" t="s">
        <v>397</v>
      </c>
      <c r="I2313" t="s">
        <v>397</v>
      </c>
      <c r="J2313">
        <v>4552</v>
      </c>
      <c r="K2313">
        <v>1.8</v>
      </c>
      <c r="L2313">
        <v>0</v>
      </c>
      <c r="M2313">
        <v>0</v>
      </c>
    </row>
    <row r="2314" spans="1:13">
      <c r="A2314" s="28">
        <v>336570</v>
      </c>
      <c r="B2314" t="s">
        <v>2456</v>
      </c>
      <c r="C2314">
        <v>8140</v>
      </c>
      <c r="D2314">
        <v>-50</v>
      </c>
      <c r="E2314">
        <v>-0.61</v>
      </c>
      <c r="F2314">
        <v>158</v>
      </c>
      <c r="G2314">
        <v>51.52</v>
      </c>
      <c r="H2314">
        <v>630</v>
      </c>
      <c r="I2314">
        <v>12.91</v>
      </c>
      <c r="J2314">
        <v>649</v>
      </c>
      <c r="K2314">
        <v>12.54</v>
      </c>
      <c r="L2314">
        <v>0</v>
      </c>
      <c r="M2314">
        <v>0</v>
      </c>
    </row>
    <row r="2315" spans="1:13">
      <c r="A2315" s="28">
        <v>30530</v>
      </c>
      <c r="B2315" t="s">
        <v>2457</v>
      </c>
      <c r="C2315">
        <v>3795</v>
      </c>
      <c r="D2315">
        <v>-70</v>
      </c>
      <c r="E2315">
        <v>-1.81</v>
      </c>
      <c r="F2315">
        <v>1333</v>
      </c>
      <c r="G2315">
        <v>2.85</v>
      </c>
      <c r="H2315" t="s">
        <v>397</v>
      </c>
      <c r="I2315" t="s">
        <v>397</v>
      </c>
      <c r="J2315">
        <v>14045</v>
      </c>
      <c r="K2315">
        <v>0.27</v>
      </c>
      <c r="L2315">
        <v>0</v>
      </c>
      <c r="M2315">
        <v>0</v>
      </c>
    </row>
    <row r="2316" spans="1:13">
      <c r="A2316" s="28">
        <v>217820</v>
      </c>
      <c r="B2316" t="s">
        <v>2458</v>
      </c>
      <c r="C2316">
        <v>5850</v>
      </c>
      <c r="D2316">
        <v>-20</v>
      </c>
      <c r="E2316">
        <v>-0.34</v>
      </c>
      <c r="F2316">
        <v>1</v>
      </c>
      <c r="G2316">
        <v>5850</v>
      </c>
      <c r="H2316" t="s">
        <v>397</v>
      </c>
      <c r="I2316" t="s">
        <v>397</v>
      </c>
      <c r="J2316">
        <v>2913</v>
      </c>
      <c r="K2316">
        <v>2.0099999999999998</v>
      </c>
      <c r="L2316">
        <v>0</v>
      </c>
      <c r="M2316">
        <v>0</v>
      </c>
    </row>
    <row r="2317" spans="1:13">
      <c r="A2317" s="28">
        <v>14190</v>
      </c>
      <c r="B2317" t="s">
        <v>2459</v>
      </c>
      <c r="C2317">
        <v>2005</v>
      </c>
      <c r="D2317">
        <v>0</v>
      </c>
      <c r="E2317">
        <v>0</v>
      </c>
      <c r="F2317">
        <v>121</v>
      </c>
      <c r="G2317">
        <v>16.57</v>
      </c>
      <c r="H2317" t="s">
        <v>397</v>
      </c>
      <c r="I2317" t="s">
        <v>397</v>
      </c>
      <c r="J2317">
        <v>2811</v>
      </c>
      <c r="K2317">
        <v>0.71</v>
      </c>
      <c r="L2317">
        <v>0</v>
      </c>
      <c r="M2317">
        <v>0</v>
      </c>
    </row>
    <row r="2318" spans="1:13">
      <c r="A2318" s="28">
        <v>32940</v>
      </c>
      <c r="B2318" t="s">
        <v>2460</v>
      </c>
      <c r="C2318">
        <v>3835</v>
      </c>
      <c r="D2318">
        <v>-80</v>
      </c>
      <c r="E2318">
        <v>-2.04</v>
      </c>
      <c r="F2318">
        <v>2102</v>
      </c>
      <c r="G2318">
        <v>1.82</v>
      </c>
      <c r="H2318" t="s">
        <v>397</v>
      </c>
      <c r="I2318" t="s">
        <v>397</v>
      </c>
      <c r="J2318">
        <v>13943</v>
      </c>
      <c r="K2318">
        <v>0.28000000000000003</v>
      </c>
      <c r="L2318">
        <v>0</v>
      </c>
      <c r="M2318">
        <v>0</v>
      </c>
    </row>
    <row r="2319" spans="1:13">
      <c r="A2319" s="28">
        <v>396470</v>
      </c>
      <c r="B2319" t="s">
        <v>2461</v>
      </c>
      <c r="C2319">
        <v>10100</v>
      </c>
      <c r="D2319">
        <v>-150</v>
      </c>
      <c r="E2319">
        <v>-1.46</v>
      </c>
      <c r="F2319">
        <v>489</v>
      </c>
      <c r="G2319">
        <v>20.65</v>
      </c>
      <c r="H2319" t="s">
        <v>397</v>
      </c>
      <c r="I2319" t="s">
        <v>397</v>
      </c>
      <c r="J2319">
        <v>2716</v>
      </c>
      <c r="K2319">
        <v>3.72</v>
      </c>
      <c r="L2319">
        <v>0</v>
      </c>
      <c r="M2319">
        <v>0</v>
      </c>
    </row>
    <row r="2320" spans="1:13">
      <c r="A2320" s="28">
        <v>16880</v>
      </c>
      <c r="B2320" t="s">
        <v>2462</v>
      </c>
      <c r="C2320">
        <v>1226</v>
      </c>
      <c r="D2320">
        <v>-12</v>
      </c>
      <c r="E2320">
        <v>-0.97</v>
      </c>
      <c r="F2320">
        <v>103</v>
      </c>
      <c r="G2320">
        <v>11.9</v>
      </c>
      <c r="H2320" t="s">
        <v>397</v>
      </c>
      <c r="I2320" t="s">
        <v>397</v>
      </c>
      <c r="J2320">
        <v>978</v>
      </c>
      <c r="K2320">
        <v>1.25</v>
      </c>
      <c r="L2320">
        <v>0</v>
      </c>
      <c r="M2320">
        <v>0</v>
      </c>
    </row>
    <row r="2321" spans="1:13">
      <c r="A2321" s="28">
        <v>10400</v>
      </c>
      <c r="B2321" t="s">
        <v>2463</v>
      </c>
      <c r="C2321">
        <v>5110</v>
      </c>
      <c r="D2321">
        <v>130</v>
      </c>
      <c r="E2321">
        <v>2.61</v>
      </c>
      <c r="F2321" t="s">
        <v>397</v>
      </c>
      <c r="G2321" t="s">
        <v>397</v>
      </c>
      <c r="H2321" t="s">
        <v>397</v>
      </c>
      <c r="I2321" t="s">
        <v>397</v>
      </c>
      <c r="J2321">
        <v>13930</v>
      </c>
      <c r="K2321">
        <v>0.37</v>
      </c>
      <c r="L2321">
        <v>0</v>
      </c>
      <c r="M2321">
        <v>0</v>
      </c>
    </row>
    <row r="2322" spans="1:13">
      <c r="A2322" s="28">
        <v>18620</v>
      </c>
      <c r="B2322" t="s">
        <v>2464</v>
      </c>
      <c r="C2322">
        <v>1133</v>
      </c>
      <c r="D2322">
        <v>-7</v>
      </c>
      <c r="E2322">
        <v>-0.61</v>
      </c>
      <c r="F2322">
        <v>29</v>
      </c>
      <c r="G2322">
        <v>39.07</v>
      </c>
      <c r="H2322" t="s">
        <v>397</v>
      </c>
      <c r="I2322" t="s">
        <v>397</v>
      </c>
      <c r="J2322">
        <v>1223</v>
      </c>
      <c r="K2322">
        <v>0.93</v>
      </c>
      <c r="L2322">
        <v>0</v>
      </c>
      <c r="M2322">
        <v>0</v>
      </c>
    </row>
    <row r="2323" spans="1:13">
      <c r="A2323" s="28">
        <v>123420</v>
      </c>
      <c r="B2323" t="s">
        <v>2465</v>
      </c>
      <c r="C2323">
        <v>11730</v>
      </c>
      <c r="D2323">
        <v>-870</v>
      </c>
      <c r="E2323">
        <v>-6.9</v>
      </c>
      <c r="F2323" t="s">
        <v>397</v>
      </c>
      <c r="G2323" t="s">
        <v>397</v>
      </c>
      <c r="H2323" t="s">
        <v>397</v>
      </c>
      <c r="I2323" t="s">
        <v>397</v>
      </c>
      <c r="J2323">
        <v>20481</v>
      </c>
      <c r="K2323">
        <v>0.56999999999999995</v>
      </c>
      <c r="L2323">
        <v>0</v>
      </c>
      <c r="M2323">
        <v>0</v>
      </c>
    </row>
    <row r="2324" spans="1:13">
      <c r="A2324" s="28">
        <v>299900</v>
      </c>
      <c r="B2324" t="s">
        <v>2466</v>
      </c>
      <c r="C2324">
        <v>2650</v>
      </c>
      <c r="D2324">
        <v>-115</v>
      </c>
      <c r="E2324">
        <v>-4.16</v>
      </c>
      <c r="F2324" t="s">
        <v>397</v>
      </c>
      <c r="G2324" t="s">
        <v>397</v>
      </c>
      <c r="H2324" t="s">
        <v>397</v>
      </c>
      <c r="I2324" t="s">
        <v>397</v>
      </c>
      <c r="J2324">
        <v>1057</v>
      </c>
      <c r="K2324">
        <v>2.5099999999999998</v>
      </c>
      <c r="L2324">
        <v>0</v>
      </c>
      <c r="M2324">
        <v>0</v>
      </c>
    </row>
    <row r="2325" spans="1:13">
      <c r="A2325" s="28">
        <v>32790</v>
      </c>
      <c r="B2325" t="s">
        <v>2467</v>
      </c>
      <c r="C2325">
        <v>1372</v>
      </c>
      <c r="D2325">
        <v>-52</v>
      </c>
      <c r="E2325">
        <v>-3.65</v>
      </c>
      <c r="F2325" t="s">
        <v>397</v>
      </c>
      <c r="G2325" t="s">
        <v>397</v>
      </c>
      <c r="H2325" t="s">
        <v>397</v>
      </c>
      <c r="I2325" t="s">
        <v>397</v>
      </c>
      <c r="J2325">
        <v>1393</v>
      </c>
      <c r="K2325">
        <v>0.98</v>
      </c>
      <c r="L2325">
        <v>0</v>
      </c>
      <c r="M2325">
        <v>0</v>
      </c>
    </row>
    <row r="2326" spans="1:13">
      <c r="A2326" s="28">
        <v>89850</v>
      </c>
      <c r="B2326" t="s">
        <v>2468</v>
      </c>
      <c r="C2326">
        <v>16360</v>
      </c>
      <c r="D2326">
        <v>160</v>
      </c>
      <c r="E2326">
        <v>0.99</v>
      </c>
      <c r="F2326">
        <v>410</v>
      </c>
      <c r="G2326">
        <v>39.9</v>
      </c>
      <c r="H2326" t="s">
        <v>397</v>
      </c>
      <c r="I2326" t="s">
        <v>397</v>
      </c>
      <c r="J2326">
        <v>13918</v>
      </c>
      <c r="K2326">
        <v>1.18</v>
      </c>
      <c r="L2326">
        <v>0</v>
      </c>
      <c r="M2326">
        <v>0</v>
      </c>
    </row>
    <row r="2327" spans="1:13">
      <c r="A2327" s="28">
        <v>430700</v>
      </c>
      <c r="B2327" t="s">
        <v>2469</v>
      </c>
      <c r="C2327">
        <v>2190</v>
      </c>
      <c r="D2327">
        <v>-5</v>
      </c>
      <c r="E2327">
        <v>-0.23</v>
      </c>
      <c r="F2327" t="s">
        <v>397</v>
      </c>
      <c r="G2327" t="s">
        <v>397</v>
      </c>
      <c r="H2327" t="s">
        <v>397</v>
      </c>
      <c r="I2327" t="s">
        <v>397</v>
      </c>
      <c r="J2327" t="s">
        <v>397</v>
      </c>
      <c r="K2327" t="s">
        <v>397</v>
      </c>
      <c r="L2327">
        <v>0</v>
      </c>
      <c r="M2327">
        <v>0</v>
      </c>
    </row>
    <row r="2328" spans="1:13">
      <c r="A2328" s="28">
        <v>473050</v>
      </c>
      <c r="B2328" t="s">
        <v>2470</v>
      </c>
      <c r="C2328">
        <v>2015</v>
      </c>
      <c r="D2328">
        <v>10</v>
      </c>
      <c r="E2328">
        <v>0.5</v>
      </c>
      <c r="F2328" t="s">
        <v>397</v>
      </c>
      <c r="G2328" t="s">
        <v>397</v>
      </c>
      <c r="H2328" t="s">
        <v>397</v>
      </c>
      <c r="I2328" t="s">
        <v>397</v>
      </c>
      <c r="J2328" t="s">
        <v>397</v>
      </c>
      <c r="K2328" t="s">
        <v>397</v>
      </c>
      <c r="L2328">
        <v>0</v>
      </c>
      <c r="M2328">
        <v>0</v>
      </c>
    </row>
    <row r="2329" spans="1:13">
      <c r="A2329" s="28">
        <v>450940</v>
      </c>
      <c r="B2329" t="s">
        <v>2471</v>
      </c>
      <c r="C2329">
        <v>2110</v>
      </c>
      <c r="D2329">
        <v>-10</v>
      </c>
      <c r="E2329">
        <v>-0.47</v>
      </c>
      <c r="F2329" t="s">
        <v>397</v>
      </c>
      <c r="G2329" t="s">
        <v>397</v>
      </c>
      <c r="H2329" t="s">
        <v>397</v>
      </c>
      <c r="I2329" t="s">
        <v>397</v>
      </c>
      <c r="J2329" t="s">
        <v>397</v>
      </c>
      <c r="K2329" t="s">
        <v>397</v>
      </c>
      <c r="L2329">
        <v>0</v>
      </c>
      <c r="M2329">
        <v>0</v>
      </c>
    </row>
    <row r="2330" spans="1:13">
      <c r="A2330" s="28">
        <v>449020</v>
      </c>
      <c r="B2330" t="s">
        <v>2472</v>
      </c>
      <c r="C2330">
        <v>2015</v>
      </c>
      <c r="D2330">
        <v>0</v>
      </c>
      <c r="E2330">
        <v>0</v>
      </c>
      <c r="F2330" t="s">
        <v>397</v>
      </c>
      <c r="G2330" t="s">
        <v>397</v>
      </c>
      <c r="H2330" t="s">
        <v>397</v>
      </c>
      <c r="I2330" t="s">
        <v>397</v>
      </c>
      <c r="J2330" t="s">
        <v>397</v>
      </c>
      <c r="K2330" t="s">
        <v>397</v>
      </c>
      <c r="L2330">
        <v>0</v>
      </c>
      <c r="M2330">
        <v>0</v>
      </c>
    </row>
    <row r="2331" spans="1:13">
      <c r="A2331" s="28">
        <v>446150</v>
      </c>
      <c r="B2331" t="s">
        <v>2473</v>
      </c>
      <c r="C2331">
        <v>2115</v>
      </c>
      <c r="D2331">
        <v>20</v>
      </c>
      <c r="E2331">
        <v>0.95</v>
      </c>
      <c r="F2331" t="s">
        <v>397</v>
      </c>
      <c r="G2331" t="s">
        <v>397</v>
      </c>
      <c r="H2331" t="s">
        <v>397</v>
      </c>
      <c r="I2331" t="s">
        <v>397</v>
      </c>
      <c r="J2331" t="s">
        <v>397</v>
      </c>
      <c r="K2331" t="s">
        <v>397</v>
      </c>
      <c r="L2331">
        <v>0</v>
      </c>
      <c r="M2331">
        <v>0</v>
      </c>
    </row>
    <row r="2332" spans="1:13">
      <c r="A2332" s="28">
        <v>444920</v>
      </c>
      <c r="B2332" t="s">
        <v>2474</v>
      </c>
      <c r="C2332">
        <v>2085</v>
      </c>
      <c r="D2332">
        <v>-5</v>
      </c>
      <c r="E2332">
        <v>-0.24</v>
      </c>
      <c r="F2332" t="s">
        <v>397</v>
      </c>
      <c r="G2332" t="s">
        <v>397</v>
      </c>
      <c r="H2332" t="s">
        <v>397</v>
      </c>
      <c r="I2332" t="s">
        <v>397</v>
      </c>
      <c r="J2332" t="s">
        <v>397</v>
      </c>
      <c r="K2332" t="s">
        <v>397</v>
      </c>
      <c r="L2332">
        <v>0</v>
      </c>
      <c r="M2332">
        <v>0</v>
      </c>
    </row>
    <row r="2333" spans="1:13">
      <c r="A2333" s="28">
        <v>435380</v>
      </c>
      <c r="B2333" t="s">
        <v>2475</v>
      </c>
      <c r="C2333">
        <v>2155</v>
      </c>
      <c r="D2333">
        <v>0</v>
      </c>
      <c r="E2333">
        <v>0</v>
      </c>
      <c r="F2333" t="s">
        <v>397</v>
      </c>
      <c r="G2333" t="s">
        <v>397</v>
      </c>
      <c r="H2333" t="s">
        <v>397</v>
      </c>
      <c r="I2333" t="s">
        <v>397</v>
      </c>
      <c r="J2333" t="s">
        <v>397</v>
      </c>
      <c r="K2333" t="s">
        <v>397</v>
      </c>
      <c r="L2333">
        <v>0</v>
      </c>
      <c r="M2333">
        <v>0</v>
      </c>
    </row>
    <row r="2334" spans="1:13">
      <c r="A2334" s="28">
        <v>49520</v>
      </c>
      <c r="B2334" t="s">
        <v>2476</v>
      </c>
      <c r="C2334">
        <v>4710</v>
      </c>
      <c r="D2334">
        <v>-55</v>
      </c>
      <c r="E2334">
        <v>-1.1499999999999999</v>
      </c>
      <c r="F2334">
        <v>328</v>
      </c>
      <c r="G2334">
        <v>14.36</v>
      </c>
      <c r="H2334" t="s">
        <v>397</v>
      </c>
      <c r="I2334" t="s">
        <v>397</v>
      </c>
      <c r="J2334">
        <v>7062</v>
      </c>
      <c r="K2334">
        <v>0.67</v>
      </c>
      <c r="L2334">
        <v>0</v>
      </c>
      <c r="M2334">
        <v>0</v>
      </c>
    </row>
    <row r="2335" spans="1:13">
      <c r="A2335" s="28">
        <v>69330</v>
      </c>
      <c r="B2335" t="s">
        <v>2477</v>
      </c>
      <c r="C2335">
        <v>1382</v>
      </c>
      <c r="D2335">
        <v>-1</v>
      </c>
      <c r="E2335">
        <v>-7.0000000000000007E-2</v>
      </c>
      <c r="F2335">
        <v>266</v>
      </c>
      <c r="G2335">
        <v>5.2</v>
      </c>
      <c r="H2335" t="s">
        <v>397</v>
      </c>
      <c r="I2335" t="s">
        <v>397</v>
      </c>
      <c r="J2335">
        <v>1544</v>
      </c>
      <c r="K2335">
        <v>0.9</v>
      </c>
      <c r="L2335">
        <v>0</v>
      </c>
      <c r="M2335">
        <v>0</v>
      </c>
    </row>
    <row r="2336" spans="1:13">
      <c r="A2336" s="28">
        <v>24800</v>
      </c>
      <c r="B2336" t="s">
        <v>2478</v>
      </c>
      <c r="C2336">
        <v>2165</v>
      </c>
      <c r="D2336">
        <v>25</v>
      </c>
      <c r="E2336">
        <v>1.17</v>
      </c>
      <c r="F2336">
        <v>1877</v>
      </c>
      <c r="G2336">
        <v>1.1499999999999999</v>
      </c>
      <c r="H2336" t="s">
        <v>397</v>
      </c>
      <c r="I2336" t="s">
        <v>397</v>
      </c>
      <c r="J2336">
        <v>12711</v>
      </c>
      <c r="K2336">
        <v>0.17</v>
      </c>
      <c r="L2336">
        <v>0</v>
      </c>
      <c r="M2336">
        <v>0</v>
      </c>
    </row>
    <row r="2337" spans="1:13">
      <c r="A2337" s="28">
        <v>84440</v>
      </c>
      <c r="B2337" t="s">
        <v>2479</v>
      </c>
      <c r="C2337">
        <v>1320</v>
      </c>
      <c r="D2337">
        <v>0</v>
      </c>
      <c r="E2337">
        <v>0</v>
      </c>
      <c r="F2337">
        <v>128</v>
      </c>
      <c r="G2337">
        <v>10.31</v>
      </c>
      <c r="H2337" t="s">
        <v>397</v>
      </c>
      <c r="I2337" t="s">
        <v>397</v>
      </c>
      <c r="J2337">
        <v>260</v>
      </c>
      <c r="K2337">
        <v>5.08</v>
      </c>
      <c r="L2337">
        <v>0</v>
      </c>
      <c r="M2337">
        <v>0</v>
      </c>
    </row>
    <row r="2338" spans="1:13">
      <c r="A2338" s="28">
        <v>206650</v>
      </c>
      <c r="B2338" t="s">
        <v>2480</v>
      </c>
      <c r="C2338">
        <v>12750</v>
      </c>
      <c r="D2338">
        <v>-40</v>
      </c>
      <c r="E2338">
        <v>-0.31</v>
      </c>
      <c r="F2338" t="s">
        <v>397</v>
      </c>
      <c r="G2338" t="s">
        <v>397</v>
      </c>
      <c r="H2338">
        <v>970</v>
      </c>
      <c r="I2338">
        <v>13.14</v>
      </c>
      <c r="J2338">
        <v>3416</v>
      </c>
      <c r="K2338">
        <v>3.73</v>
      </c>
      <c r="L2338">
        <v>0</v>
      </c>
      <c r="M2338">
        <v>0</v>
      </c>
    </row>
    <row r="2339" spans="1:13">
      <c r="A2339" s="28">
        <v>36090</v>
      </c>
      <c r="B2339" t="s">
        <v>2481</v>
      </c>
      <c r="C2339">
        <v>847</v>
      </c>
      <c r="D2339">
        <v>-38</v>
      </c>
      <c r="E2339">
        <v>-4.29</v>
      </c>
      <c r="F2339">
        <v>142</v>
      </c>
      <c r="G2339">
        <v>5.96</v>
      </c>
      <c r="H2339" t="s">
        <v>397</v>
      </c>
      <c r="I2339" t="s">
        <v>397</v>
      </c>
      <c r="J2339">
        <v>1348</v>
      </c>
      <c r="K2339">
        <v>0.63</v>
      </c>
      <c r="L2339">
        <v>0</v>
      </c>
      <c r="M2339">
        <v>0</v>
      </c>
    </row>
    <row r="2340" spans="1:13">
      <c r="A2340" s="28">
        <v>241690</v>
      </c>
      <c r="B2340" t="s">
        <v>2482</v>
      </c>
      <c r="C2340">
        <v>4250</v>
      </c>
      <c r="D2340">
        <v>0</v>
      </c>
      <c r="E2340">
        <v>0</v>
      </c>
      <c r="F2340">
        <v>198</v>
      </c>
      <c r="G2340">
        <v>21.46</v>
      </c>
      <c r="H2340" t="s">
        <v>397</v>
      </c>
      <c r="I2340" t="s">
        <v>397</v>
      </c>
      <c r="J2340">
        <v>4780</v>
      </c>
      <c r="K2340">
        <v>0.89</v>
      </c>
      <c r="L2340">
        <v>0</v>
      </c>
      <c r="M2340">
        <v>0</v>
      </c>
    </row>
    <row r="2341" spans="1:13">
      <c r="A2341" s="28">
        <v>86390</v>
      </c>
      <c r="B2341" t="s">
        <v>2483</v>
      </c>
      <c r="C2341">
        <v>17070</v>
      </c>
      <c r="D2341">
        <v>-790</v>
      </c>
      <c r="E2341">
        <v>-4.42</v>
      </c>
      <c r="F2341" t="s">
        <v>397</v>
      </c>
      <c r="G2341" t="s">
        <v>397</v>
      </c>
      <c r="H2341" t="s">
        <v>397</v>
      </c>
      <c r="I2341" t="s">
        <v>397</v>
      </c>
      <c r="J2341">
        <v>6985</v>
      </c>
      <c r="K2341">
        <v>2.44</v>
      </c>
      <c r="L2341">
        <v>0</v>
      </c>
      <c r="M2341">
        <v>0</v>
      </c>
    </row>
    <row r="2342" spans="1:13">
      <c r="A2342" s="28">
        <v>203450</v>
      </c>
      <c r="B2342" t="s">
        <v>2484</v>
      </c>
      <c r="C2342">
        <v>3345</v>
      </c>
      <c r="D2342">
        <v>-30</v>
      </c>
      <c r="E2342">
        <v>-0.89</v>
      </c>
      <c r="F2342">
        <v>166</v>
      </c>
      <c r="G2342">
        <v>20.149999999999999</v>
      </c>
      <c r="H2342" t="s">
        <v>397</v>
      </c>
      <c r="I2342" t="s">
        <v>397</v>
      </c>
      <c r="J2342">
        <v>2863</v>
      </c>
      <c r="K2342">
        <v>1.17</v>
      </c>
      <c r="L2342">
        <v>0</v>
      </c>
      <c r="M2342">
        <v>0</v>
      </c>
    </row>
    <row r="2343" spans="1:13">
      <c r="A2343" s="28">
        <v>18000</v>
      </c>
      <c r="B2343" t="s">
        <v>2485</v>
      </c>
      <c r="C2343">
        <v>1018</v>
      </c>
      <c r="D2343">
        <v>-73</v>
      </c>
      <c r="E2343">
        <v>-6.69</v>
      </c>
      <c r="F2343" t="s">
        <v>397</v>
      </c>
      <c r="G2343" t="s">
        <v>397</v>
      </c>
      <c r="H2343" t="s">
        <v>397</v>
      </c>
      <c r="I2343" t="s">
        <v>397</v>
      </c>
      <c r="J2343">
        <v>550</v>
      </c>
      <c r="K2343">
        <v>1.85</v>
      </c>
      <c r="L2343">
        <v>0</v>
      </c>
      <c r="M2343">
        <v>0</v>
      </c>
    </row>
    <row r="2344" spans="1:13">
      <c r="A2344" s="28">
        <v>446070</v>
      </c>
      <c r="B2344" t="s">
        <v>2486</v>
      </c>
      <c r="C2344">
        <v>5010</v>
      </c>
      <c r="D2344">
        <v>-20</v>
      </c>
      <c r="E2344">
        <v>-0.4</v>
      </c>
      <c r="F2344">
        <v>90</v>
      </c>
      <c r="G2344">
        <v>55.67</v>
      </c>
      <c r="H2344" t="s">
        <v>397</v>
      </c>
      <c r="I2344" t="s">
        <v>397</v>
      </c>
      <c r="J2344">
        <v>18122</v>
      </c>
      <c r="K2344">
        <v>0.28000000000000003</v>
      </c>
      <c r="L2344">
        <v>0</v>
      </c>
      <c r="M2344">
        <v>0</v>
      </c>
    </row>
    <row r="2345" spans="1:13">
      <c r="A2345" s="28">
        <v>335870</v>
      </c>
      <c r="B2345" t="s">
        <v>2487</v>
      </c>
      <c r="C2345">
        <v>1508</v>
      </c>
      <c r="D2345">
        <v>7</v>
      </c>
      <c r="E2345">
        <v>0.47</v>
      </c>
      <c r="F2345" t="s">
        <v>397</v>
      </c>
      <c r="G2345" t="s">
        <v>397</v>
      </c>
      <c r="H2345" t="s">
        <v>397</v>
      </c>
      <c r="I2345" t="s">
        <v>397</v>
      </c>
      <c r="J2345">
        <v>1659</v>
      </c>
      <c r="K2345">
        <v>0.91</v>
      </c>
      <c r="L2345">
        <v>0</v>
      </c>
      <c r="M2345">
        <v>0</v>
      </c>
    </row>
    <row r="2346" spans="1:13">
      <c r="A2346" s="28">
        <v>8600</v>
      </c>
      <c r="B2346" t="s">
        <v>2488</v>
      </c>
      <c r="C2346">
        <v>530</v>
      </c>
      <c r="D2346">
        <v>45</v>
      </c>
      <c r="E2346">
        <v>9.2799999999999994</v>
      </c>
      <c r="F2346" t="s">
        <v>397</v>
      </c>
      <c r="G2346" t="s">
        <v>397</v>
      </c>
      <c r="H2346" t="s">
        <v>397</v>
      </c>
      <c r="I2346" t="s">
        <v>397</v>
      </c>
      <c r="J2346">
        <v>1522</v>
      </c>
      <c r="K2346">
        <v>0.35</v>
      </c>
      <c r="L2346">
        <v>0</v>
      </c>
      <c r="M2346">
        <v>0</v>
      </c>
    </row>
    <row r="2347" spans="1:13">
      <c r="A2347" s="28">
        <v>313760</v>
      </c>
      <c r="B2347" t="s">
        <v>2489</v>
      </c>
      <c r="C2347">
        <v>6750</v>
      </c>
      <c r="D2347">
        <v>-1170</v>
      </c>
      <c r="E2347">
        <v>-14.77</v>
      </c>
      <c r="F2347" t="s">
        <v>397</v>
      </c>
      <c r="G2347" t="s">
        <v>397</v>
      </c>
      <c r="H2347" t="s">
        <v>397</v>
      </c>
      <c r="I2347" t="s">
        <v>397</v>
      </c>
      <c r="J2347">
        <v>5344</v>
      </c>
      <c r="K2347">
        <v>1.26</v>
      </c>
      <c r="L2347">
        <v>0</v>
      </c>
      <c r="M2347">
        <v>0</v>
      </c>
    </row>
    <row r="2348" spans="1:13">
      <c r="A2348" s="28">
        <v>192390</v>
      </c>
      <c r="B2348" t="s">
        <v>2490</v>
      </c>
      <c r="C2348">
        <v>3585</v>
      </c>
      <c r="D2348">
        <v>-20</v>
      </c>
      <c r="E2348">
        <v>-0.55000000000000004</v>
      </c>
      <c r="F2348">
        <v>590</v>
      </c>
      <c r="G2348">
        <v>6.08</v>
      </c>
      <c r="H2348" t="s">
        <v>397</v>
      </c>
      <c r="I2348" t="s">
        <v>397</v>
      </c>
      <c r="J2348">
        <v>5848</v>
      </c>
      <c r="K2348">
        <v>0.61</v>
      </c>
      <c r="L2348">
        <v>0</v>
      </c>
      <c r="M2348">
        <v>0</v>
      </c>
    </row>
    <row r="2349" spans="1:13">
      <c r="A2349" s="28">
        <v>97800</v>
      </c>
      <c r="B2349" t="s">
        <v>2491</v>
      </c>
      <c r="C2349">
        <v>1187</v>
      </c>
      <c r="D2349">
        <v>5</v>
      </c>
      <c r="E2349">
        <v>0.42</v>
      </c>
      <c r="F2349" t="s">
        <v>397</v>
      </c>
      <c r="G2349" t="s">
        <v>397</v>
      </c>
      <c r="H2349" t="s">
        <v>397</v>
      </c>
      <c r="I2349" t="s">
        <v>397</v>
      </c>
      <c r="J2349">
        <v>1278</v>
      </c>
      <c r="K2349">
        <v>0.93</v>
      </c>
      <c r="L2349">
        <v>0</v>
      </c>
      <c r="M2349">
        <v>0</v>
      </c>
    </row>
    <row r="2350" spans="1:13">
      <c r="A2350" s="28">
        <v>320000</v>
      </c>
      <c r="B2350" t="s">
        <v>2492</v>
      </c>
      <c r="C2350">
        <v>3635</v>
      </c>
      <c r="D2350">
        <v>-215</v>
      </c>
      <c r="E2350">
        <v>-5.58</v>
      </c>
      <c r="F2350">
        <v>96</v>
      </c>
      <c r="G2350">
        <v>37.86</v>
      </c>
      <c r="H2350" t="s">
        <v>397</v>
      </c>
      <c r="I2350" t="s">
        <v>397</v>
      </c>
      <c r="J2350">
        <v>1228</v>
      </c>
      <c r="K2350">
        <v>2.96</v>
      </c>
      <c r="L2350">
        <v>0</v>
      </c>
      <c r="M2350">
        <v>0</v>
      </c>
    </row>
    <row r="2351" spans="1:13">
      <c r="A2351" s="28">
        <v>215380</v>
      </c>
      <c r="B2351" t="s">
        <v>2493</v>
      </c>
      <c r="C2351">
        <v>1863</v>
      </c>
      <c r="D2351">
        <v>23</v>
      </c>
      <c r="E2351">
        <v>1.25</v>
      </c>
      <c r="F2351" t="s">
        <v>397</v>
      </c>
      <c r="G2351" t="s">
        <v>397</v>
      </c>
      <c r="H2351" t="s">
        <v>397</v>
      </c>
      <c r="I2351" t="s">
        <v>397</v>
      </c>
      <c r="J2351">
        <v>2322</v>
      </c>
      <c r="K2351">
        <v>0.8</v>
      </c>
      <c r="L2351">
        <v>0</v>
      </c>
      <c r="M2351">
        <v>0</v>
      </c>
    </row>
    <row r="2352" spans="1:13">
      <c r="A2352" s="28">
        <v>46940</v>
      </c>
      <c r="B2352" t="s">
        <v>2494</v>
      </c>
      <c r="C2352">
        <v>3020</v>
      </c>
      <c r="D2352">
        <v>-20</v>
      </c>
      <c r="E2352">
        <v>-0.66</v>
      </c>
      <c r="F2352">
        <v>207</v>
      </c>
      <c r="G2352">
        <v>14.59</v>
      </c>
      <c r="H2352" t="s">
        <v>397</v>
      </c>
      <c r="I2352" t="s">
        <v>397</v>
      </c>
      <c r="J2352">
        <v>5745</v>
      </c>
      <c r="K2352">
        <v>0.53</v>
      </c>
      <c r="L2352">
        <v>0</v>
      </c>
      <c r="M2352">
        <v>0</v>
      </c>
    </row>
    <row r="2353" spans="1:13">
      <c r="A2353" s="28">
        <v>103840</v>
      </c>
      <c r="B2353" t="s">
        <v>2495</v>
      </c>
      <c r="C2353">
        <v>4285</v>
      </c>
      <c r="D2353">
        <v>-5</v>
      </c>
      <c r="E2353">
        <v>-0.12</v>
      </c>
      <c r="F2353" t="s">
        <v>397</v>
      </c>
      <c r="G2353" t="s">
        <v>397</v>
      </c>
      <c r="H2353" t="s">
        <v>397</v>
      </c>
      <c r="I2353" t="s">
        <v>397</v>
      </c>
      <c r="J2353">
        <v>2810</v>
      </c>
      <c r="K2353">
        <v>1.52</v>
      </c>
      <c r="L2353">
        <v>0</v>
      </c>
      <c r="M2353">
        <v>0</v>
      </c>
    </row>
    <row r="2354" spans="1:13">
      <c r="A2354" s="28">
        <v>65500</v>
      </c>
      <c r="B2354" t="s">
        <v>2496</v>
      </c>
      <c r="C2354">
        <v>1327</v>
      </c>
      <c r="D2354">
        <v>-103</v>
      </c>
      <c r="E2354">
        <v>-7.2</v>
      </c>
      <c r="F2354" t="s">
        <v>397</v>
      </c>
      <c r="G2354" t="s">
        <v>397</v>
      </c>
      <c r="H2354" t="s">
        <v>397</v>
      </c>
      <c r="I2354" t="s">
        <v>397</v>
      </c>
      <c r="J2354">
        <v>1376</v>
      </c>
      <c r="K2354">
        <v>0.96</v>
      </c>
      <c r="L2354">
        <v>0</v>
      </c>
      <c r="M2354">
        <v>0</v>
      </c>
    </row>
    <row r="2355" spans="1:13">
      <c r="A2355" s="28">
        <v>394280</v>
      </c>
      <c r="B2355" t="s">
        <v>2497</v>
      </c>
      <c r="C2355">
        <v>31950</v>
      </c>
      <c r="D2355">
        <v>1250</v>
      </c>
      <c r="E2355">
        <v>4.07</v>
      </c>
      <c r="F2355" t="s">
        <v>397</v>
      </c>
      <c r="G2355" t="s">
        <v>397</v>
      </c>
      <c r="H2355">
        <v>257</v>
      </c>
      <c r="I2355">
        <v>124.19</v>
      </c>
      <c r="J2355">
        <v>1524</v>
      </c>
      <c r="K2355">
        <v>20.96</v>
      </c>
      <c r="L2355">
        <v>0</v>
      </c>
      <c r="M2355">
        <v>0</v>
      </c>
    </row>
    <row r="2356" spans="1:13">
      <c r="A2356" s="28">
        <v>440320</v>
      </c>
      <c r="B2356" t="s">
        <v>2498</v>
      </c>
      <c r="C2356">
        <v>7000</v>
      </c>
      <c r="D2356">
        <v>-50</v>
      </c>
      <c r="E2356">
        <v>-0.71</v>
      </c>
      <c r="F2356" t="s">
        <v>397</v>
      </c>
      <c r="G2356" t="s">
        <v>397</v>
      </c>
      <c r="H2356" t="s">
        <v>397</v>
      </c>
      <c r="I2356" t="s">
        <v>397</v>
      </c>
      <c r="J2356">
        <v>2536</v>
      </c>
      <c r="K2356">
        <v>2.76</v>
      </c>
      <c r="L2356">
        <v>0</v>
      </c>
      <c r="M2356">
        <v>0</v>
      </c>
    </row>
    <row r="2357" spans="1:13">
      <c r="A2357" s="28">
        <v>353590</v>
      </c>
      <c r="B2357" t="s">
        <v>2499</v>
      </c>
      <c r="C2357">
        <v>6230</v>
      </c>
      <c r="D2357">
        <v>-110</v>
      </c>
      <c r="E2357">
        <v>-1.74</v>
      </c>
      <c r="F2357" t="s">
        <v>397</v>
      </c>
      <c r="G2357" t="s">
        <v>397</v>
      </c>
      <c r="H2357" t="s">
        <v>397</v>
      </c>
      <c r="I2357" t="s">
        <v>397</v>
      </c>
      <c r="J2357">
        <v>2337</v>
      </c>
      <c r="K2357">
        <v>2.67</v>
      </c>
      <c r="L2357">
        <v>0</v>
      </c>
      <c r="M2357">
        <v>0</v>
      </c>
    </row>
    <row r="2358" spans="1:13">
      <c r="A2358" s="28">
        <v>80580</v>
      </c>
      <c r="B2358" t="s">
        <v>2500</v>
      </c>
      <c r="C2358">
        <v>10860</v>
      </c>
      <c r="D2358">
        <v>120</v>
      </c>
      <c r="E2358">
        <v>1.1200000000000001</v>
      </c>
      <c r="F2358">
        <v>162</v>
      </c>
      <c r="G2358">
        <v>67.040000000000006</v>
      </c>
      <c r="H2358" t="s">
        <v>397</v>
      </c>
      <c r="I2358" t="s">
        <v>397</v>
      </c>
      <c r="J2358">
        <v>1876</v>
      </c>
      <c r="K2358">
        <v>5.79</v>
      </c>
      <c r="L2358">
        <v>0</v>
      </c>
      <c r="M2358">
        <v>0</v>
      </c>
    </row>
    <row r="2359" spans="1:13">
      <c r="A2359" s="28">
        <v>368970</v>
      </c>
      <c r="B2359" t="s">
        <v>2501</v>
      </c>
      <c r="C2359">
        <v>5020</v>
      </c>
      <c r="D2359">
        <v>-120</v>
      </c>
      <c r="E2359">
        <v>-2.33</v>
      </c>
      <c r="F2359">
        <v>143</v>
      </c>
      <c r="G2359">
        <v>35.1</v>
      </c>
      <c r="H2359" t="s">
        <v>397</v>
      </c>
      <c r="I2359" t="s">
        <v>397</v>
      </c>
      <c r="J2359">
        <v>3707</v>
      </c>
      <c r="K2359">
        <v>1.35</v>
      </c>
      <c r="L2359">
        <v>0</v>
      </c>
      <c r="M2359">
        <v>0</v>
      </c>
    </row>
    <row r="2360" spans="1:13">
      <c r="A2360" s="28">
        <v>226400</v>
      </c>
      <c r="B2360" t="s">
        <v>2502</v>
      </c>
      <c r="C2360">
        <v>4980</v>
      </c>
      <c r="D2360">
        <v>-50</v>
      </c>
      <c r="E2360">
        <v>-0.99</v>
      </c>
      <c r="F2360">
        <v>50</v>
      </c>
      <c r="G2360">
        <v>99.6</v>
      </c>
      <c r="H2360" t="s">
        <v>397</v>
      </c>
      <c r="I2360" t="s">
        <v>397</v>
      </c>
      <c r="J2360">
        <v>2190</v>
      </c>
      <c r="K2360">
        <v>2.27</v>
      </c>
      <c r="L2360">
        <v>0</v>
      </c>
      <c r="M2360">
        <v>0</v>
      </c>
    </row>
    <row r="2361" spans="1:13">
      <c r="A2361" s="28">
        <v>39200</v>
      </c>
      <c r="B2361" t="s">
        <v>2503</v>
      </c>
      <c r="C2361">
        <v>27250</v>
      </c>
      <c r="D2361">
        <v>-750</v>
      </c>
      <c r="E2361">
        <v>-2.68</v>
      </c>
      <c r="F2361" t="s">
        <v>397</v>
      </c>
      <c r="G2361" t="s">
        <v>397</v>
      </c>
      <c r="H2361" t="s">
        <v>397</v>
      </c>
      <c r="I2361" t="s">
        <v>397</v>
      </c>
      <c r="J2361">
        <v>3334</v>
      </c>
      <c r="K2361">
        <v>8.17</v>
      </c>
      <c r="L2361">
        <v>0</v>
      </c>
      <c r="M2361">
        <v>0</v>
      </c>
    </row>
    <row r="2362" spans="1:13">
      <c r="A2362" s="28">
        <v>52420</v>
      </c>
      <c r="B2362" t="s">
        <v>2504</v>
      </c>
      <c r="C2362">
        <v>1391</v>
      </c>
      <c r="D2362">
        <v>0</v>
      </c>
      <c r="E2362">
        <v>0</v>
      </c>
      <c r="F2362">
        <v>39</v>
      </c>
      <c r="G2362">
        <v>35.67</v>
      </c>
      <c r="H2362" t="s">
        <v>397</v>
      </c>
      <c r="I2362" t="s">
        <v>397</v>
      </c>
      <c r="J2362">
        <v>2857</v>
      </c>
      <c r="K2362">
        <v>0.49</v>
      </c>
      <c r="L2362">
        <v>0</v>
      </c>
      <c r="M2362">
        <v>0</v>
      </c>
    </row>
    <row r="2363" spans="1:13">
      <c r="A2363" s="28">
        <v>53980</v>
      </c>
      <c r="B2363" t="s">
        <v>2505</v>
      </c>
      <c r="C2363">
        <v>5070</v>
      </c>
      <c r="D2363">
        <v>-70</v>
      </c>
      <c r="E2363">
        <v>-1.36</v>
      </c>
      <c r="F2363">
        <v>447</v>
      </c>
      <c r="G2363">
        <v>11.34</v>
      </c>
      <c r="H2363" t="s">
        <v>397</v>
      </c>
      <c r="I2363" t="s">
        <v>397</v>
      </c>
      <c r="J2363">
        <v>3817</v>
      </c>
      <c r="K2363">
        <v>1.33</v>
      </c>
      <c r="L2363">
        <v>0</v>
      </c>
      <c r="M2363">
        <v>0</v>
      </c>
    </row>
    <row r="2364" spans="1:13">
      <c r="A2364" s="28">
        <v>352910</v>
      </c>
      <c r="B2364" t="s">
        <v>2506</v>
      </c>
      <c r="C2364">
        <v>8120</v>
      </c>
      <c r="D2364">
        <v>-120</v>
      </c>
      <c r="E2364">
        <v>-1.46</v>
      </c>
      <c r="F2364" t="s">
        <v>397</v>
      </c>
      <c r="G2364" t="s">
        <v>397</v>
      </c>
      <c r="H2364" t="s">
        <v>397</v>
      </c>
      <c r="I2364" t="s">
        <v>397</v>
      </c>
      <c r="J2364">
        <v>2879</v>
      </c>
      <c r="K2364">
        <v>2.82</v>
      </c>
      <c r="L2364">
        <v>0</v>
      </c>
      <c r="M2364">
        <v>0</v>
      </c>
    </row>
    <row r="2365" spans="1:13">
      <c r="A2365" s="28">
        <v>417860</v>
      </c>
      <c r="B2365" t="s">
        <v>2507</v>
      </c>
      <c r="C2365">
        <v>17760</v>
      </c>
      <c r="D2365">
        <v>320</v>
      </c>
      <c r="E2365">
        <v>1.83</v>
      </c>
      <c r="F2365" t="s">
        <v>397</v>
      </c>
      <c r="G2365" t="s">
        <v>397</v>
      </c>
      <c r="H2365" t="s">
        <v>397</v>
      </c>
      <c r="I2365" t="s">
        <v>397</v>
      </c>
      <c r="J2365">
        <v>34</v>
      </c>
      <c r="K2365">
        <v>522.35</v>
      </c>
      <c r="L2365">
        <v>0</v>
      </c>
      <c r="M2365">
        <v>0</v>
      </c>
    </row>
    <row r="2366" spans="1:13">
      <c r="A2366" s="28">
        <v>2630</v>
      </c>
      <c r="B2366" t="s">
        <v>2508</v>
      </c>
      <c r="C2366">
        <v>559</v>
      </c>
      <c r="D2366">
        <v>-4</v>
      </c>
      <c r="E2366">
        <v>-0.71</v>
      </c>
      <c r="F2366" t="s">
        <v>397</v>
      </c>
      <c r="G2366" t="s">
        <v>397</v>
      </c>
      <c r="H2366" t="s">
        <v>397</v>
      </c>
      <c r="I2366" t="s">
        <v>397</v>
      </c>
      <c r="J2366">
        <v>602</v>
      </c>
      <c r="K2366">
        <v>0.93</v>
      </c>
      <c r="L2366">
        <v>0</v>
      </c>
      <c r="M2366">
        <v>0</v>
      </c>
    </row>
    <row r="2367" spans="1:13">
      <c r="A2367" s="28">
        <v>66590</v>
      </c>
      <c r="B2367" t="s">
        <v>2509</v>
      </c>
      <c r="C2367">
        <v>3040</v>
      </c>
      <c r="D2367">
        <v>-10</v>
      </c>
      <c r="E2367">
        <v>-0.33</v>
      </c>
      <c r="F2367" t="s">
        <v>397</v>
      </c>
      <c r="G2367" t="s">
        <v>397</v>
      </c>
      <c r="H2367" t="s">
        <v>397</v>
      </c>
      <c r="I2367" t="s">
        <v>397</v>
      </c>
      <c r="J2367">
        <v>1867</v>
      </c>
      <c r="K2367">
        <v>1.63</v>
      </c>
      <c r="L2367">
        <v>0</v>
      </c>
      <c r="M2367">
        <v>0</v>
      </c>
    </row>
    <row r="2368" spans="1:13">
      <c r="A2368" s="28">
        <v>46120</v>
      </c>
      <c r="B2368" t="s">
        <v>2510</v>
      </c>
      <c r="C2368">
        <v>3450</v>
      </c>
      <c r="D2368">
        <v>-45</v>
      </c>
      <c r="E2368">
        <v>-1.29</v>
      </c>
      <c r="F2368" t="s">
        <v>397</v>
      </c>
      <c r="G2368" t="s">
        <v>397</v>
      </c>
      <c r="H2368" t="s">
        <v>397</v>
      </c>
      <c r="I2368" t="s">
        <v>397</v>
      </c>
      <c r="J2368">
        <v>2120</v>
      </c>
      <c r="K2368">
        <v>1.63</v>
      </c>
      <c r="L2368">
        <v>0</v>
      </c>
      <c r="M2368">
        <v>0</v>
      </c>
    </row>
    <row r="2369" spans="1:13">
      <c r="A2369" s="28">
        <v>322310</v>
      </c>
      <c r="B2369" t="s">
        <v>2511</v>
      </c>
      <c r="C2369">
        <v>32800</v>
      </c>
      <c r="D2369">
        <v>-50</v>
      </c>
      <c r="E2369">
        <v>-0.15</v>
      </c>
      <c r="F2369" t="s">
        <v>397</v>
      </c>
      <c r="G2369" t="s">
        <v>397</v>
      </c>
      <c r="H2369" t="s">
        <v>397</v>
      </c>
      <c r="I2369" t="s">
        <v>397</v>
      </c>
      <c r="J2369">
        <v>6597</v>
      </c>
      <c r="K2369">
        <v>4.97</v>
      </c>
      <c r="L2369">
        <v>0</v>
      </c>
      <c r="M2369">
        <v>0</v>
      </c>
    </row>
    <row r="2370" spans="1:13">
      <c r="A2370" s="28">
        <v>122640</v>
      </c>
      <c r="B2370" t="s">
        <v>2512</v>
      </c>
      <c r="C2370">
        <v>20800</v>
      </c>
      <c r="D2370">
        <v>600</v>
      </c>
      <c r="E2370">
        <v>2.97</v>
      </c>
      <c r="F2370" t="s">
        <v>397</v>
      </c>
      <c r="G2370" t="s">
        <v>397</v>
      </c>
      <c r="H2370" t="s">
        <v>397</v>
      </c>
      <c r="I2370" t="s">
        <v>397</v>
      </c>
      <c r="J2370">
        <v>4673</v>
      </c>
      <c r="K2370">
        <v>4.45</v>
      </c>
      <c r="L2370">
        <v>0</v>
      </c>
      <c r="M2370">
        <v>0</v>
      </c>
    </row>
    <row r="2371" spans="1:13">
      <c r="A2371" s="28">
        <v>250930</v>
      </c>
      <c r="B2371" t="s">
        <v>2513</v>
      </c>
      <c r="C2371">
        <v>709</v>
      </c>
      <c r="D2371">
        <v>10</v>
      </c>
      <c r="E2371">
        <v>1.43</v>
      </c>
      <c r="F2371" t="s">
        <v>397</v>
      </c>
      <c r="G2371" t="s">
        <v>397</v>
      </c>
      <c r="H2371" t="s">
        <v>397</v>
      </c>
      <c r="I2371" t="s">
        <v>397</v>
      </c>
      <c r="J2371">
        <v>991</v>
      </c>
      <c r="K2371">
        <v>0.72</v>
      </c>
      <c r="L2371">
        <v>0</v>
      </c>
      <c r="M2371">
        <v>0</v>
      </c>
    </row>
    <row r="2372" spans="1:13">
      <c r="A2372" s="28">
        <v>36000</v>
      </c>
      <c r="B2372" t="s">
        <v>2514</v>
      </c>
      <c r="C2372">
        <v>1800</v>
      </c>
      <c r="D2372">
        <v>3</v>
      </c>
      <c r="E2372">
        <v>0.17</v>
      </c>
      <c r="F2372" t="s">
        <v>397</v>
      </c>
      <c r="G2372" t="s">
        <v>397</v>
      </c>
      <c r="H2372" t="s">
        <v>397</v>
      </c>
      <c r="I2372" t="s">
        <v>397</v>
      </c>
      <c r="J2372">
        <v>5378</v>
      </c>
      <c r="K2372">
        <v>0.33</v>
      </c>
      <c r="L2372">
        <v>0</v>
      </c>
      <c r="M2372">
        <v>0</v>
      </c>
    </row>
    <row r="2373" spans="1:13">
      <c r="A2373" s="28">
        <v>12160</v>
      </c>
      <c r="B2373" t="s">
        <v>2515</v>
      </c>
      <c r="C2373">
        <v>527</v>
      </c>
      <c r="D2373">
        <v>-6</v>
      </c>
      <c r="E2373">
        <v>-1.1299999999999999</v>
      </c>
      <c r="F2373" t="s">
        <v>397</v>
      </c>
      <c r="G2373" t="s">
        <v>397</v>
      </c>
      <c r="H2373" t="s">
        <v>397</v>
      </c>
      <c r="I2373" t="s">
        <v>397</v>
      </c>
      <c r="J2373">
        <v>2456</v>
      </c>
      <c r="K2373">
        <v>0.21</v>
      </c>
      <c r="L2373">
        <v>0</v>
      </c>
      <c r="M2373">
        <v>0</v>
      </c>
    </row>
    <row r="2374" spans="1:13">
      <c r="A2374" s="28">
        <v>12280</v>
      </c>
      <c r="B2374" t="s">
        <v>2516</v>
      </c>
      <c r="C2374">
        <v>916</v>
      </c>
      <c r="D2374">
        <v>5</v>
      </c>
      <c r="E2374">
        <v>0.55000000000000004</v>
      </c>
      <c r="F2374">
        <v>9</v>
      </c>
      <c r="G2374">
        <v>101.78</v>
      </c>
      <c r="H2374" t="s">
        <v>397</v>
      </c>
      <c r="I2374" t="s">
        <v>397</v>
      </c>
      <c r="J2374">
        <v>1191</v>
      </c>
      <c r="K2374">
        <v>0.77</v>
      </c>
      <c r="L2374">
        <v>0</v>
      </c>
      <c r="M2374">
        <v>0</v>
      </c>
    </row>
    <row r="2375" spans="1:13">
      <c r="A2375" s="28">
        <v>3520</v>
      </c>
      <c r="B2375" t="s">
        <v>2517</v>
      </c>
      <c r="C2375">
        <v>2025</v>
      </c>
      <c r="D2375">
        <v>-25</v>
      </c>
      <c r="E2375">
        <v>-1.22</v>
      </c>
      <c r="F2375" t="s">
        <v>397</v>
      </c>
      <c r="G2375" t="s">
        <v>397</v>
      </c>
      <c r="H2375" t="s">
        <v>397</v>
      </c>
      <c r="I2375" t="s">
        <v>397</v>
      </c>
      <c r="J2375">
        <v>491</v>
      </c>
      <c r="K2375">
        <v>4.12</v>
      </c>
      <c r="L2375">
        <v>0</v>
      </c>
      <c r="M2375">
        <v>0</v>
      </c>
    </row>
    <row r="2376" spans="1:13">
      <c r="A2376" s="28">
        <v>143540</v>
      </c>
      <c r="B2376" t="s">
        <v>2518</v>
      </c>
      <c r="C2376">
        <v>831</v>
      </c>
      <c r="D2376">
        <v>-29</v>
      </c>
      <c r="E2376">
        <v>-3.37</v>
      </c>
      <c r="F2376" t="s">
        <v>397</v>
      </c>
      <c r="G2376" t="s">
        <v>397</v>
      </c>
      <c r="H2376" t="s">
        <v>397</v>
      </c>
      <c r="I2376" t="s">
        <v>397</v>
      </c>
      <c r="J2376">
        <v>928</v>
      </c>
      <c r="K2376">
        <v>0.9</v>
      </c>
      <c r="L2376">
        <v>0</v>
      </c>
      <c r="M2376">
        <v>0</v>
      </c>
    </row>
    <row r="2377" spans="1:13">
      <c r="A2377" s="28">
        <v>259630</v>
      </c>
      <c r="B2377" t="s">
        <v>2519</v>
      </c>
      <c r="C2377">
        <v>11260</v>
      </c>
      <c r="D2377">
        <v>-300</v>
      </c>
      <c r="E2377">
        <v>-2.6</v>
      </c>
      <c r="F2377" t="s">
        <v>397</v>
      </c>
      <c r="G2377" t="s">
        <v>397</v>
      </c>
      <c r="H2377" t="s">
        <v>397</v>
      </c>
      <c r="I2377" t="s">
        <v>397</v>
      </c>
      <c r="J2377">
        <v>4617</v>
      </c>
      <c r="K2377">
        <v>2.44</v>
      </c>
      <c r="L2377">
        <v>0</v>
      </c>
      <c r="M2377">
        <v>0</v>
      </c>
    </row>
    <row r="2378" spans="1:13">
      <c r="A2378" s="28">
        <v>33310</v>
      </c>
      <c r="B2378" t="s">
        <v>2520</v>
      </c>
      <c r="C2378">
        <v>2895</v>
      </c>
      <c r="D2378">
        <v>35</v>
      </c>
      <c r="E2378">
        <v>1.22</v>
      </c>
      <c r="F2378">
        <v>130</v>
      </c>
      <c r="G2378">
        <v>22.27</v>
      </c>
      <c r="H2378" t="s">
        <v>397</v>
      </c>
      <c r="I2378" t="s">
        <v>397</v>
      </c>
      <c r="J2378">
        <v>3479</v>
      </c>
      <c r="K2378">
        <v>0.83</v>
      </c>
      <c r="L2378">
        <v>0</v>
      </c>
      <c r="M2378">
        <v>0</v>
      </c>
    </row>
    <row r="2379" spans="1:13">
      <c r="A2379" s="28">
        <v>309930</v>
      </c>
      <c r="B2379" t="s">
        <v>2521</v>
      </c>
      <c r="C2379">
        <v>3855</v>
      </c>
      <c r="D2379">
        <v>100</v>
      </c>
      <c r="E2379">
        <v>2.66</v>
      </c>
      <c r="F2379">
        <v>71</v>
      </c>
      <c r="G2379">
        <v>54.3</v>
      </c>
      <c r="H2379" t="s">
        <v>397</v>
      </c>
      <c r="I2379" t="s">
        <v>397</v>
      </c>
      <c r="J2379">
        <v>1323</v>
      </c>
      <c r="K2379">
        <v>2.91</v>
      </c>
      <c r="L2379">
        <v>0</v>
      </c>
      <c r="M2379">
        <v>0</v>
      </c>
    </row>
    <row r="2380" spans="1:13">
      <c r="A2380" s="28">
        <v>244460</v>
      </c>
      <c r="B2380" t="s">
        <v>2522</v>
      </c>
      <c r="C2380">
        <v>490</v>
      </c>
      <c r="D2380">
        <v>-44</v>
      </c>
      <c r="E2380">
        <v>-8.24</v>
      </c>
      <c r="F2380" t="s">
        <v>397</v>
      </c>
      <c r="G2380" t="s">
        <v>397</v>
      </c>
      <c r="H2380" t="s">
        <v>397</v>
      </c>
      <c r="I2380" t="s">
        <v>397</v>
      </c>
      <c r="J2380">
        <v>357</v>
      </c>
      <c r="K2380">
        <v>1.37</v>
      </c>
      <c r="L2380">
        <v>0</v>
      </c>
      <c r="M2380">
        <v>0</v>
      </c>
    </row>
    <row r="2381" spans="1:13">
      <c r="A2381" s="28">
        <v>226950</v>
      </c>
      <c r="B2381" t="s">
        <v>2523</v>
      </c>
      <c r="C2381">
        <v>16430</v>
      </c>
      <c r="D2381">
        <v>-110</v>
      </c>
      <c r="E2381">
        <v>-0.67</v>
      </c>
      <c r="F2381" t="s">
        <v>397</v>
      </c>
      <c r="G2381" t="s">
        <v>397</v>
      </c>
      <c r="H2381" t="s">
        <v>397</v>
      </c>
      <c r="I2381" t="s">
        <v>397</v>
      </c>
      <c r="J2381">
        <v>4810</v>
      </c>
      <c r="K2381">
        <v>3.42</v>
      </c>
      <c r="L2381">
        <v>0</v>
      </c>
      <c r="M2381">
        <v>0</v>
      </c>
    </row>
    <row r="2382" spans="1:13">
      <c r="A2382" s="28">
        <v>57540</v>
      </c>
      <c r="B2382" t="s">
        <v>2524</v>
      </c>
      <c r="C2382">
        <v>842</v>
      </c>
      <c r="D2382">
        <v>0</v>
      </c>
      <c r="E2382">
        <v>0</v>
      </c>
      <c r="F2382">
        <v>12</v>
      </c>
      <c r="G2382">
        <v>70.17</v>
      </c>
      <c r="H2382" t="s">
        <v>397</v>
      </c>
      <c r="I2382" t="s">
        <v>397</v>
      </c>
      <c r="J2382">
        <v>1842</v>
      </c>
      <c r="K2382">
        <v>0.46</v>
      </c>
      <c r="L2382">
        <v>0</v>
      </c>
      <c r="M2382">
        <v>0</v>
      </c>
    </row>
    <row r="2383" spans="1:13">
      <c r="A2383" s="28">
        <v>6980</v>
      </c>
      <c r="B2383" t="s">
        <v>2525</v>
      </c>
      <c r="C2383">
        <v>19700</v>
      </c>
      <c r="D2383">
        <v>20</v>
      </c>
      <c r="E2383">
        <v>0.1</v>
      </c>
      <c r="F2383">
        <v>49</v>
      </c>
      <c r="G2383">
        <v>402.04</v>
      </c>
      <c r="H2383" t="s">
        <v>397</v>
      </c>
      <c r="I2383" t="s">
        <v>397</v>
      </c>
      <c r="J2383">
        <v>67491</v>
      </c>
      <c r="K2383">
        <v>0.28999999999999998</v>
      </c>
      <c r="L2383">
        <v>0</v>
      </c>
      <c r="M2383">
        <v>0</v>
      </c>
    </row>
    <row r="2384" spans="1:13">
      <c r="A2384" s="28">
        <v>153490</v>
      </c>
      <c r="B2384" t="s">
        <v>2526</v>
      </c>
      <c r="C2384">
        <v>1091</v>
      </c>
      <c r="D2384">
        <v>3</v>
      </c>
      <c r="E2384">
        <v>0.28000000000000003</v>
      </c>
      <c r="F2384">
        <v>105</v>
      </c>
      <c r="G2384">
        <v>10.39</v>
      </c>
      <c r="H2384" t="s">
        <v>397</v>
      </c>
      <c r="I2384" t="s">
        <v>397</v>
      </c>
      <c r="J2384">
        <v>1491</v>
      </c>
      <c r="K2384">
        <v>0.73</v>
      </c>
      <c r="L2384">
        <v>0</v>
      </c>
      <c r="M2384">
        <v>0</v>
      </c>
    </row>
    <row r="2385" spans="1:13">
      <c r="A2385" s="28">
        <v>37400</v>
      </c>
      <c r="B2385" t="s">
        <v>2527</v>
      </c>
      <c r="C2385">
        <v>1633</v>
      </c>
      <c r="D2385">
        <v>10</v>
      </c>
      <c r="E2385">
        <v>0.62</v>
      </c>
      <c r="F2385">
        <v>296</v>
      </c>
      <c r="G2385">
        <v>5.52</v>
      </c>
      <c r="H2385" t="s">
        <v>397</v>
      </c>
      <c r="I2385" t="s">
        <v>397</v>
      </c>
      <c r="J2385">
        <v>5363</v>
      </c>
      <c r="K2385">
        <v>0.3</v>
      </c>
      <c r="L2385">
        <v>0</v>
      </c>
      <c r="M2385">
        <v>0</v>
      </c>
    </row>
    <row r="2386" spans="1:13">
      <c r="A2386" s="28">
        <v>82850</v>
      </c>
      <c r="B2386" t="s">
        <v>2528</v>
      </c>
      <c r="C2386">
        <v>2865</v>
      </c>
      <c r="D2386">
        <v>-5</v>
      </c>
      <c r="E2386">
        <v>-0.17</v>
      </c>
      <c r="F2386">
        <v>469</v>
      </c>
      <c r="G2386">
        <v>6.11</v>
      </c>
      <c r="H2386" t="s">
        <v>397</v>
      </c>
      <c r="I2386" t="s">
        <v>397</v>
      </c>
      <c r="J2386">
        <v>3829</v>
      </c>
      <c r="K2386">
        <v>0.75</v>
      </c>
      <c r="L2386">
        <v>0</v>
      </c>
      <c r="M2386">
        <v>0</v>
      </c>
    </row>
    <row r="2387" spans="1:13">
      <c r="A2387" s="28">
        <v>46970</v>
      </c>
      <c r="B2387" t="s">
        <v>2529</v>
      </c>
      <c r="C2387">
        <v>1621</v>
      </c>
      <c r="D2387">
        <v>0</v>
      </c>
      <c r="E2387">
        <v>0</v>
      </c>
      <c r="F2387" t="s">
        <v>397</v>
      </c>
      <c r="G2387" t="s">
        <v>397</v>
      </c>
      <c r="H2387" t="s">
        <v>397</v>
      </c>
      <c r="I2387" t="s">
        <v>397</v>
      </c>
      <c r="J2387">
        <v>1191</v>
      </c>
      <c r="K2387">
        <v>1.36</v>
      </c>
      <c r="L2387">
        <v>0</v>
      </c>
      <c r="M2387">
        <v>0</v>
      </c>
    </row>
    <row r="2388" spans="1:13">
      <c r="A2388" s="28">
        <v>115440</v>
      </c>
      <c r="B2388" t="s">
        <v>2530</v>
      </c>
      <c r="C2388">
        <v>6820</v>
      </c>
      <c r="D2388">
        <v>-70</v>
      </c>
      <c r="E2388">
        <v>-1.02</v>
      </c>
      <c r="F2388" t="s">
        <v>397</v>
      </c>
      <c r="G2388" t="s">
        <v>397</v>
      </c>
      <c r="H2388" t="s">
        <v>397</v>
      </c>
      <c r="I2388" t="s">
        <v>397</v>
      </c>
      <c r="J2388">
        <v>6002</v>
      </c>
      <c r="K2388">
        <v>1.1399999999999999</v>
      </c>
      <c r="L2388">
        <v>0</v>
      </c>
      <c r="M2388">
        <v>0</v>
      </c>
    </row>
    <row r="2389" spans="1:13">
      <c r="A2389" s="28">
        <v>41190</v>
      </c>
      <c r="B2389" t="s">
        <v>2531</v>
      </c>
      <c r="C2389">
        <v>8760</v>
      </c>
      <c r="D2389">
        <v>-910</v>
      </c>
      <c r="E2389">
        <v>-9.41</v>
      </c>
      <c r="F2389" t="s">
        <v>397</v>
      </c>
      <c r="G2389" t="s">
        <v>397</v>
      </c>
      <c r="H2389" t="s">
        <v>397</v>
      </c>
      <c r="I2389" t="s">
        <v>397</v>
      </c>
      <c r="J2389">
        <v>5124</v>
      </c>
      <c r="K2389">
        <v>1.71</v>
      </c>
      <c r="L2389">
        <v>0</v>
      </c>
      <c r="M2389">
        <v>0</v>
      </c>
    </row>
    <row r="2390" spans="1:13">
      <c r="A2390" s="28">
        <v>32820</v>
      </c>
      <c r="B2390" t="s">
        <v>2532</v>
      </c>
      <c r="C2390">
        <v>1509</v>
      </c>
      <c r="D2390">
        <v>-60</v>
      </c>
      <c r="E2390">
        <v>-3.82</v>
      </c>
      <c r="F2390">
        <v>23</v>
      </c>
      <c r="G2390">
        <v>65.61</v>
      </c>
      <c r="H2390" t="s">
        <v>397</v>
      </c>
      <c r="I2390" t="s">
        <v>397</v>
      </c>
      <c r="J2390">
        <v>634</v>
      </c>
      <c r="K2390">
        <v>2.38</v>
      </c>
      <c r="L2390">
        <v>0</v>
      </c>
      <c r="M2390">
        <v>0</v>
      </c>
    </row>
    <row r="2391" spans="1:13">
      <c r="A2391" s="28">
        <v>403490</v>
      </c>
      <c r="B2391" t="s">
        <v>2533</v>
      </c>
      <c r="C2391">
        <v>2380</v>
      </c>
      <c r="D2391">
        <v>25</v>
      </c>
      <c r="E2391">
        <v>1.06</v>
      </c>
      <c r="F2391" t="s">
        <v>397</v>
      </c>
      <c r="G2391" t="s">
        <v>397</v>
      </c>
      <c r="H2391" t="s">
        <v>397</v>
      </c>
      <c r="I2391" t="s">
        <v>397</v>
      </c>
      <c r="J2391" t="s">
        <v>397</v>
      </c>
      <c r="K2391" t="s">
        <v>397</v>
      </c>
      <c r="L2391">
        <v>0</v>
      </c>
      <c r="M2391">
        <v>0</v>
      </c>
    </row>
    <row r="2392" spans="1:13">
      <c r="A2392" s="28">
        <v>70960</v>
      </c>
      <c r="B2392" t="s">
        <v>2534</v>
      </c>
      <c r="C2392">
        <v>2940</v>
      </c>
      <c r="D2392">
        <v>-5</v>
      </c>
      <c r="E2392">
        <v>-0.17</v>
      </c>
      <c r="F2392" t="s">
        <v>397</v>
      </c>
      <c r="G2392" t="s">
        <v>397</v>
      </c>
      <c r="H2392" t="s">
        <v>397</v>
      </c>
      <c r="I2392" t="s">
        <v>397</v>
      </c>
      <c r="J2392">
        <v>7847</v>
      </c>
      <c r="K2392">
        <v>0.37</v>
      </c>
      <c r="L2392">
        <v>0</v>
      </c>
      <c r="M2392">
        <v>0</v>
      </c>
    </row>
    <row r="2393" spans="1:13">
      <c r="A2393" s="28">
        <v>332570</v>
      </c>
      <c r="B2393" t="s">
        <v>2535</v>
      </c>
      <c r="C2393">
        <v>3220</v>
      </c>
      <c r="D2393">
        <v>-40</v>
      </c>
      <c r="E2393">
        <v>-1.23</v>
      </c>
      <c r="F2393" t="s">
        <v>397</v>
      </c>
      <c r="G2393" t="s">
        <v>397</v>
      </c>
      <c r="H2393" t="s">
        <v>397</v>
      </c>
      <c r="I2393" t="s">
        <v>397</v>
      </c>
      <c r="J2393">
        <v>1751</v>
      </c>
      <c r="K2393">
        <v>1.84</v>
      </c>
      <c r="L2393">
        <v>0</v>
      </c>
      <c r="M2393">
        <v>0</v>
      </c>
    </row>
    <row r="2394" spans="1:13">
      <c r="A2394" s="28">
        <v>11690</v>
      </c>
      <c r="B2394" t="s">
        <v>2536</v>
      </c>
      <c r="C2394">
        <v>3770</v>
      </c>
      <c r="D2394">
        <v>270</v>
      </c>
      <c r="E2394">
        <v>7.71</v>
      </c>
      <c r="F2394" t="s">
        <v>397</v>
      </c>
      <c r="G2394" t="s">
        <v>397</v>
      </c>
      <c r="H2394" t="s">
        <v>397</v>
      </c>
      <c r="I2394" t="s">
        <v>397</v>
      </c>
      <c r="J2394">
        <v>2590</v>
      </c>
      <c r="K2394">
        <v>1.46</v>
      </c>
      <c r="L2394">
        <v>0</v>
      </c>
      <c r="M2394">
        <v>0</v>
      </c>
    </row>
    <row r="2395" spans="1:13">
      <c r="A2395" s="28">
        <v>193250</v>
      </c>
      <c r="B2395" t="s">
        <v>2537</v>
      </c>
      <c r="C2395">
        <v>761</v>
      </c>
      <c r="D2395">
        <v>11</v>
      </c>
      <c r="E2395">
        <v>1.47</v>
      </c>
      <c r="F2395">
        <v>115</v>
      </c>
      <c r="G2395">
        <v>6.62</v>
      </c>
      <c r="H2395" t="s">
        <v>397</v>
      </c>
      <c r="I2395" t="s">
        <v>397</v>
      </c>
      <c r="J2395">
        <v>1427</v>
      </c>
      <c r="K2395">
        <v>0.53</v>
      </c>
      <c r="L2395">
        <v>0</v>
      </c>
      <c r="M2395">
        <v>0</v>
      </c>
    </row>
    <row r="2396" spans="1:13">
      <c r="A2396" s="28">
        <v>66430</v>
      </c>
      <c r="B2396" t="s">
        <v>2538</v>
      </c>
      <c r="C2396">
        <v>590</v>
      </c>
      <c r="D2396">
        <v>-7</v>
      </c>
      <c r="E2396">
        <v>-1.17</v>
      </c>
      <c r="F2396">
        <v>24</v>
      </c>
      <c r="G2396">
        <v>24.58</v>
      </c>
      <c r="H2396" t="s">
        <v>397</v>
      </c>
      <c r="I2396" t="s">
        <v>397</v>
      </c>
      <c r="J2396">
        <v>787</v>
      </c>
      <c r="K2396">
        <v>0.75</v>
      </c>
      <c r="L2396">
        <v>0</v>
      </c>
      <c r="M2396">
        <v>0</v>
      </c>
    </row>
    <row r="2397" spans="1:13">
      <c r="A2397" s="28">
        <v>251370</v>
      </c>
      <c r="B2397" t="s">
        <v>2539</v>
      </c>
      <c r="C2397">
        <v>11880</v>
      </c>
      <c r="D2397">
        <v>-70</v>
      </c>
      <c r="E2397">
        <v>-0.59</v>
      </c>
      <c r="F2397" t="s">
        <v>397</v>
      </c>
      <c r="G2397" t="s">
        <v>397</v>
      </c>
      <c r="H2397" t="s">
        <v>397</v>
      </c>
      <c r="I2397" t="s">
        <v>397</v>
      </c>
      <c r="J2397">
        <v>7667</v>
      </c>
      <c r="K2397">
        <v>1.55</v>
      </c>
      <c r="L2397">
        <v>0</v>
      </c>
      <c r="M2397">
        <v>0</v>
      </c>
    </row>
    <row r="2398" spans="1:13">
      <c r="A2398" s="28">
        <v>7530</v>
      </c>
      <c r="B2398" t="s">
        <v>2540</v>
      </c>
      <c r="C2398">
        <v>2765</v>
      </c>
      <c r="D2398">
        <v>35</v>
      </c>
      <c r="E2398">
        <v>1.28</v>
      </c>
      <c r="F2398">
        <v>131</v>
      </c>
      <c r="G2398">
        <v>21.11</v>
      </c>
      <c r="H2398" t="s">
        <v>397</v>
      </c>
      <c r="I2398" t="s">
        <v>397</v>
      </c>
      <c r="J2398">
        <v>2235</v>
      </c>
      <c r="K2398">
        <v>1.24</v>
      </c>
      <c r="L2398">
        <v>0</v>
      </c>
      <c r="M2398">
        <v>0</v>
      </c>
    </row>
    <row r="2399" spans="1:13">
      <c r="A2399" s="28">
        <v>232140</v>
      </c>
      <c r="B2399" t="s">
        <v>2541</v>
      </c>
      <c r="C2399">
        <v>7220</v>
      </c>
      <c r="D2399">
        <v>350</v>
      </c>
      <c r="E2399">
        <v>5.09</v>
      </c>
      <c r="F2399">
        <v>323</v>
      </c>
      <c r="G2399">
        <v>22.35</v>
      </c>
      <c r="H2399" t="s">
        <v>397</v>
      </c>
      <c r="I2399" t="s">
        <v>397</v>
      </c>
      <c r="J2399">
        <v>3663</v>
      </c>
      <c r="K2399">
        <v>1.97</v>
      </c>
      <c r="L2399">
        <v>0</v>
      </c>
      <c r="M2399">
        <v>0</v>
      </c>
    </row>
    <row r="2400" spans="1:13">
      <c r="A2400" s="28">
        <v>338840</v>
      </c>
      <c r="B2400" t="s">
        <v>2542</v>
      </c>
      <c r="C2400">
        <v>11950</v>
      </c>
      <c r="D2400">
        <v>140</v>
      </c>
      <c r="E2400">
        <v>1.19</v>
      </c>
      <c r="F2400" t="s">
        <v>397</v>
      </c>
      <c r="G2400" t="s">
        <v>397</v>
      </c>
      <c r="H2400" t="s">
        <v>397</v>
      </c>
      <c r="I2400" t="s">
        <v>397</v>
      </c>
      <c r="J2400">
        <v>1000</v>
      </c>
      <c r="K2400">
        <v>11.95</v>
      </c>
      <c r="L2400">
        <v>0</v>
      </c>
      <c r="M2400">
        <v>0</v>
      </c>
    </row>
    <row r="2401" spans="1:13">
      <c r="A2401" s="28">
        <v>432430</v>
      </c>
      <c r="B2401" t="s">
        <v>2543</v>
      </c>
      <c r="C2401">
        <v>13160</v>
      </c>
      <c r="D2401">
        <v>740</v>
      </c>
      <c r="E2401">
        <v>5.96</v>
      </c>
      <c r="F2401" t="s">
        <v>397</v>
      </c>
      <c r="G2401" t="s">
        <v>397</v>
      </c>
      <c r="H2401" t="s">
        <v>397</v>
      </c>
      <c r="I2401" t="s">
        <v>397</v>
      </c>
      <c r="J2401">
        <v>875</v>
      </c>
      <c r="K2401">
        <v>15.04</v>
      </c>
      <c r="L2401">
        <v>0</v>
      </c>
      <c r="M2401">
        <v>0</v>
      </c>
    </row>
    <row r="2402" spans="1:13">
      <c r="A2402" s="28">
        <v>321820</v>
      </c>
      <c r="B2402" t="s">
        <v>2544</v>
      </c>
      <c r="C2402">
        <v>15380</v>
      </c>
      <c r="D2402">
        <v>-860</v>
      </c>
      <c r="E2402">
        <v>-5.3</v>
      </c>
      <c r="F2402" t="s">
        <v>397</v>
      </c>
      <c r="G2402" t="s">
        <v>397</v>
      </c>
      <c r="H2402" t="s">
        <v>397</v>
      </c>
      <c r="I2402" t="s">
        <v>397</v>
      </c>
      <c r="J2402">
        <v>872</v>
      </c>
      <c r="K2402">
        <v>17.64</v>
      </c>
      <c r="L2402">
        <v>0</v>
      </c>
      <c r="M2402">
        <v>0</v>
      </c>
    </row>
    <row r="2403" spans="1:13">
      <c r="A2403" s="28">
        <v>153710</v>
      </c>
      <c r="B2403" t="s">
        <v>2545</v>
      </c>
      <c r="C2403">
        <v>6310</v>
      </c>
      <c r="D2403">
        <v>90</v>
      </c>
      <c r="E2403">
        <v>1.45</v>
      </c>
      <c r="F2403" t="s">
        <v>397</v>
      </c>
      <c r="G2403" t="s">
        <v>397</v>
      </c>
      <c r="H2403" t="s">
        <v>397</v>
      </c>
      <c r="I2403" t="s">
        <v>397</v>
      </c>
      <c r="J2403">
        <v>1978</v>
      </c>
      <c r="K2403">
        <v>3.19</v>
      </c>
      <c r="L2403">
        <v>0</v>
      </c>
      <c r="M2403">
        <v>0</v>
      </c>
    </row>
    <row r="2404" spans="1:13">
      <c r="A2404" s="28">
        <v>380540</v>
      </c>
      <c r="B2404" t="s">
        <v>2546</v>
      </c>
      <c r="C2404">
        <v>1292</v>
      </c>
      <c r="D2404">
        <v>-8</v>
      </c>
      <c r="E2404">
        <v>-0.62</v>
      </c>
      <c r="F2404" t="s">
        <v>397</v>
      </c>
      <c r="G2404" t="s">
        <v>397</v>
      </c>
      <c r="H2404" t="s">
        <v>397</v>
      </c>
      <c r="I2404" t="s">
        <v>397</v>
      </c>
      <c r="J2404">
        <v>841</v>
      </c>
      <c r="K2404">
        <v>1.54</v>
      </c>
      <c r="L2404">
        <v>0</v>
      </c>
      <c r="M2404">
        <v>0</v>
      </c>
    </row>
    <row r="2405" spans="1:13">
      <c r="A2405" s="28">
        <v>82210</v>
      </c>
      <c r="B2405" t="s">
        <v>2547</v>
      </c>
      <c r="C2405">
        <v>4115</v>
      </c>
      <c r="D2405">
        <v>215</v>
      </c>
      <c r="E2405">
        <v>5.51</v>
      </c>
      <c r="F2405" t="s">
        <v>397</v>
      </c>
      <c r="G2405" t="s">
        <v>397</v>
      </c>
      <c r="H2405">
        <v>540</v>
      </c>
      <c r="I2405">
        <v>7.62</v>
      </c>
      <c r="J2405">
        <v>1253</v>
      </c>
      <c r="K2405">
        <v>3.28</v>
      </c>
      <c r="L2405">
        <v>0</v>
      </c>
      <c r="M2405">
        <v>0</v>
      </c>
    </row>
    <row r="2406" spans="1:13">
      <c r="A2406" s="28">
        <v>263540</v>
      </c>
      <c r="B2406" t="s">
        <v>2548</v>
      </c>
      <c r="C2406">
        <v>5950</v>
      </c>
      <c r="D2406">
        <v>0</v>
      </c>
      <c r="E2406">
        <v>0</v>
      </c>
      <c r="F2406">
        <v>104</v>
      </c>
      <c r="G2406">
        <v>57.21</v>
      </c>
      <c r="H2406" t="s">
        <v>397</v>
      </c>
      <c r="I2406" t="s">
        <v>397</v>
      </c>
      <c r="J2406">
        <v>1039</v>
      </c>
      <c r="K2406">
        <v>5.73</v>
      </c>
      <c r="L2406">
        <v>0</v>
      </c>
      <c r="M2406">
        <v>0</v>
      </c>
    </row>
    <row r="2407" spans="1:13">
      <c r="A2407" s="28">
        <v>255440</v>
      </c>
      <c r="B2407" t="s">
        <v>2549</v>
      </c>
      <c r="C2407">
        <v>11100</v>
      </c>
      <c r="D2407">
        <v>-310</v>
      </c>
      <c r="E2407">
        <v>-2.72</v>
      </c>
      <c r="F2407" t="s">
        <v>397</v>
      </c>
      <c r="G2407" t="s">
        <v>397</v>
      </c>
      <c r="H2407" t="s">
        <v>397</v>
      </c>
      <c r="I2407" t="s">
        <v>397</v>
      </c>
      <c r="J2407">
        <v>12322</v>
      </c>
      <c r="K2407">
        <v>0.9</v>
      </c>
      <c r="L2407">
        <v>0</v>
      </c>
      <c r="M2407">
        <v>0</v>
      </c>
    </row>
    <row r="2408" spans="1:13">
      <c r="A2408" s="28">
        <v>174900</v>
      </c>
      <c r="B2408" t="s">
        <v>2550</v>
      </c>
      <c r="C2408">
        <v>17920</v>
      </c>
      <c r="D2408">
        <v>-980</v>
      </c>
      <c r="E2408">
        <v>-5.19</v>
      </c>
      <c r="F2408" t="s">
        <v>397</v>
      </c>
      <c r="G2408" t="s">
        <v>397</v>
      </c>
      <c r="H2408" t="s">
        <v>397</v>
      </c>
      <c r="I2408" t="s">
        <v>397</v>
      </c>
      <c r="J2408">
        <v>2390</v>
      </c>
      <c r="K2408">
        <v>7.5</v>
      </c>
      <c r="L2408">
        <v>0</v>
      </c>
      <c r="M2408">
        <v>0</v>
      </c>
    </row>
    <row r="2409" spans="1:13">
      <c r="A2409" s="28">
        <v>318160</v>
      </c>
      <c r="B2409" t="s">
        <v>2551</v>
      </c>
      <c r="C2409">
        <v>4180</v>
      </c>
      <c r="D2409">
        <v>-120</v>
      </c>
      <c r="E2409">
        <v>-2.79</v>
      </c>
      <c r="F2409" t="s">
        <v>397</v>
      </c>
      <c r="G2409" t="s">
        <v>397</v>
      </c>
      <c r="H2409" t="s">
        <v>397</v>
      </c>
      <c r="I2409" t="s">
        <v>397</v>
      </c>
      <c r="J2409" t="s">
        <v>397</v>
      </c>
      <c r="K2409" t="s">
        <v>397</v>
      </c>
      <c r="L2409">
        <v>0</v>
      </c>
      <c r="M2409">
        <v>0</v>
      </c>
    </row>
    <row r="2410" spans="1:13">
      <c r="A2410" s="28">
        <v>304100</v>
      </c>
      <c r="B2410" t="s">
        <v>2552</v>
      </c>
      <c r="C2410">
        <v>29800</v>
      </c>
      <c r="D2410">
        <v>5500</v>
      </c>
      <c r="E2410">
        <v>22.63</v>
      </c>
      <c r="F2410" t="s">
        <v>397</v>
      </c>
      <c r="G2410" t="s">
        <v>397</v>
      </c>
      <c r="H2410">
        <v>368</v>
      </c>
      <c r="I2410">
        <v>80.959999999999994</v>
      </c>
      <c r="J2410">
        <v>4225</v>
      </c>
      <c r="K2410">
        <v>7.05</v>
      </c>
      <c r="L2410">
        <v>0</v>
      </c>
      <c r="M2410">
        <v>0</v>
      </c>
    </row>
    <row r="2411" spans="1:13">
      <c r="A2411" s="28">
        <v>35610</v>
      </c>
      <c r="B2411" t="s">
        <v>2553</v>
      </c>
      <c r="C2411">
        <v>4665</v>
      </c>
      <c r="D2411">
        <v>25</v>
      </c>
      <c r="E2411">
        <v>0.54</v>
      </c>
      <c r="F2411" t="s">
        <v>397</v>
      </c>
      <c r="G2411" t="s">
        <v>397</v>
      </c>
      <c r="H2411" t="s">
        <v>397</v>
      </c>
      <c r="I2411" t="s">
        <v>397</v>
      </c>
      <c r="J2411">
        <v>4825</v>
      </c>
      <c r="K2411">
        <v>0.97</v>
      </c>
      <c r="L2411">
        <v>0</v>
      </c>
      <c r="M2411">
        <v>0</v>
      </c>
    </row>
    <row r="2412" spans="1:13">
      <c r="A2412" s="28">
        <v>248070</v>
      </c>
      <c r="B2412" t="s">
        <v>2554</v>
      </c>
      <c r="C2412">
        <v>27350</v>
      </c>
      <c r="D2412">
        <v>150</v>
      </c>
      <c r="E2412">
        <v>0.55000000000000004</v>
      </c>
      <c r="F2412">
        <v>954</v>
      </c>
      <c r="G2412">
        <v>28.67</v>
      </c>
      <c r="H2412">
        <v>3109</v>
      </c>
      <c r="I2412">
        <v>8.8000000000000007</v>
      </c>
      <c r="J2412">
        <v>5958</v>
      </c>
      <c r="K2412">
        <v>4.59</v>
      </c>
      <c r="L2412">
        <v>0</v>
      </c>
      <c r="M2412">
        <v>0</v>
      </c>
    </row>
    <row r="2413" spans="1:13">
      <c r="A2413" s="28">
        <v>43100</v>
      </c>
      <c r="B2413" t="s">
        <v>2555</v>
      </c>
      <c r="C2413">
        <v>533</v>
      </c>
      <c r="D2413">
        <v>-1</v>
      </c>
      <c r="E2413">
        <v>-0.19</v>
      </c>
      <c r="F2413" t="s">
        <v>397</v>
      </c>
      <c r="G2413" t="s">
        <v>397</v>
      </c>
      <c r="H2413" t="s">
        <v>397</v>
      </c>
      <c r="I2413" t="s">
        <v>397</v>
      </c>
      <c r="J2413">
        <v>441</v>
      </c>
      <c r="K2413">
        <v>1.21</v>
      </c>
      <c r="L2413">
        <v>0</v>
      </c>
      <c r="M2413">
        <v>0</v>
      </c>
    </row>
    <row r="2414" spans="1:13">
      <c r="A2414" s="28">
        <v>66910</v>
      </c>
      <c r="B2414" t="s">
        <v>2556</v>
      </c>
      <c r="C2414">
        <v>3330</v>
      </c>
      <c r="D2414">
        <v>75</v>
      </c>
      <c r="E2414">
        <v>2.2999999999999998</v>
      </c>
      <c r="F2414" t="s">
        <v>397</v>
      </c>
      <c r="G2414" t="s">
        <v>397</v>
      </c>
      <c r="H2414" t="s">
        <v>397</v>
      </c>
      <c r="I2414" t="s">
        <v>397</v>
      </c>
      <c r="J2414">
        <v>695</v>
      </c>
      <c r="K2414">
        <v>4.79</v>
      </c>
      <c r="L2414">
        <v>0</v>
      </c>
      <c r="M2414">
        <v>0</v>
      </c>
    </row>
    <row r="2415" spans="1:13">
      <c r="A2415" s="28">
        <v>258790</v>
      </c>
      <c r="B2415" t="s">
        <v>2557</v>
      </c>
      <c r="C2415">
        <v>1491</v>
      </c>
      <c r="D2415">
        <v>26</v>
      </c>
      <c r="E2415">
        <v>1.77</v>
      </c>
      <c r="F2415">
        <v>37</v>
      </c>
      <c r="G2415">
        <v>40.299999999999997</v>
      </c>
      <c r="H2415" t="s">
        <v>397</v>
      </c>
      <c r="I2415" t="s">
        <v>397</v>
      </c>
      <c r="J2415">
        <v>697</v>
      </c>
      <c r="K2415">
        <v>2.14</v>
      </c>
      <c r="L2415">
        <v>0</v>
      </c>
      <c r="M2415">
        <v>0</v>
      </c>
    </row>
    <row r="2416" spans="1:13">
      <c r="A2416" s="28">
        <v>32685</v>
      </c>
      <c r="B2416" t="s">
        <v>2558</v>
      </c>
      <c r="C2416">
        <v>10720</v>
      </c>
      <c r="D2416">
        <v>-50</v>
      </c>
      <c r="E2416">
        <v>-0.46</v>
      </c>
      <c r="F2416" t="s">
        <v>397</v>
      </c>
      <c r="G2416" t="s">
        <v>397</v>
      </c>
      <c r="H2416" t="s">
        <v>397</v>
      </c>
      <c r="I2416" t="s">
        <v>397</v>
      </c>
      <c r="J2416" t="s">
        <v>397</v>
      </c>
      <c r="K2416" t="s">
        <v>397</v>
      </c>
      <c r="L2416">
        <v>0</v>
      </c>
      <c r="M2416">
        <v>0</v>
      </c>
    </row>
    <row r="2417" spans="1:13">
      <c r="A2417" s="28">
        <v>32680</v>
      </c>
      <c r="B2417" t="s">
        <v>2559</v>
      </c>
      <c r="C2417">
        <v>737</v>
      </c>
      <c r="D2417">
        <v>4</v>
      </c>
      <c r="E2417">
        <v>0.55000000000000004</v>
      </c>
      <c r="F2417">
        <v>122</v>
      </c>
      <c r="G2417">
        <v>6.04</v>
      </c>
      <c r="H2417" t="s">
        <v>397</v>
      </c>
      <c r="I2417" t="s">
        <v>397</v>
      </c>
      <c r="J2417">
        <v>721</v>
      </c>
      <c r="K2417">
        <v>1.02</v>
      </c>
      <c r="L2417">
        <v>0</v>
      </c>
      <c r="M2417">
        <v>0</v>
      </c>
    </row>
    <row r="2418" spans="1:13">
      <c r="A2418" s="28">
        <v>60230</v>
      </c>
      <c r="B2418" t="s">
        <v>2560</v>
      </c>
      <c r="C2418">
        <v>2095</v>
      </c>
      <c r="D2418">
        <v>0</v>
      </c>
      <c r="E2418">
        <v>0</v>
      </c>
      <c r="F2418" t="s">
        <v>397</v>
      </c>
      <c r="G2418" t="s">
        <v>397</v>
      </c>
      <c r="H2418" t="s">
        <v>397</v>
      </c>
      <c r="I2418" t="s">
        <v>397</v>
      </c>
      <c r="J2418">
        <v>3549</v>
      </c>
      <c r="K2418">
        <v>0.59</v>
      </c>
      <c r="L2418">
        <v>0</v>
      </c>
      <c r="M2418">
        <v>0</v>
      </c>
    </row>
    <row r="2419" spans="1:13">
      <c r="A2419" s="28">
        <v>68940</v>
      </c>
      <c r="B2419" t="s">
        <v>2561</v>
      </c>
      <c r="C2419">
        <v>778</v>
      </c>
      <c r="D2419">
        <v>0</v>
      </c>
      <c r="E2419">
        <v>0</v>
      </c>
      <c r="F2419">
        <v>284</v>
      </c>
      <c r="G2419">
        <v>2.74</v>
      </c>
      <c r="H2419" t="s">
        <v>397</v>
      </c>
      <c r="I2419" t="s">
        <v>397</v>
      </c>
      <c r="J2419">
        <v>680</v>
      </c>
      <c r="K2419">
        <v>1.1399999999999999</v>
      </c>
      <c r="L2419">
        <v>0</v>
      </c>
      <c r="M2419">
        <v>0</v>
      </c>
    </row>
    <row r="2420" spans="1:13">
      <c r="A2420" s="28">
        <v>68760</v>
      </c>
      <c r="B2420" t="s">
        <v>2562</v>
      </c>
      <c r="C2420">
        <v>107800</v>
      </c>
      <c r="D2420">
        <v>-1300</v>
      </c>
      <c r="E2420">
        <v>-1.19</v>
      </c>
      <c r="F2420">
        <v>628</v>
      </c>
      <c r="G2420">
        <v>171.66</v>
      </c>
      <c r="H2420" t="s">
        <v>397</v>
      </c>
      <c r="I2420" t="s">
        <v>397</v>
      </c>
      <c r="J2420">
        <v>8629</v>
      </c>
      <c r="K2420">
        <v>12.49</v>
      </c>
      <c r="L2420">
        <v>0</v>
      </c>
      <c r="M2420">
        <v>0</v>
      </c>
    </row>
    <row r="2421" spans="1:13">
      <c r="A2421" s="28">
        <v>208370</v>
      </c>
      <c r="B2421" t="s">
        <v>2563</v>
      </c>
      <c r="C2421">
        <v>6070</v>
      </c>
      <c r="D2421">
        <v>0</v>
      </c>
      <c r="E2421">
        <v>0</v>
      </c>
      <c r="F2421">
        <v>118</v>
      </c>
      <c r="G2421">
        <v>51.44</v>
      </c>
      <c r="H2421" t="s">
        <v>397</v>
      </c>
      <c r="I2421" t="s">
        <v>397</v>
      </c>
      <c r="J2421">
        <v>1469</v>
      </c>
      <c r="K2421">
        <v>4.13</v>
      </c>
      <c r="L2421">
        <v>0</v>
      </c>
      <c r="M2421">
        <v>0</v>
      </c>
    </row>
    <row r="2422" spans="1:13">
      <c r="A2422" s="28">
        <v>86980</v>
      </c>
      <c r="B2422" t="s">
        <v>2564</v>
      </c>
      <c r="C2422">
        <v>4050</v>
      </c>
      <c r="D2422">
        <v>170</v>
      </c>
      <c r="E2422">
        <v>4.38</v>
      </c>
      <c r="F2422" t="s">
        <v>397</v>
      </c>
      <c r="G2422" t="s">
        <v>397</v>
      </c>
      <c r="H2422" t="s">
        <v>397</v>
      </c>
      <c r="I2422" t="s">
        <v>397</v>
      </c>
      <c r="J2422">
        <v>2165</v>
      </c>
      <c r="K2422">
        <v>1.87</v>
      </c>
      <c r="L2422">
        <v>0</v>
      </c>
      <c r="M2422">
        <v>0</v>
      </c>
    </row>
    <row r="2423" spans="1:13">
      <c r="A2423" s="28">
        <v>108860</v>
      </c>
      <c r="B2423" t="s">
        <v>2565</v>
      </c>
      <c r="C2423">
        <v>20250</v>
      </c>
      <c r="D2423">
        <v>590</v>
      </c>
      <c r="E2423">
        <v>3</v>
      </c>
      <c r="F2423">
        <v>287</v>
      </c>
      <c r="G2423">
        <v>70.56</v>
      </c>
      <c r="H2423">
        <v>725</v>
      </c>
      <c r="I2423">
        <v>27.95</v>
      </c>
      <c r="J2423">
        <v>2340</v>
      </c>
      <c r="K2423">
        <v>8.65</v>
      </c>
      <c r="L2423">
        <v>0</v>
      </c>
      <c r="M2423">
        <v>0</v>
      </c>
    </row>
    <row r="2424" spans="1:13">
      <c r="A2424" s="28">
        <v>268600</v>
      </c>
      <c r="B2424" t="s">
        <v>2566</v>
      </c>
      <c r="C2424">
        <v>6680</v>
      </c>
      <c r="D2424">
        <v>0</v>
      </c>
      <c r="E2424">
        <v>0</v>
      </c>
      <c r="F2424" t="s">
        <v>397</v>
      </c>
      <c r="G2424" t="s">
        <v>397</v>
      </c>
      <c r="H2424" t="s">
        <v>397</v>
      </c>
      <c r="I2424" t="s">
        <v>397</v>
      </c>
      <c r="J2424">
        <v>294</v>
      </c>
      <c r="K2424">
        <v>22.72</v>
      </c>
      <c r="L2424">
        <v>0</v>
      </c>
      <c r="M2424">
        <v>0</v>
      </c>
    </row>
    <row r="2425" spans="1:13">
      <c r="A2425" s="28">
        <v>299660</v>
      </c>
      <c r="B2425" t="s">
        <v>2567</v>
      </c>
      <c r="C2425">
        <v>3810</v>
      </c>
      <c r="D2425">
        <v>-230</v>
      </c>
      <c r="E2425">
        <v>-5.69</v>
      </c>
      <c r="F2425" t="s">
        <v>397</v>
      </c>
      <c r="G2425" t="s">
        <v>397</v>
      </c>
      <c r="H2425" t="s">
        <v>397</v>
      </c>
      <c r="I2425" t="s">
        <v>397</v>
      </c>
      <c r="J2425">
        <v>2105</v>
      </c>
      <c r="K2425">
        <v>1.81</v>
      </c>
      <c r="L2425">
        <v>0</v>
      </c>
      <c r="M2425">
        <v>0</v>
      </c>
    </row>
    <row r="2426" spans="1:13">
      <c r="A2426" s="28">
        <v>49180</v>
      </c>
      <c r="B2426" t="s">
        <v>2568</v>
      </c>
      <c r="C2426">
        <v>1615</v>
      </c>
      <c r="D2426">
        <v>-50</v>
      </c>
      <c r="E2426">
        <v>-3</v>
      </c>
      <c r="F2426" t="s">
        <v>397</v>
      </c>
      <c r="G2426" t="s">
        <v>397</v>
      </c>
      <c r="H2426" t="s">
        <v>397</v>
      </c>
      <c r="I2426" t="s">
        <v>397</v>
      </c>
      <c r="J2426">
        <v>1292</v>
      </c>
      <c r="K2426">
        <v>1.25</v>
      </c>
      <c r="L2426">
        <v>0</v>
      </c>
      <c r="M2426">
        <v>0</v>
      </c>
    </row>
    <row r="2427" spans="1:13">
      <c r="A2427" s="28">
        <v>331920</v>
      </c>
      <c r="B2427" t="s">
        <v>2569</v>
      </c>
      <c r="C2427">
        <v>3950</v>
      </c>
      <c r="D2427">
        <v>20</v>
      </c>
      <c r="E2427">
        <v>0.51</v>
      </c>
      <c r="F2427" t="s">
        <v>397</v>
      </c>
      <c r="G2427" t="s">
        <v>397</v>
      </c>
      <c r="H2427" t="s">
        <v>397</v>
      </c>
      <c r="I2427" t="s">
        <v>397</v>
      </c>
      <c r="J2427">
        <v>2277</v>
      </c>
      <c r="K2427">
        <v>1.73</v>
      </c>
      <c r="L2427">
        <v>0</v>
      </c>
      <c r="M2427">
        <v>0</v>
      </c>
    </row>
    <row r="2428" spans="1:13">
      <c r="A2428" s="28">
        <v>347000</v>
      </c>
      <c r="B2428" t="s">
        <v>2570</v>
      </c>
      <c r="C2428">
        <v>2910</v>
      </c>
      <c r="D2428">
        <v>5</v>
      </c>
      <c r="E2428">
        <v>0.17</v>
      </c>
      <c r="F2428">
        <v>30</v>
      </c>
      <c r="G2428">
        <v>97</v>
      </c>
      <c r="H2428" t="s">
        <v>397</v>
      </c>
      <c r="I2428" t="s">
        <v>397</v>
      </c>
      <c r="J2428">
        <v>1302</v>
      </c>
      <c r="K2428">
        <v>2.2400000000000002</v>
      </c>
      <c r="L2428">
        <v>0</v>
      </c>
      <c r="M2428">
        <v>0</v>
      </c>
    </row>
    <row r="2429" spans="1:13">
      <c r="A2429" s="28">
        <v>321370</v>
      </c>
      <c r="B2429" t="s">
        <v>2571</v>
      </c>
      <c r="C2429">
        <v>4100</v>
      </c>
      <c r="D2429">
        <v>-110</v>
      </c>
      <c r="E2429">
        <v>-2.61</v>
      </c>
      <c r="F2429" t="s">
        <v>397</v>
      </c>
      <c r="G2429" t="s">
        <v>397</v>
      </c>
      <c r="H2429" t="s">
        <v>397</v>
      </c>
      <c r="I2429" t="s">
        <v>397</v>
      </c>
      <c r="J2429">
        <v>648</v>
      </c>
      <c r="K2429">
        <v>6.33</v>
      </c>
      <c r="L2429">
        <v>0</v>
      </c>
      <c r="M2429">
        <v>0</v>
      </c>
    </row>
    <row r="2430" spans="1:13">
      <c r="A2430" s="28">
        <v>222810</v>
      </c>
      <c r="B2430" t="s">
        <v>2572</v>
      </c>
      <c r="C2430">
        <v>1392</v>
      </c>
      <c r="D2430">
        <v>-14</v>
      </c>
      <c r="E2430">
        <v>-1</v>
      </c>
      <c r="F2430" t="s">
        <v>397</v>
      </c>
      <c r="G2430" t="s">
        <v>397</v>
      </c>
      <c r="H2430" t="s">
        <v>397</v>
      </c>
      <c r="I2430" t="s">
        <v>397</v>
      </c>
      <c r="J2430">
        <v>552</v>
      </c>
      <c r="K2430">
        <v>2.52</v>
      </c>
      <c r="L2430">
        <v>0</v>
      </c>
      <c r="M2430">
        <v>0</v>
      </c>
    </row>
    <row r="2431" spans="1:13">
      <c r="A2431" s="28">
        <v>53450</v>
      </c>
      <c r="B2431" t="s">
        <v>2573</v>
      </c>
      <c r="C2431">
        <v>7700</v>
      </c>
      <c r="D2431">
        <v>-180</v>
      </c>
      <c r="E2431">
        <v>-2.2799999999999998</v>
      </c>
      <c r="F2431" t="s">
        <v>397</v>
      </c>
      <c r="G2431" t="s">
        <v>397</v>
      </c>
      <c r="H2431">
        <v>1049</v>
      </c>
      <c r="I2431">
        <v>7.34</v>
      </c>
      <c r="J2431">
        <v>7541</v>
      </c>
      <c r="K2431">
        <v>1.02</v>
      </c>
      <c r="L2431">
        <v>0</v>
      </c>
      <c r="M2431">
        <v>0</v>
      </c>
    </row>
    <row r="2432" spans="1:13">
      <c r="A2432" s="28">
        <v>67770</v>
      </c>
      <c r="B2432" t="s">
        <v>2574</v>
      </c>
      <c r="C2432">
        <v>2725</v>
      </c>
      <c r="D2432">
        <v>35</v>
      </c>
      <c r="E2432">
        <v>1.3</v>
      </c>
      <c r="F2432" t="s">
        <v>397</v>
      </c>
      <c r="G2432" t="s">
        <v>397</v>
      </c>
      <c r="H2432" t="s">
        <v>397</v>
      </c>
      <c r="I2432" t="s">
        <v>397</v>
      </c>
      <c r="J2432">
        <v>5424</v>
      </c>
      <c r="K2432">
        <v>0.5</v>
      </c>
      <c r="L2432">
        <v>0</v>
      </c>
      <c r="M2432">
        <v>0</v>
      </c>
    </row>
    <row r="2433" spans="1:13">
      <c r="A2433" s="28">
        <v>39310</v>
      </c>
      <c r="B2433" t="s">
        <v>2575</v>
      </c>
      <c r="C2433">
        <v>2145</v>
      </c>
      <c r="D2433">
        <v>20</v>
      </c>
      <c r="E2433">
        <v>0.94</v>
      </c>
      <c r="F2433">
        <v>203</v>
      </c>
      <c r="G2433">
        <v>10.57</v>
      </c>
      <c r="H2433" t="s">
        <v>397</v>
      </c>
      <c r="I2433" t="s">
        <v>397</v>
      </c>
      <c r="J2433">
        <v>4896</v>
      </c>
      <c r="K2433">
        <v>0.44</v>
      </c>
      <c r="L2433">
        <v>0</v>
      </c>
      <c r="M2433">
        <v>0</v>
      </c>
    </row>
    <row r="2434" spans="1:13">
      <c r="A2434" s="28">
        <v>328380</v>
      </c>
      <c r="B2434" t="s">
        <v>2576</v>
      </c>
      <c r="C2434">
        <v>1441</v>
      </c>
      <c r="D2434">
        <v>34</v>
      </c>
      <c r="E2434">
        <v>2.42</v>
      </c>
      <c r="F2434" t="s">
        <v>397</v>
      </c>
      <c r="G2434" t="s">
        <v>397</v>
      </c>
      <c r="H2434" t="s">
        <v>397</v>
      </c>
      <c r="I2434" t="s">
        <v>397</v>
      </c>
      <c r="J2434">
        <v>628</v>
      </c>
      <c r="K2434">
        <v>2.29</v>
      </c>
      <c r="L2434">
        <v>0</v>
      </c>
      <c r="M2434">
        <v>0</v>
      </c>
    </row>
    <row r="2435" spans="1:13">
      <c r="A2435" s="28">
        <v>84180</v>
      </c>
      <c r="B2435" t="s">
        <v>2577</v>
      </c>
      <c r="C2435">
        <v>598</v>
      </c>
      <c r="D2435">
        <v>7</v>
      </c>
      <c r="E2435">
        <v>1.18</v>
      </c>
      <c r="F2435" t="s">
        <v>397</v>
      </c>
      <c r="G2435" t="s">
        <v>397</v>
      </c>
      <c r="H2435" t="s">
        <v>397</v>
      </c>
      <c r="I2435" t="s">
        <v>397</v>
      </c>
      <c r="J2435">
        <v>614</v>
      </c>
      <c r="K2435">
        <v>0.97</v>
      </c>
      <c r="L2435">
        <v>0</v>
      </c>
      <c r="M2435">
        <v>0</v>
      </c>
    </row>
    <row r="2436" spans="1:13">
      <c r="A2436" s="28">
        <v>129890</v>
      </c>
      <c r="B2436" t="s">
        <v>2578</v>
      </c>
      <c r="C2436">
        <v>1052</v>
      </c>
      <c r="D2436">
        <v>52</v>
      </c>
      <c r="E2436">
        <v>5.2</v>
      </c>
      <c r="F2436" t="s">
        <v>397</v>
      </c>
      <c r="G2436" t="s">
        <v>397</v>
      </c>
      <c r="H2436" t="s">
        <v>397</v>
      </c>
      <c r="I2436" t="s">
        <v>397</v>
      </c>
      <c r="J2436">
        <v>1114</v>
      </c>
      <c r="K2436">
        <v>0.94</v>
      </c>
      <c r="L2436">
        <v>0</v>
      </c>
      <c r="M2436">
        <v>0</v>
      </c>
    </row>
    <row r="2437" spans="1:13">
      <c r="A2437" s="28">
        <v>204630</v>
      </c>
      <c r="B2437" t="s">
        <v>2579</v>
      </c>
      <c r="C2437">
        <v>308</v>
      </c>
      <c r="D2437">
        <v>0</v>
      </c>
      <c r="E2437">
        <v>0</v>
      </c>
      <c r="F2437" t="s">
        <v>397</v>
      </c>
      <c r="G2437" t="s">
        <v>397</v>
      </c>
      <c r="H2437" t="s">
        <v>397</v>
      </c>
      <c r="I2437" t="s">
        <v>397</v>
      </c>
      <c r="J2437">
        <v>843</v>
      </c>
      <c r="K2437">
        <v>0.37</v>
      </c>
      <c r="L2437">
        <v>0</v>
      </c>
      <c r="M2437">
        <v>0</v>
      </c>
    </row>
    <row r="2438" spans="1:13">
      <c r="A2438" s="28">
        <v>290520</v>
      </c>
      <c r="B2438" t="s">
        <v>2580</v>
      </c>
      <c r="C2438">
        <v>3185</v>
      </c>
      <c r="D2438">
        <v>165</v>
      </c>
      <c r="E2438">
        <v>5.46</v>
      </c>
      <c r="F2438" t="s">
        <v>397</v>
      </c>
      <c r="G2438" t="s">
        <v>397</v>
      </c>
      <c r="H2438" t="s">
        <v>397</v>
      </c>
      <c r="I2438" t="s">
        <v>397</v>
      </c>
      <c r="J2438">
        <v>3913</v>
      </c>
      <c r="K2438">
        <v>0.81</v>
      </c>
      <c r="L2438">
        <v>0</v>
      </c>
      <c r="M2438">
        <v>0</v>
      </c>
    </row>
    <row r="2439" spans="1:13">
      <c r="A2439" s="28">
        <v>232830</v>
      </c>
      <c r="B2439" t="s">
        <v>2581</v>
      </c>
      <c r="C2439">
        <v>3395</v>
      </c>
      <c r="D2439">
        <v>-50</v>
      </c>
      <c r="E2439">
        <v>-1.45</v>
      </c>
      <c r="F2439">
        <v>233</v>
      </c>
      <c r="G2439">
        <v>14.57</v>
      </c>
      <c r="H2439">
        <v>70</v>
      </c>
      <c r="I2439">
        <v>48.18</v>
      </c>
      <c r="J2439">
        <v>852</v>
      </c>
      <c r="K2439">
        <v>3.98</v>
      </c>
      <c r="L2439">
        <v>0</v>
      </c>
      <c r="M2439">
        <v>0</v>
      </c>
    </row>
    <row r="2440" spans="1:13">
      <c r="A2440" s="28">
        <v>418250</v>
      </c>
      <c r="B2440" t="s">
        <v>2582</v>
      </c>
      <c r="C2440">
        <v>7930</v>
      </c>
      <c r="D2440">
        <v>-280</v>
      </c>
      <c r="E2440">
        <v>-3.41</v>
      </c>
      <c r="F2440" t="s">
        <v>397</v>
      </c>
      <c r="G2440" t="s">
        <v>397</v>
      </c>
      <c r="H2440" t="s">
        <v>397</v>
      </c>
      <c r="I2440" t="s">
        <v>397</v>
      </c>
      <c r="J2440">
        <v>1030</v>
      </c>
      <c r="K2440">
        <v>7.7</v>
      </c>
      <c r="L2440">
        <v>0</v>
      </c>
      <c r="M2440">
        <v>0</v>
      </c>
    </row>
    <row r="2441" spans="1:13">
      <c r="A2441" s="28">
        <v>429270</v>
      </c>
      <c r="B2441" t="s">
        <v>2583</v>
      </c>
      <c r="C2441">
        <v>10460</v>
      </c>
      <c r="D2441">
        <v>-20</v>
      </c>
      <c r="E2441">
        <v>-0.19</v>
      </c>
      <c r="F2441" t="s">
        <v>397</v>
      </c>
      <c r="G2441" t="s">
        <v>397</v>
      </c>
      <c r="H2441" t="s">
        <v>397</v>
      </c>
      <c r="I2441" t="s">
        <v>397</v>
      </c>
      <c r="J2441">
        <v>3305</v>
      </c>
      <c r="K2441">
        <v>3.16</v>
      </c>
      <c r="L2441">
        <v>0</v>
      </c>
      <c r="M2441">
        <v>0</v>
      </c>
    </row>
    <row r="2442" spans="1:13">
      <c r="A2442" s="28">
        <v>269620</v>
      </c>
      <c r="B2442" t="s">
        <v>2584</v>
      </c>
      <c r="C2442">
        <v>889</v>
      </c>
      <c r="D2442">
        <v>0</v>
      </c>
      <c r="E2442">
        <v>0</v>
      </c>
      <c r="F2442" t="s">
        <v>397</v>
      </c>
      <c r="G2442" t="s">
        <v>397</v>
      </c>
      <c r="H2442" t="s">
        <v>397</v>
      </c>
      <c r="I2442" t="s">
        <v>397</v>
      </c>
      <c r="J2442">
        <v>337</v>
      </c>
      <c r="K2442">
        <v>2.64</v>
      </c>
      <c r="L2442">
        <v>0</v>
      </c>
      <c r="M2442">
        <v>0</v>
      </c>
    </row>
    <row r="2443" spans="1:13">
      <c r="A2443" s="28">
        <v>25320</v>
      </c>
      <c r="B2443" t="s">
        <v>2585</v>
      </c>
      <c r="C2443">
        <v>10030</v>
      </c>
      <c r="D2443">
        <v>140</v>
      </c>
      <c r="E2443">
        <v>1.42</v>
      </c>
      <c r="F2443">
        <v>109</v>
      </c>
      <c r="G2443">
        <v>92.02</v>
      </c>
      <c r="H2443">
        <v>315</v>
      </c>
      <c r="I2443">
        <v>31.84</v>
      </c>
      <c r="J2443">
        <v>1309</v>
      </c>
      <c r="K2443">
        <v>7.66</v>
      </c>
      <c r="L2443">
        <v>0</v>
      </c>
      <c r="M2443">
        <v>0</v>
      </c>
    </row>
    <row r="2444" spans="1:13">
      <c r="A2444" s="28">
        <v>48870</v>
      </c>
      <c r="B2444" t="s">
        <v>2586</v>
      </c>
      <c r="C2444">
        <v>2815</v>
      </c>
      <c r="D2444">
        <v>15</v>
      </c>
      <c r="E2444">
        <v>0.54</v>
      </c>
      <c r="F2444">
        <v>199</v>
      </c>
      <c r="G2444">
        <v>14.15</v>
      </c>
      <c r="H2444" t="s">
        <v>397</v>
      </c>
      <c r="I2444" t="s">
        <v>397</v>
      </c>
      <c r="J2444">
        <v>1692</v>
      </c>
      <c r="K2444">
        <v>1.66</v>
      </c>
      <c r="L2444">
        <v>0</v>
      </c>
      <c r="M2444">
        <v>0</v>
      </c>
    </row>
    <row r="2445" spans="1:13">
      <c r="A2445" s="28">
        <v>33170</v>
      </c>
      <c r="B2445" t="s">
        <v>2587</v>
      </c>
      <c r="C2445">
        <v>1875</v>
      </c>
      <c r="D2445">
        <v>65</v>
      </c>
      <c r="E2445">
        <v>3.59</v>
      </c>
      <c r="F2445">
        <v>88</v>
      </c>
      <c r="G2445">
        <v>21.31</v>
      </c>
      <c r="H2445" t="s">
        <v>397</v>
      </c>
      <c r="I2445" t="s">
        <v>397</v>
      </c>
      <c r="J2445">
        <v>1532</v>
      </c>
      <c r="K2445">
        <v>1.22</v>
      </c>
      <c r="L2445">
        <v>0</v>
      </c>
      <c r="M2445">
        <v>0</v>
      </c>
    </row>
    <row r="2446" spans="1:13">
      <c r="A2446" s="28">
        <v>203690</v>
      </c>
      <c r="B2446" t="s">
        <v>2588</v>
      </c>
      <c r="C2446">
        <v>10410</v>
      </c>
      <c r="D2446">
        <v>530</v>
      </c>
      <c r="E2446">
        <v>5.36</v>
      </c>
      <c r="F2446" t="s">
        <v>397</v>
      </c>
      <c r="G2446" t="s">
        <v>397</v>
      </c>
      <c r="H2446" t="s">
        <v>397</v>
      </c>
      <c r="I2446" t="s">
        <v>397</v>
      </c>
      <c r="J2446">
        <v>1090</v>
      </c>
      <c r="K2446">
        <v>9.5500000000000007</v>
      </c>
      <c r="L2446">
        <v>0</v>
      </c>
      <c r="M2446">
        <v>0</v>
      </c>
    </row>
    <row r="2447" spans="1:13">
      <c r="A2447" s="28">
        <v>13810</v>
      </c>
      <c r="B2447" t="s">
        <v>2589</v>
      </c>
      <c r="C2447">
        <v>3855</v>
      </c>
      <c r="D2447">
        <v>40</v>
      </c>
      <c r="E2447">
        <v>1.05</v>
      </c>
      <c r="F2447">
        <v>52</v>
      </c>
      <c r="G2447">
        <v>74.13</v>
      </c>
      <c r="H2447" t="s">
        <v>397</v>
      </c>
      <c r="I2447" t="s">
        <v>397</v>
      </c>
      <c r="J2447">
        <v>3154</v>
      </c>
      <c r="K2447">
        <v>1.22</v>
      </c>
      <c r="L2447">
        <v>0</v>
      </c>
      <c r="M2447">
        <v>0</v>
      </c>
    </row>
    <row r="2448" spans="1:13">
      <c r="A2448" s="28">
        <v>415380</v>
      </c>
      <c r="B2448" t="s">
        <v>2590</v>
      </c>
      <c r="C2448">
        <v>15860</v>
      </c>
      <c r="D2448">
        <v>-340</v>
      </c>
      <c r="E2448">
        <v>-2.1</v>
      </c>
      <c r="F2448">
        <v>575</v>
      </c>
      <c r="G2448">
        <v>27.58</v>
      </c>
      <c r="H2448" t="s">
        <v>397</v>
      </c>
      <c r="I2448" t="s">
        <v>397</v>
      </c>
      <c r="J2448">
        <v>4996</v>
      </c>
      <c r="K2448">
        <v>3.17</v>
      </c>
      <c r="L2448">
        <v>0</v>
      </c>
      <c r="M2448">
        <v>0</v>
      </c>
    </row>
    <row r="2449" spans="1:13">
      <c r="A2449" s="28">
        <v>408900</v>
      </c>
      <c r="B2449" t="s">
        <v>2591</v>
      </c>
      <c r="C2449">
        <v>35300</v>
      </c>
      <c r="D2449">
        <v>-100</v>
      </c>
      <c r="E2449">
        <v>-0.28000000000000003</v>
      </c>
      <c r="F2449">
        <v>367</v>
      </c>
      <c r="G2449">
        <v>96.19</v>
      </c>
      <c r="H2449" t="s">
        <v>397</v>
      </c>
      <c r="I2449" t="s">
        <v>397</v>
      </c>
      <c r="J2449">
        <v>4847</v>
      </c>
      <c r="K2449">
        <v>7.28</v>
      </c>
      <c r="L2449">
        <v>0</v>
      </c>
      <c r="M2449">
        <v>0</v>
      </c>
    </row>
    <row r="2450" spans="1:13">
      <c r="A2450" s="28">
        <v>298830</v>
      </c>
      <c r="B2450" t="s">
        <v>2592</v>
      </c>
      <c r="C2450">
        <v>5400</v>
      </c>
      <c r="D2450">
        <v>-100</v>
      </c>
      <c r="E2450">
        <v>-1.82</v>
      </c>
      <c r="F2450" t="s">
        <v>397</v>
      </c>
      <c r="G2450" t="s">
        <v>397</v>
      </c>
      <c r="H2450" t="s">
        <v>397</v>
      </c>
      <c r="I2450" t="s">
        <v>397</v>
      </c>
      <c r="J2450" t="s">
        <v>397</v>
      </c>
      <c r="K2450" t="s">
        <v>397</v>
      </c>
      <c r="L2450">
        <v>0</v>
      </c>
      <c r="M2450">
        <v>0</v>
      </c>
    </row>
    <row r="2451" spans="1:13">
      <c r="A2451" s="28">
        <v>253450</v>
      </c>
      <c r="B2451" t="s">
        <v>2593</v>
      </c>
      <c r="C2451">
        <v>44900</v>
      </c>
      <c r="D2451">
        <v>-300</v>
      </c>
      <c r="E2451">
        <v>-0.66</v>
      </c>
      <c r="F2451">
        <v>1684</v>
      </c>
      <c r="G2451">
        <v>26.66</v>
      </c>
      <c r="H2451">
        <v>1806</v>
      </c>
      <c r="I2451">
        <v>24.86</v>
      </c>
      <c r="J2451">
        <v>21982</v>
      </c>
      <c r="K2451">
        <v>2.04</v>
      </c>
      <c r="L2451">
        <v>0</v>
      </c>
      <c r="M2451">
        <v>0</v>
      </c>
    </row>
    <row r="2452" spans="1:13">
      <c r="A2452" s="28">
        <v>352090</v>
      </c>
      <c r="B2452" t="s">
        <v>2594</v>
      </c>
      <c r="C2452">
        <v>7900</v>
      </c>
      <c r="D2452">
        <v>-110</v>
      </c>
      <c r="E2452">
        <v>-1.37</v>
      </c>
      <c r="F2452">
        <v>959</v>
      </c>
      <c r="G2452">
        <v>8.24</v>
      </c>
      <c r="H2452" t="s">
        <v>397</v>
      </c>
      <c r="I2452" t="s">
        <v>397</v>
      </c>
      <c r="J2452">
        <v>3552</v>
      </c>
      <c r="K2452">
        <v>2.2200000000000002</v>
      </c>
      <c r="L2452">
        <v>0</v>
      </c>
      <c r="M2452">
        <v>0</v>
      </c>
    </row>
    <row r="2453" spans="1:13">
      <c r="A2453" s="28">
        <v>115570</v>
      </c>
      <c r="B2453" t="s">
        <v>2595</v>
      </c>
      <c r="C2453">
        <v>2555</v>
      </c>
      <c r="D2453">
        <v>0</v>
      </c>
      <c r="E2453">
        <v>0</v>
      </c>
      <c r="F2453">
        <v>830</v>
      </c>
      <c r="G2453">
        <v>3.08</v>
      </c>
      <c r="H2453" t="s">
        <v>397</v>
      </c>
      <c r="I2453" t="s">
        <v>397</v>
      </c>
      <c r="J2453">
        <v>9870</v>
      </c>
      <c r="K2453">
        <v>0.26</v>
      </c>
      <c r="L2453">
        <v>0</v>
      </c>
      <c r="M2453">
        <v>0</v>
      </c>
    </row>
    <row r="2454" spans="1:13">
      <c r="A2454" s="28">
        <v>159910</v>
      </c>
      <c r="B2454" t="s">
        <v>2596</v>
      </c>
      <c r="C2454">
        <v>791</v>
      </c>
      <c r="D2454">
        <v>-4</v>
      </c>
      <c r="E2454">
        <v>-0.5</v>
      </c>
      <c r="F2454" t="s">
        <v>397</v>
      </c>
      <c r="G2454" t="s">
        <v>397</v>
      </c>
      <c r="H2454" t="s">
        <v>397</v>
      </c>
      <c r="I2454" t="s">
        <v>397</v>
      </c>
      <c r="J2454">
        <v>780</v>
      </c>
      <c r="K2454">
        <v>1.01</v>
      </c>
      <c r="L2454">
        <v>0</v>
      </c>
      <c r="M2454">
        <v>0</v>
      </c>
    </row>
    <row r="2455" spans="1:13">
      <c r="A2455" s="28">
        <v>276040</v>
      </c>
      <c r="B2455" t="s">
        <v>2597</v>
      </c>
      <c r="C2455">
        <v>8160</v>
      </c>
      <c r="D2455">
        <v>160</v>
      </c>
      <c r="E2455">
        <v>2</v>
      </c>
      <c r="F2455" t="s">
        <v>397</v>
      </c>
      <c r="G2455" t="s">
        <v>397</v>
      </c>
      <c r="H2455" t="s">
        <v>397</v>
      </c>
      <c r="I2455" t="s">
        <v>397</v>
      </c>
      <c r="J2455">
        <v>2061</v>
      </c>
      <c r="K2455">
        <v>3.96</v>
      </c>
      <c r="L2455">
        <v>0</v>
      </c>
      <c r="M2455">
        <v>0</v>
      </c>
    </row>
    <row r="2456" spans="1:13">
      <c r="A2456" s="28">
        <v>33790</v>
      </c>
      <c r="B2456" t="s">
        <v>2598</v>
      </c>
      <c r="C2456">
        <v>1318</v>
      </c>
      <c r="D2456">
        <v>0</v>
      </c>
      <c r="E2456">
        <v>0</v>
      </c>
      <c r="F2456">
        <v>103</v>
      </c>
      <c r="G2456">
        <v>12.8</v>
      </c>
      <c r="H2456" t="s">
        <v>397</v>
      </c>
      <c r="I2456" t="s">
        <v>397</v>
      </c>
      <c r="J2456">
        <v>1399</v>
      </c>
      <c r="K2456">
        <v>0.94</v>
      </c>
      <c r="L2456">
        <v>0</v>
      </c>
      <c r="M2456">
        <v>0</v>
      </c>
    </row>
    <row r="2457" spans="1:13">
      <c r="A2457" s="28">
        <v>99440</v>
      </c>
      <c r="B2457" t="s">
        <v>2599</v>
      </c>
      <c r="C2457">
        <v>3710</v>
      </c>
      <c r="D2457">
        <v>-40</v>
      </c>
      <c r="E2457">
        <v>-1.07</v>
      </c>
      <c r="F2457">
        <v>326</v>
      </c>
      <c r="G2457">
        <v>11.38</v>
      </c>
      <c r="H2457" t="s">
        <v>397</v>
      </c>
      <c r="I2457" t="s">
        <v>397</v>
      </c>
      <c r="J2457">
        <v>2445</v>
      </c>
      <c r="K2457">
        <v>1.52</v>
      </c>
      <c r="L2457">
        <v>0</v>
      </c>
      <c r="M2457">
        <v>0</v>
      </c>
    </row>
    <row r="2458" spans="1:13">
      <c r="A2458" s="28">
        <v>136510</v>
      </c>
      <c r="B2458" t="s">
        <v>2600</v>
      </c>
      <c r="C2458">
        <v>11600</v>
      </c>
      <c r="D2458">
        <v>0</v>
      </c>
      <c r="E2458">
        <v>0</v>
      </c>
      <c r="F2458" t="s">
        <v>397</v>
      </c>
      <c r="G2458" t="s">
        <v>397</v>
      </c>
      <c r="H2458" t="s">
        <v>397</v>
      </c>
      <c r="I2458" t="s">
        <v>397</v>
      </c>
      <c r="J2458" t="s">
        <v>397</v>
      </c>
      <c r="K2458" t="s">
        <v>397</v>
      </c>
      <c r="L2458">
        <v>0</v>
      </c>
      <c r="M2458">
        <v>0</v>
      </c>
    </row>
    <row r="2459" spans="1:13">
      <c r="A2459" s="28">
        <v>424960</v>
      </c>
      <c r="B2459" t="s">
        <v>2601</v>
      </c>
      <c r="C2459">
        <v>11430</v>
      </c>
      <c r="D2459">
        <v>-370</v>
      </c>
      <c r="E2459">
        <v>-3.14</v>
      </c>
      <c r="F2459" t="s">
        <v>397</v>
      </c>
      <c r="G2459" t="s">
        <v>397</v>
      </c>
      <c r="H2459">
        <v>169</v>
      </c>
      <c r="I2459">
        <v>67.8</v>
      </c>
      <c r="J2459">
        <v>695</v>
      </c>
      <c r="K2459">
        <v>16.45</v>
      </c>
      <c r="L2459">
        <v>0</v>
      </c>
      <c r="M2459">
        <v>0</v>
      </c>
    </row>
    <row r="2460" spans="1:13">
      <c r="A2460" s="28">
        <v>94840</v>
      </c>
      <c r="B2460" t="s">
        <v>2602</v>
      </c>
      <c r="C2460">
        <v>7410</v>
      </c>
      <c r="D2460">
        <v>10</v>
      </c>
      <c r="E2460">
        <v>0.14000000000000001</v>
      </c>
      <c r="F2460">
        <v>1337</v>
      </c>
      <c r="G2460">
        <v>5.54</v>
      </c>
      <c r="H2460" t="s">
        <v>397</v>
      </c>
      <c r="I2460" t="s">
        <v>397</v>
      </c>
      <c r="J2460">
        <v>18518</v>
      </c>
      <c r="K2460">
        <v>0.4</v>
      </c>
      <c r="L2460">
        <v>0</v>
      </c>
      <c r="M2460">
        <v>0</v>
      </c>
    </row>
    <row r="2461" spans="1:13">
      <c r="A2461" s="28">
        <v>236200</v>
      </c>
      <c r="B2461" t="s">
        <v>2603</v>
      </c>
      <c r="C2461">
        <v>23700</v>
      </c>
      <c r="D2461">
        <v>-100</v>
      </c>
      <c r="E2461">
        <v>-0.42</v>
      </c>
      <c r="F2461">
        <v>2560</v>
      </c>
      <c r="G2461">
        <v>9.26</v>
      </c>
      <c r="H2461">
        <v>3331</v>
      </c>
      <c r="I2461">
        <v>7.11</v>
      </c>
      <c r="J2461">
        <v>26171</v>
      </c>
      <c r="K2461">
        <v>0.91</v>
      </c>
      <c r="L2461">
        <v>0</v>
      </c>
      <c r="M2461">
        <v>0</v>
      </c>
    </row>
    <row r="2462" spans="1:13">
      <c r="A2462" s="28">
        <v>36630</v>
      </c>
      <c r="B2462" t="s">
        <v>2604</v>
      </c>
      <c r="C2462">
        <v>662</v>
      </c>
      <c r="D2462">
        <v>18</v>
      </c>
      <c r="E2462">
        <v>2.8</v>
      </c>
      <c r="F2462" t="s">
        <v>397</v>
      </c>
      <c r="G2462" t="s">
        <v>397</v>
      </c>
      <c r="H2462" t="s">
        <v>397</v>
      </c>
      <c r="I2462" t="s">
        <v>397</v>
      </c>
      <c r="J2462">
        <v>1122</v>
      </c>
      <c r="K2462">
        <v>0.59</v>
      </c>
      <c r="L2462">
        <v>0</v>
      </c>
      <c r="M2462">
        <v>0</v>
      </c>
    </row>
    <row r="2463" spans="1:13">
      <c r="A2463" s="28">
        <v>258830</v>
      </c>
      <c r="B2463" t="s">
        <v>2605</v>
      </c>
      <c r="C2463">
        <v>410</v>
      </c>
      <c r="D2463">
        <v>-7</v>
      </c>
      <c r="E2463">
        <v>-1.68</v>
      </c>
      <c r="F2463" t="s">
        <v>397</v>
      </c>
      <c r="G2463" t="s">
        <v>397</v>
      </c>
      <c r="H2463" t="s">
        <v>397</v>
      </c>
      <c r="I2463" t="s">
        <v>397</v>
      </c>
      <c r="J2463">
        <v>487</v>
      </c>
      <c r="K2463">
        <v>0.84</v>
      </c>
      <c r="L2463">
        <v>0</v>
      </c>
      <c r="M2463">
        <v>0</v>
      </c>
    </row>
    <row r="2464" spans="1:13">
      <c r="A2464" s="28">
        <v>91090</v>
      </c>
      <c r="B2464" t="s">
        <v>2606</v>
      </c>
      <c r="C2464">
        <v>1270</v>
      </c>
      <c r="D2464">
        <v>0</v>
      </c>
      <c r="E2464">
        <v>0</v>
      </c>
      <c r="F2464" t="s">
        <v>397</v>
      </c>
      <c r="G2464" t="s">
        <v>397</v>
      </c>
      <c r="H2464" t="s">
        <v>397</v>
      </c>
      <c r="I2464" t="s">
        <v>397</v>
      </c>
      <c r="J2464">
        <v>3875</v>
      </c>
      <c r="K2464">
        <v>0.33</v>
      </c>
      <c r="L2464">
        <v>0</v>
      </c>
      <c r="M2464">
        <v>0</v>
      </c>
    </row>
    <row r="2465" spans="1:13">
      <c r="A2465" s="28">
        <v>24950</v>
      </c>
      <c r="B2465" t="s">
        <v>2607</v>
      </c>
      <c r="C2465">
        <v>5250</v>
      </c>
      <c r="D2465">
        <v>0</v>
      </c>
      <c r="E2465">
        <v>0</v>
      </c>
      <c r="F2465" t="s">
        <v>397</v>
      </c>
      <c r="G2465" t="s">
        <v>397</v>
      </c>
      <c r="H2465" t="s">
        <v>397</v>
      </c>
      <c r="I2465" t="s">
        <v>397</v>
      </c>
      <c r="J2465">
        <v>7719</v>
      </c>
      <c r="K2465">
        <v>0.68</v>
      </c>
      <c r="L2465">
        <v>0</v>
      </c>
      <c r="M2465">
        <v>0</v>
      </c>
    </row>
    <row r="2466" spans="1:13">
      <c r="A2466" s="28">
        <v>411080</v>
      </c>
      <c r="B2466" t="s">
        <v>2608</v>
      </c>
      <c r="C2466">
        <v>8240</v>
      </c>
      <c r="D2466">
        <v>110</v>
      </c>
      <c r="E2466">
        <v>1.35</v>
      </c>
      <c r="F2466">
        <v>182</v>
      </c>
      <c r="G2466">
        <v>45.27</v>
      </c>
      <c r="H2466" t="s">
        <v>397</v>
      </c>
      <c r="I2466" t="s">
        <v>397</v>
      </c>
      <c r="J2466">
        <v>203</v>
      </c>
      <c r="K2466">
        <v>40.590000000000003</v>
      </c>
      <c r="L2466">
        <v>0</v>
      </c>
      <c r="M2466">
        <v>0</v>
      </c>
    </row>
    <row r="2467" spans="1:13">
      <c r="A2467" s="28">
        <v>42600</v>
      </c>
      <c r="B2467" t="s">
        <v>2609</v>
      </c>
      <c r="C2467">
        <v>24000</v>
      </c>
      <c r="D2467">
        <v>-550</v>
      </c>
      <c r="E2467">
        <v>-2.2400000000000002</v>
      </c>
      <c r="F2467">
        <v>7365</v>
      </c>
      <c r="G2467">
        <v>3.26</v>
      </c>
      <c r="H2467" t="s">
        <v>397</v>
      </c>
      <c r="I2467" t="s">
        <v>397</v>
      </c>
      <c r="J2467">
        <v>16261</v>
      </c>
      <c r="K2467">
        <v>1.48</v>
      </c>
      <c r="L2467">
        <v>0</v>
      </c>
      <c r="M2467">
        <v>0</v>
      </c>
    </row>
    <row r="2468" spans="1:13">
      <c r="A2468" s="28">
        <v>42940</v>
      </c>
      <c r="B2468" t="s">
        <v>2610</v>
      </c>
      <c r="C2468">
        <v>525</v>
      </c>
      <c r="D2468">
        <v>50</v>
      </c>
      <c r="E2468">
        <v>10.53</v>
      </c>
      <c r="F2468" t="s">
        <v>397</v>
      </c>
      <c r="G2468" t="s">
        <v>397</v>
      </c>
      <c r="H2468" t="s">
        <v>397</v>
      </c>
      <c r="I2468" t="s">
        <v>397</v>
      </c>
      <c r="J2468">
        <v>613</v>
      </c>
      <c r="K2468">
        <v>0.86</v>
      </c>
      <c r="L2468">
        <v>0</v>
      </c>
      <c r="M2468">
        <v>0</v>
      </c>
    </row>
    <row r="2469" spans="1:13">
      <c r="A2469" s="28">
        <v>263810</v>
      </c>
      <c r="B2469" t="s">
        <v>2611</v>
      </c>
      <c r="C2469">
        <v>4265</v>
      </c>
      <c r="D2469">
        <v>110</v>
      </c>
      <c r="E2469">
        <v>2.65</v>
      </c>
      <c r="F2469">
        <v>79</v>
      </c>
      <c r="G2469">
        <v>53.99</v>
      </c>
      <c r="H2469" t="s">
        <v>397</v>
      </c>
      <c r="I2469" t="s">
        <v>397</v>
      </c>
      <c r="J2469">
        <v>2891</v>
      </c>
      <c r="K2469">
        <v>1.48</v>
      </c>
      <c r="L2469">
        <v>0</v>
      </c>
      <c r="M2469">
        <v>0</v>
      </c>
    </row>
    <row r="2470" spans="1:13">
      <c r="A2470" s="28">
        <v>1290</v>
      </c>
      <c r="B2470" t="s">
        <v>2612</v>
      </c>
      <c r="C2470">
        <v>775</v>
      </c>
      <c r="D2470">
        <v>7</v>
      </c>
      <c r="E2470">
        <v>0.91</v>
      </c>
      <c r="F2470">
        <v>35</v>
      </c>
      <c r="G2470">
        <v>22.14</v>
      </c>
      <c r="H2470" t="s">
        <v>397</v>
      </c>
      <c r="I2470" t="s">
        <v>397</v>
      </c>
      <c r="J2470">
        <v>2103</v>
      </c>
      <c r="K2470">
        <v>0.37</v>
      </c>
      <c r="L2470">
        <v>0</v>
      </c>
      <c r="M2470">
        <v>0</v>
      </c>
    </row>
    <row r="2471" spans="1:13">
      <c r="A2471" s="28">
        <v>452670</v>
      </c>
      <c r="B2471" t="s">
        <v>2613</v>
      </c>
      <c r="C2471">
        <v>2015</v>
      </c>
      <c r="D2471">
        <v>0</v>
      </c>
      <c r="E2471">
        <v>0</v>
      </c>
      <c r="F2471" t="s">
        <v>397</v>
      </c>
      <c r="G2471" t="s">
        <v>397</v>
      </c>
      <c r="H2471" t="s">
        <v>397</v>
      </c>
      <c r="I2471" t="s">
        <v>397</v>
      </c>
      <c r="J2471" t="s">
        <v>397</v>
      </c>
      <c r="K2471" t="s">
        <v>397</v>
      </c>
      <c r="L2471">
        <v>0</v>
      </c>
      <c r="M2471">
        <v>0</v>
      </c>
    </row>
    <row r="2472" spans="1:13">
      <c r="A2472" s="28">
        <v>415580</v>
      </c>
      <c r="B2472" t="s">
        <v>2614</v>
      </c>
      <c r="C2472">
        <v>2095</v>
      </c>
      <c r="D2472">
        <v>0</v>
      </c>
      <c r="E2472">
        <v>0</v>
      </c>
      <c r="F2472" t="s">
        <v>397</v>
      </c>
      <c r="G2472" t="s">
        <v>397</v>
      </c>
      <c r="H2472" t="s">
        <v>397</v>
      </c>
      <c r="I2472" t="s">
        <v>397</v>
      </c>
      <c r="J2472" t="s">
        <v>397</v>
      </c>
      <c r="K2472" t="s">
        <v>397</v>
      </c>
      <c r="L2472">
        <v>0</v>
      </c>
      <c r="M2472">
        <v>0</v>
      </c>
    </row>
    <row r="2473" spans="1:13">
      <c r="A2473" s="28">
        <v>101000</v>
      </c>
      <c r="B2473" t="s">
        <v>2615</v>
      </c>
      <c r="C2473">
        <v>3455</v>
      </c>
      <c r="D2473">
        <v>395</v>
      </c>
      <c r="E2473">
        <v>12.91</v>
      </c>
      <c r="F2473" t="s">
        <v>397</v>
      </c>
      <c r="G2473" t="s">
        <v>397</v>
      </c>
      <c r="H2473" t="s">
        <v>397</v>
      </c>
      <c r="I2473" t="s">
        <v>397</v>
      </c>
      <c r="J2473">
        <v>612</v>
      </c>
      <c r="K2473">
        <v>5.65</v>
      </c>
      <c r="L2473">
        <v>0</v>
      </c>
      <c r="M2473">
        <v>0</v>
      </c>
    </row>
    <row r="2474" spans="1:13">
      <c r="A2474" s="28">
        <v>27580</v>
      </c>
      <c r="B2474" t="s">
        <v>2616</v>
      </c>
      <c r="C2474">
        <v>1835</v>
      </c>
      <c r="D2474">
        <v>19</v>
      </c>
      <c r="E2474">
        <v>1.05</v>
      </c>
      <c r="F2474">
        <v>148</v>
      </c>
      <c r="G2474">
        <v>12.4</v>
      </c>
      <c r="H2474" t="s">
        <v>397</v>
      </c>
      <c r="I2474" t="s">
        <v>397</v>
      </c>
      <c r="J2474">
        <v>1114</v>
      </c>
      <c r="K2474">
        <v>1.65</v>
      </c>
      <c r="L2474">
        <v>0</v>
      </c>
      <c r="M2474">
        <v>0</v>
      </c>
    </row>
    <row r="2475" spans="1:13">
      <c r="A2475" s="28">
        <v>11230</v>
      </c>
      <c r="B2475" t="s">
        <v>2617</v>
      </c>
      <c r="C2475">
        <v>4335</v>
      </c>
      <c r="D2475">
        <v>-5</v>
      </c>
      <c r="E2475">
        <v>-0.12</v>
      </c>
      <c r="F2475" t="s">
        <v>397</v>
      </c>
      <c r="G2475" t="s">
        <v>397</v>
      </c>
      <c r="H2475" t="s">
        <v>397</v>
      </c>
      <c r="I2475" t="s">
        <v>397</v>
      </c>
      <c r="J2475">
        <v>994</v>
      </c>
      <c r="K2475">
        <v>4.3600000000000003</v>
      </c>
      <c r="L2475">
        <v>0</v>
      </c>
      <c r="M2475">
        <v>0</v>
      </c>
    </row>
    <row r="2476" spans="1:13">
      <c r="A2476" s="28">
        <v>46390</v>
      </c>
      <c r="B2476" t="s">
        <v>2618</v>
      </c>
      <c r="C2476">
        <v>1707</v>
      </c>
      <c r="D2476">
        <v>-9</v>
      </c>
      <c r="E2476">
        <v>-0.52</v>
      </c>
      <c r="F2476">
        <v>349</v>
      </c>
      <c r="G2476">
        <v>4.8899999999999997</v>
      </c>
      <c r="H2476" t="s">
        <v>397</v>
      </c>
      <c r="I2476" t="s">
        <v>397</v>
      </c>
      <c r="J2476">
        <v>1462</v>
      </c>
      <c r="K2476">
        <v>1.17</v>
      </c>
      <c r="L2476">
        <v>0</v>
      </c>
      <c r="M2476">
        <v>0</v>
      </c>
    </row>
    <row r="2477" spans="1:13">
      <c r="A2477" s="28">
        <v>250</v>
      </c>
      <c r="B2477" t="s">
        <v>2619</v>
      </c>
      <c r="C2477">
        <v>77800</v>
      </c>
      <c r="D2477">
        <v>-2100</v>
      </c>
      <c r="E2477">
        <v>-2.63</v>
      </c>
      <c r="F2477">
        <v>265</v>
      </c>
      <c r="G2477">
        <v>293.58</v>
      </c>
      <c r="H2477" t="s">
        <v>397</v>
      </c>
      <c r="I2477" t="s">
        <v>397</v>
      </c>
      <c r="J2477">
        <v>7873</v>
      </c>
      <c r="K2477">
        <v>9.8800000000000008</v>
      </c>
      <c r="L2477">
        <v>0</v>
      </c>
      <c r="M2477">
        <v>0</v>
      </c>
    </row>
    <row r="2478" spans="1:13">
      <c r="A2478" s="28">
        <v>13000</v>
      </c>
      <c r="B2478" t="s">
        <v>2620</v>
      </c>
      <c r="C2478">
        <v>1636</v>
      </c>
      <c r="D2478">
        <v>1</v>
      </c>
      <c r="E2478">
        <v>0.06</v>
      </c>
      <c r="F2478">
        <v>53</v>
      </c>
      <c r="G2478">
        <v>30.87</v>
      </c>
      <c r="H2478" t="s">
        <v>397</v>
      </c>
      <c r="I2478" t="s">
        <v>397</v>
      </c>
      <c r="J2478">
        <v>1597</v>
      </c>
      <c r="K2478">
        <v>1.02</v>
      </c>
      <c r="L2478">
        <v>0</v>
      </c>
      <c r="M2478">
        <v>0</v>
      </c>
    </row>
    <row r="2479" spans="1:13">
      <c r="A2479" s="28">
        <v>54090</v>
      </c>
      <c r="B2479" t="s">
        <v>2621</v>
      </c>
      <c r="C2479">
        <v>1390</v>
      </c>
      <c r="D2479">
        <v>-19</v>
      </c>
      <c r="E2479">
        <v>-1.35</v>
      </c>
      <c r="F2479" t="s">
        <v>397</v>
      </c>
      <c r="G2479" t="s">
        <v>397</v>
      </c>
      <c r="H2479" t="s">
        <v>397</v>
      </c>
      <c r="I2479" t="s">
        <v>397</v>
      </c>
      <c r="J2479">
        <v>3746</v>
      </c>
      <c r="K2479">
        <v>0.37</v>
      </c>
      <c r="L2479">
        <v>0</v>
      </c>
      <c r="M2479">
        <v>0</v>
      </c>
    </row>
    <row r="2480" spans="1:13">
      <c r="A2480" s="28">
        <v>520</v>
      </c>
      <c r="B2480" t="s">
        <v>2622</v>
      </c>
      <c r="C2480">
        <v>9170</v>
      </c>
      <c r="D2480">
        <v>-110</v>
      </c>
      <c r="E2480">
        <v>-1.19</v>
      </c>
      <c r="F2480" t="s">
        <v>397</v>
      </c>
      <c r="G2480" t="s">
        <v>397</v>
      </c>
      <c r="H2480" t="s">
        <v>397</v>
      </c>
      <c r="I2480" t="s">
        <v>397</v>
      </c>
      <c r="J2480">
        <v>8884</v>
      </c>
      <c r="K2480">
        <v>1.03</v>
      </c>
      <c r="L2480">
        <v>0</v>
      </c>
      <c r="M2480">
        <v>0</v>
      </c>
    </row>
    <row r="2481" spans="1:13">
      <c r="A2481" s="28">
        <v>4440</v>
      </c>
      <c r="B2481" t="s">
        <v>2623</v>
      </c>
      <c r="C2481">
        <v>4305</v>
      </c>
      <c r="D2481">
        <v>-5</v>
      </c>
      <c r="E2481">
        <v>-0.12</v>
      </c>
      <c r="F2481" t="s">
        <v>397</v>
      </c>
      <c r="G2481" t="s">
        <v>397</v>
      </c>
      <c r="H2481" t="s">
        <v>397</v>
      </c>
      <c r="I2481" t="s">
        <v>397</v>
      </c>
      <c r="J2481">
        <v>21073</v>
      </c>
      <c r="K2481">
        <v>0.2</v>
      </c>
      <c r="L2481">
        <v>0</v>
      </c>
      <c r="M2481">
        <v>0</v>
      </c>
    </row>
    <row r="2482" spans="1:13">
      <c r="A2482" s="28">
        <v>32280</v>
      </c>
      <c r="B2482" t="s">
        <v>2624</v>
      </c>
      <c r="C2482">
        <v>1782</v>
      </c>
      <c r="D2482">
        <v>12</v>
      </c>
      <c r="E2482">
        <v>0.68</v>
      </c>
      <c r="F2482">
        <v>79</v>
      </c>
      <c r="G2482">
        <v>22.56</v>
      </c>
      <c r="H2482" t="s">
        <v>397</v>
      </c>
      <c r="I2482" t="s">
        <v>397</v>
      </c>
      <c r="J2482">
        <v>3874</v>
      </c>
      <c r="K2482">
        <v>0.46</v>
      </c>
      <c r="L2482">
        <v>0</v>
      </c>
      <c r="M2482">
        <v>0</v>
      </c>
    </row>
    <row r="2483" spans="1:13">
      <c r="A2483" s="28">
        <v>65570</v>
      </c>
      <c r="B2483" t="s">
        <v>2625</v>
      </c>
      <c r="C2483">
        <v>2855</v>
      </c>
      <c r="D2483">
        <v>-80</v>
      </c>
      <c r="E2483">
        <v>-2.73</v>
      </c>
      <c r="F2483" t="s">
        <v>397</v>
      </c>
      <c r="G2483" t="s">
        <v>397</v>
      </c>
      <c r="H2483" t="s">
        <v>397</v>
      </c>
      <c r="I2483" t="s">
        <v>397</v>
      </c>
      <c r="J2483">
        <v>3631</v>
      </c>
      <c r="K2483">
        <v>0.79</v>
      </c>
      <c r="L2483">
        <v>0</v>
      </c>
      <c r="M2483">
        <v>0</v>
      </c>
    </row>
    <row r="2484" spans="1:13">
      <c r="A2484" s="28">
        <v>361670</v>
      </c>
      <c r="B2484" t="s">
        <v>2626</v>
      </c>
      <c r="C2484">
        <v>4330</v>
      </c>
      <c r="D2484">
        <v>-115</v>
      </c>
      <c r="E2484">
        <v>-2.59</v>
      </c>
      <c r="F2484" t="s">
        <v>397</v>
      </c>
      <c r="G2484" t="s">
        <v>397</v>
      </c>
      <c r="H2484" t="s">
        <v>397</v>
      </c>
      <c r="I2484" t="s">
        <v>397</v>
      </c>
      <c r="J2484">
        <v>4529</v>
      </c>
      <c r="K2484">
        <v>0.96</v>
      </c>
      <c r="L2484">
        <v>0</v>
      </c>
      <c r="M2484">
        <v>0</v>
      </c>
    </row>
    <row r="2485" spans="1:13">
      <c r="A2485" s="28">
        <v>3720</v>
      </c>
      <c r="B2485" t="s">
        <v>2627</v>
      </c>
      <c r="C2485">
        <v>4040</v>
      </c>
      <c r="D2485">
        <v>-50</v>
      </c>
      <c r="E2485">
        <v>-1.22</v>
      </c>
      <c r="F2485">
        <v>80</v>
      </c>
      <c r="G2485">
        <v>50.5</v>
      </c>
      <c r="H2485" t="s">
        <v>397</v>
      </c>
      <c r="I2485" t="s">
        <v>397</v>
      </c>
      <c r="J2485">
        <v>1525</v>
      </c>
      <c r="K2485">
        <v>2.65</v>
      </c>
      <c r="L2485">
        <v>0</v>
      </c>
      <c r="M2485">
        <v>0</v>
      </c>
    </row>
    <row r="2486" spans="1:13">
      <c r="A2486" s="28">
        <v>10140</v>
      </c>
      <c r="B2486" t="s">
        <v>2628</v>
      </c>
      <c r="C2486">
        <v>8850</v>
      </c>
      <c r="D2486">
        <v>-160</v>
      </c>
      <c r="E2486">
        <v>-1.78</v>
      </c>
      <c r="F2486" t="s">
        <v>397</v>
      </c>
      <c r="G2486" t="s">
        <v>397</v>
      </c>
      <c r="H2486">
        <v>409</v>
      </c>
      <c r="I2486">
        <v>21.65</v>
      </c>
      <c r="J2486">
        <v>4209</v>
      </c>
      <c r="K2486">
        <v>2.1</v>
      </c>
      <c r="L2486">
        <v>0</v>
      </c>
      <c r="M2486">
        <v>0</v>
      </c>
    </row>
    <row r="2487" spans="1:13">
      <c r="A2487" s="28">
        <v>1360</v>
      </c>
      <c r="B2487" t="s">
        <v>2629</v>
      </c>
      <c r="C2487">
        <v>1805</v>
      </c>
      <c r="D2487">
        <v>-2</v>
      </c>
      <c r="E2487">
        <v>-0.11</v>
      </c>
      <c r="F2487" t="s">
        <v>397</v>
      </c>
      <c r="G2487" t="s">
        <v>397</v>
      </c>
      <c r="H2487" t="s">
        <v>397</v>
      </c>
      <c r="I2487" t="s">
        <v>397</v>
      </c>
      <c r="J2487">
        <v>1381</v>
      </c>
      <c r="K2487">
        <v>1.31</v>
      </c>
      <c r="L2487">
        <v>0</v>
      </c>
      <c r="M2487">
        <v>0</v>
      </c>
    </row>
    <row r="2488" spans="1:13">
      <c r="A2488" s="28">
        <v>28050</v>
      </c>
      <c r="B2488" t="s">
        <v>2630</v>
      </c>
      <c r="C2488">
        <v>25700</v>
      </c>
      <c r="D2488">
        <v>-450</v>
      </c>
      <c r="E2488">
        <v>-1.72</v>
      </c>
      <c r="F2488">
        <v>3392</v>
      </c>
      <c r="G2488">
        <v>7.58</v>
      </c>
      <c r="H2488">
        <v>3129</v>
      </c>
      <c r="I2488">
        <v>8.2100000000000009</v>
      </c>
      <c r="J2488">
        <v>13741</v>
      </c>
      <c r="K2488">
        <v>1.87</v>
      </c>
      <c r="L2488">
        <v>0</v>
      </c>
      <c r="M2488">
        <v>0</v>
      </c>
    </row>
    <row r="2489" spans="1:13">
      <c r="A2489" s="28">
        <v>468510</v>
      </c>
      <c r="B2489" t="s">
        <v>2631</v>
      </c>
      <c r="C2489">
        <v>2050</v>
      </c>
      <c r="D2489">
        <v>-10</v>
      </c>
      <c r="E2489">
        <v>-0.49</v>
      </c>
      <c r="F2489" t="s">
        <v>397</v>
      </c>
      <c r="G2489" t="s">
        <v>397</v>
      </c>
      <c r="H2489" t="s">
        <v>397</v>
      </c>
      <c r="I2489" t="s">
        <v>397</v>
      </c>
      <c r="J2489" t="s">
        <v>397</v>
      </c>
      <c r="K2489" t="s">
        <v>397</v>
      </c>
      <c r="L2489">
        <v>0</v>
      </c>
      <c r="M2489">
        <v>0</v>
      </c>
    </row>
    <row r="2490" spans="1:13">
      <c r="A2490" s="28">
        <v>252990</v>
      </c>
      <c r="B2490" t="s">
        <v>2632</v>
      </c>
      <c r="C2490">
        <v>6450</v>
      </c>
      <c r="D2490">
        <v>-130</v>
      </c>
      <c r="E2490">
        <v>-1.98</v>
      </c>
      <c r="F2490">
        <v>309</v>
      </c>
      <c r="G2490">
        <v>20.87</v>
      </c>
      <c r="H2490" t="s">
        <v>397</v>
      </c>
      <c r="I2490" t="s">
        <v>397</v>
      </c>
      <c r="J2490">
        <v>2296</v>
      </c>
      <c r="K2490">
        <v>2.81</v>
      </c>
      <c r="L2490">
        <v>0</v>
      </c>
      <c r="M2490">
        <v>0</v>
      </c>
    </row>
    <row r="2491" spans="1:13">
      <c r="A2491" s="28">
        <v>378800</v>
      </c>
      <c r="B2491" t="s">
        <v>2633</v>
      </c>
      <c r="C2491">
        <v>3405</v>
      </c>
      <c r="D2491">
        <v>-140</v>
      </c>
      <c r="E2491">
        <v>-3.95</v>
      </c>
      <c r="F2491" t="s">
        <v>397</v>
      </c>
      <c r="G2491" t="s">
        <v>397</v>
      </c>
      <c r="H2491" t="s">
        <v>397</v>
      </c>
      <c r="I2491" t="s">
        <v>397</v>
      </c>
      <c r="J2491">
        <v>1303</v>
      </c>
      <c r="K2491">
        <v>2.61</v>
      </c>
      <c r="L2491">
        <v>0</v>
      </c>
      <c r="M2491">
        <v>0</v>
      </c>
    </row>
    <row r="2492" spans="1:13">
      <c r="A2492" s="28">
        <v>294630</v>
      </c>
      <c r="B2492" t="s">
        <v>2634</v>
      </c>
      <c r="C2492">
        <v>5650</v>
      </c>
      <c r="D2492">
        <v>-110</v>
      </c>
      <c r="E2492">
        <v>-1.91</v>
      </c>
      <c r="F2492" t="s">
        <v>397</v>
      </c>
      <c r="G2492" t="s">
        <v>397</v>
      </c>
      <c r="H2492" t="s">
        <v>397</v>
      </c>
      <c r="I2492" t="s">
        <v>397</v>
      </c>
      <c r="J2492">
        <v>370</v>
      </c>
      <c r="K2492">
        <v>15.27</v>
      </c>
      <c r="L2492">
        <v>0</v>
      </c>
      <c r="M2492">
        <v>0</v>
      </c>
    </row>
    <row r="2493" spans="1:13">
      <c r="A2493" s="28">
        <v>79650</v>
      </c>
      <c r="B2493" t="s">
        <v>2635</v>
      </c>
      <c r="C2493">
        <v>1478</v>
      </c>
      <c r="D2493">
        <v>22</v>
      </c>
      <c r="E2493">
        <v>1.51</v>
      </c>
      <c r="F2493">
        <v>59</v>
      </c>
      <c r="G2493">
        <v>25.05</v>
      </c>
      <c r="H2493" t="s">
        <v>397</v>
      </c>
      <c r="I2493" t="s">
        <v>397</v>
      </c>
      <c r="J2493">
        <v>3445</v>
      </c>
      <c r="K2493">
        <v>0.43</v>
      </c>
      <c r="L2493">
        <v>0</v>
      </c>
      <c r="M2493">
        <v>0</v>
      </c>
    </row>
    <row r="2494" spans="1:13">
      <c r="A2494" s="28">
        <v>396300</v>
      </c>
      <c r="B2494" t="s">
        <v>2636</v>
      </c>
      <c r="C2494">
        <v>4130</v>
      </c>
      <c r="D2494">
        <v>25</v>
      </c>
      <c r="E2494">
        <v>0.61</v>
      </c>
      <c r="F2494">
        <v>150</v>
      </c>
      <c r="G2494">
        <v>27.53</v>
      </c>
      <c r="H2494">
        <v>283</v>
      </c>
      <c r="I2494">
        <v>14.59</v>
      </c>
      <c r="J2494">
        <v>2407</v>
      </c>
      <c r="K2494">
        <v>1.72</v>
      </c>
      <c r="L2494">
        <v>0</v>
      </c>
      <c r="M2494">
        <v>0</v>
      </c>
    </row>
    <row r="2495" spans="1:13">
      <c r="A2495" s="28">
        <v>340440</v>
      </c>
      <c r="B2495" t="s">
        <v>2637</v>
      </c>
      <c r="C2495">
        <v>1729</v>
      </c>
      <c r="D2495">
        <v>27</v>
      </c>
      <c r="E2495">
        <v>1.59</v>
      </c>
      <c r="F2495">
        <v>79</v>
      </c>
      <c r="G2495">
        <v>21.89</v>
      </c>
      <c r="H2495" t="s">
        <v>397</v>
      </c>
      <c r="I2495" t="s">
        <v>397</v>
      </c>
      <c r="J2495">
        <v>1029</v>
      </c>
      <c r="K2495">
        <v>1.68</v>
      </c>
      <c r="L2495">
        <v>0</v>
      </c>
      <c r="M2495">
        <v>0</v>
      </c>
    </row>
    <row r="2496" spans="1:13">
      <c r="A2496" s="28">
        <v>53060</v>
      </c>
      <c r="B2496" t="s">
        <v>2638</v>
      </c>
      <c r="C2496">
        <v>1634</v>
      </c>
      <c r="D2496">
        <v>-16</v>
      </c>
      <c r="E2496">
        <v>-0.97</v>
      </c>
      <c r="F2496">
        <v>709</v>
      </c>
      <c r="G2496">
        <v>2.2999999999999998</v>
      </c>
      <c r="H2496" t="s">
        <v>397</v>
      </c>
      <c r="I2496" t="s">
        <v>397</v>
      </c>
      <c r="J2496">
        <v>1631</v>
      </c>
      <c r="K2496">
        <v>1</v>
      </c>
      <c r="L2496">
        <v>0</v>
      </c>
      <c r="M2496">
        <v>0</v>
      </c>
    </row>
    <row r="2497" spans="1:13">
      <c r="A2497" s="28">
        <v>188260</v>
      </c>
      <c r="B2497" t="s">
        <v>2639</v>
      </c>
      <c r="C2497">
        <v>3675</v>
      </c>
      <c r="D2497">
        <v>35</v>
      </c>
      <c r="E2497">
        <v>0.96</v>
      </c>
      <c r="F2497" t="s">
        <v>397</v>
      </c>
      <c r="G2497" t="s">
        <v>397</v>
      </c>
      <c r="H2497" t="s">
        <v>397</v>
      </c>
      <c r="I2497" t="s">
        <v>397</v>
      </c>
      <c r="J2497" t="s">
        <v>397</v>
      </c>
      <c r="K2497" t="s">
        <v>397</v>
      </c>
      <c r="L2497">
        <v>0</v>
      </c>
      <c r="M2497">
        <v>0</v>
      </c>
    </row>
    <row r="2498" spans="1:13">
      <c r="A2498" s="28">
        <v>2420</v>
      </c>
      <c r="B2498" t="s">
        <v>2640</v>
      </c>
      <c r="C2498">
        <v>6090</v>
      </c>
      <c r="D2498">
        <v>60</v>
      </c>
      <c r="E2498">
        <v>1</v>
      </c>
      <c r="F2498" t="s">
        <v>397</v>
      </c>
      <c r="G2498" t="s">
        <v>397</v>
      </c>
      <c r="H2498" t="s">
        <v>397</v>
      </c>
      <c r="I2498" t="s">
        <v>397</v>
      </c>
      <c r="J2498">
        <v>5022</v>
      </c>
      <c r="K2498">
        <v>1.21</v>
      </c>
      <c r="L2498">
        <v>0</v>
      </c>
      <c r="M2498">
        <v>0</v>
      </c>
    </row>
    <row r="2499" spans="1:13">
      <c r="A2499" s="28">
        <v>148150</v>
      </c>
      <c r="B2499" t="s">
        <v>2641</v>
      </c>
      <c r="C2499">
        <v>8760</v>
      </c>
      <c r="D2499">
        <v>160</v>
      </c>
      <c r="E2499">
        <v>1.86</v>
      </c>
      <c r="F2499">
        <v>468</v>
      </c>
      <c r="G2499">
        <v>18.72</v>
      </c>
      <c r="H2499">
        <v>809</v>
      </c>
      <c r="I2499">
        <v>10.83</v>
      </c>
      <c r="J2499">
        <v>4902</v>
      </c>
      <c r="K2499">
        <v>1.79</v>
      </c>
      <c r="L2499">
        <v>0</v>
      </c>
      <c r="M2499">
        <v>0</v>
      </c>
    </row>
    <row r="2500" spans="1:13">
      <c r="A2500" s="28">
        <v>43260</v>
      </c>
      <c r="B2500" t="s">
        <v>2642</v>
      </c>
      <c r="C2500">
        <v>1484</v>
      </c>
      <c r="D2500">
        <v>-22</v>
      </c>
      <c r="E2500">
        <v>-1.46</v>
      </c>
      <c r="F2500" t="s">
        <v>397</v>
      </c>
      <c r="G2500" t="s">
        <v>397</v>
      </c>
      <c r="H2500" t="s">
        <v>397</v>
      </c>
      <c r="I2500" t="s">
        <v>397</v>
      </c>
      <c r="J2500">
        <v>1685</v>
      </c>
      <c r="K2500">
        <v>0.88</v>
      </c>
      <c r="L2500">
        <v>0</v>
      </c>
      <c r="M2500">
        <v>0</v>
      </c>
    </row>
    <row r="2501" spans="1:13">
      <c r="A2501" s="28">
        <v>180</v>
      </c>
      <c r="B2501" t="s">
        <v>2643</v>
      </c>
      <c r="C2501">
        <v>2025</v>
      </c>
      <c r="D2501">
        <v>5</v>
      </c>
      <c r="E2501">
        <v>0.25</v>
      </c>
      <c r="F2501" t="s">
        <v>397</v>
      </c>
      <c r="G2501" t="s">
        <v>397</v>
      </c>
      <c r="H2501" t="s">
        <v>397</v>
      </c>
      <c r="I2501" t="s">
        <v>397</v>
      </c>
      <c r="J2501">
        <v>9349</v>
      </c>
      <c r="K2501">
        <v>0.22</v>
      </c>
      <c r="L2501">
        <v>0</v>
      </c>
      <c r="M2501">
        <v>0</v>
      </c>
    </row>
    <row r="2502" spans="1:13">
      <c r="A2502" s="28">
        <v>365340</v>
      </c>
      <c r="B2502" t="s">
        <v>2644</v>
      </c>
      <c r="C2502">
        <v>91600</v>
      </c>
      <c r="D2502">
        <v>-1700</v>
      </c>
      <c r="E2502">
        <v>-1.82</v>
      </c>
      <c r="F2502">
        <v>3856</v>
      </c>
      <c r="G2502">
        <v>23.76</v>
      </c>
      <c r="H2502">
        <v>615</v>
      </c>
      <c r="I2502">
        <v>149.01</v>
      </c>
      <c r="J2502">
        <v>24421</v>
      </c>
      <c r="K2502">
        <v>3.75</v>
      </c>
      <c r="L2502">
        <v>0</v>
      </c>
      <c r="M2502">
        <v>0</v>
      </c>
    </row>
    <row r="2503" spans="1:13">
      <c r="A2503" s="28">
        <v>11300</v>
      </c>
      <c r="B2503" t="s">
        <v>2645</v>
      </c>
      <c r="C2503">
        <v>1346</v>
      </c>
      <c r="D2503">
        <v>4</v>
      </c>
      <c r="E2503">
        <v>0.3</v>
      </c>
      <c r="F2503" t="s">
        <v>397</v>
      </c>
      <c r="G2503" t="s">
        <v>397</v>
      </c>
      <c r="H2503" t="s">
        <v>397</v>
      </c>
      <c r="I2503" t="s">
        <v>397</v>
      </c>
      <c r="J2503">
        <v>458</v>
      </c>
      <c r="K2503">
        <v>2.94</v>
      </c>
      <c r="L2503">
        <v>0</v>
      </c>
      <c r="M2503">
        <v>0</v>
      </c>
    </row>
    <row r="2504" spans="1:13">
      <c r="A2504" s="28">
        <v>171090</v>
      </c>
      <c r="B2504" t="s">
        <v>2646</v>
      </c>
      <c r="C2504">
        <v>43400</v>
      </c>
      <c r="D2504">
        <v>-2650</v>
      </c>
      <c r="E2504">
        <v>-5.75</v>
      </c>
      <c r="F2504" t="s">
        <v>397</v>
      </c>
      <c r="G2504" t="s">
        <v>397</v>
      </c>
      <c r="H2504" t="s">
        <v>397</v>
      </c>
      <c r="I2504" t="s">
        <v>397</v>
      </c>
      <c r="J2504">
        <v>9317</v>
      </c>
      <c r="K2504">
        <v>4.66</v>
      </c>
      <c r="L2504">
        <v>0</v>
      </c>
      <c r="M2504">
        <v>0</v>
      </c>
    </row>
    <row r="2505" spans="1:13">
      <c r="A2505" s="28">
        <v>7610</v>
      </c>
      <c r="B2505" t="s">
        <v>2647</v>
      </c>
      <c r="C2505">
        <v>3000</v>
      </c>
      <c r="D2505">
        <v>0</v>
      </c>
      <c r="E2505">
        <v>0</v>
      </c>
      <c r="F2505" t="s">
        <v>397</v>
      </c>
      <c r="G2505" t="s">
        <v>397</v>
      </c>
      <c r="H2505" t="s">
        <v>397</v>
      </c>
      <c r="I2505" t="s">
        <v>397</v>
      </c>
      <c r="J2505">
        <v>3277</v>
      </c>
      <c r="K2505">
        <v>0.92</v>
      </c>
      <c r="L2505">
        <v>0</v>
      </c>
      <c r="M2505">
        <v>0</v>
      </c>
    </row>
    <row r="2506" spans="1:13">
      <c r="A2506" s="28">
        <v>357550</v>
      </c>
      <c r="B2506" t="s">
        <v>2648</v>
      </c>
      <c r="C2506">
        <v>64100</v>
      </c>
      <c r="D2506">
        <v>0</v>
      </c>
      <c r="E2506">
        <v>0</v>
      </c>
      <c r="F2506">
        <v>793</v>
      </c>
      <c r="G2506">
        <v>80.83</v>
      </c>
      <c r="H2506" t="s">
        <v>397</v>
      </c>
      <c r="I2506" t="s">
        <v>397</v>
      </c>
      <c r="J2506">
        <v>5512</v>
      </c>
      <c r="K2506">
        <v>11.63</v>
      </c>
      <c r="L2506">
        <v>0</v>
      </c>
      <c r="M2506">
        <v>0</v>
      </c>
    </row>
    <row r="2507" spans="1:13">
      <c r="A2507" s="28">
        <v>122690</v>
      </c>
      <c r="B2507" t="s">
        <v>2649</v>
      </c>
      <c r="C2507">
        <v>3670</v>
      </c>
      <c r="D2507">
        <v>-30</v>
      </c>
      <c r="E2507">
        <v>-0.81</v>
      </c>
      <c r="F2507">
        <v>357</v>
      </c>
      <c r="G2507">
        <v>10.28</v>
      </c>
      <c r="H2507" t="s">
        <v>397</v>
      </c>
      <c r="I2507" t="s">
        <v>397</v>
      </c>
      <c r="J2507">
        <v>3973</v>
      </c>
      <c r="K2507">
        <v>0.92</v>
      </c>
      <c r="L2507">
        <v>0</v>
      </c>
      <c r="M2507">
        <v>0</v>
      </c>
    </row>
    <row r="2508" spans="1:13">
      <c r="A2508" s="28">
        <v>178320</v>
      </c>
      <c r="B2508" t="s">
        <v>2650</v>
      </c>
      <c r="C2508">
        <v>22750</v>
      </c>
      <c r="D2508">
        <v>1150</v>
      </c>
      <c r="E2508">
        <v>5.32</v>
      </c>
      <c r="F2508">
        <v>43</v>
      </c>
      <c r="G2508">
        <v>529.07000000000005</v>
      </c>
      <c r="H2508">
        <v>2826</v>
      </c>
      <c r="I2508">
        <v>8.0500000000000007</v>
      </c>
      <c r="J2508">
        <v>14358</v>
      </c>
      <c r="K2508">
        <v>1.58</v>
      </c>
      <c r="L2508">
        <v>0</v>
      </c>
      <c r="M2508">
        <v>0</v>
      </c>
    </row>
    <row r="2509" spans="1:13">
      <c r="A2509" s="28">
        <v>189860</v>
      </c>
      <c r="B2509" t="s">
        <v>2651</v>
      </c>
      <c r="C2509">
        <v>4045</v>
      </c>
      <c r="D2509">
        <v>-55</v>
      </c>
      <c r="E2509">
        <v>-1.34</v>
      </c>
      <c r="F2509" t="s">
        <v>397</v>
      </c>
      <c r="G2509" t="s">
        <v>397</v>
      </c>
      <c r="H2509" t="s">
        <v>397</v>
      </c>
      <c r="I2509" t="s">
        <v>397</v>
      </c>
      <c r="J2509">
        <v>3515</v>
      </c>
      <c r="K2509">
        <v>1.1499999999999999</v>
      </c>
      <c r="L2509">
        <v>0</v>
      </c>
      <c r="M2509">
        <v>0</v>
      </c>
    </row>
    <row r="2510" spans="1:13">
      <c r="A2510" s="28">
        <v>21050</v>
      </c>
      <c r="B2510" t="s">
        <v>2652</v>
      </c>
      <c r="C2510">
        <v>1336</v>
      </c>
      <c r="D2510">
        <v>45</v>
      </c>
      <c r="E2510">
        <v>3.49</v>
      </c>
      <c r="F2510">
        <v>6</v>
      </c>
      <c r="G2510">
        <v>222.67</v>
      </c>
      <c r="H2510" t="s">
        <v>397</v>
      </c>
      <c r="I2510" t="s">
        <v>397</v>
      </c>
      <c r="J2510">
        <v>2870</v>
      </c>
      <c r="K2510">
        <v>0.47</v>
      </c>
      <c r="L2510">
        <v>0</v>
      </c>
      <c r="M2510">
        <v>0</v>
      </c>
    </row>
    <row r="2511" spans="1:13">
      <c r="A2511" s="28">
        <v>18680</v>
      </c>
      <c r="B2511" t="s">
        <v>2653</v>
      </c>
      <c r="C2511">
        <v>3410</v>
      </c>
      <c r="D2511">
        <v>10</v>
      </c>
      <c r="E2511">
        <v>0.28999999999999998</v>
      </c>
      <c r="F2511">
        <v>95</v>
      </c>
      <c r="G2511">
        <v>35.89</v>
      </c>
      <c r="H2511" t="s">
        <v>397</v>
      </c>
      <c r="I2511" t="s">
        <v>397</v>
      </c>
      <c r="J2511">
        <v>3038</v>
      </c>
      <c r="K2511">
        <v>1.1200000000000001</v>
      </c>
      <c r="L2511">
        <v>0</v>
      </c>
      <c r="M2511">
        <v>0</v>
      </c>
    </row>
    <row r="2512" spans="1:13">
      <c r="A2512" s="28">
        <v>27040</v>
      </c>
      <c r="B2512" t="s">
        <v>2654</v>
      </c>
      <c r="C2512">
        <v>395</v>
      </c>
      <c r="D2512">
        <v>0</v>
      </c>
      <c r="E2512">
        <v>0</v>
      </c>
      <c r="F2512" t="s">
        <v>397</v>
      </c>
      <c r="G2512" t="s">
        <v>397</v>
      </c>
      <c r="H2512" t="s">
        <v>397</v>
      </c>
      <c r="I2512" t="s">
        <v>397</v>
      </c>
      <c r="J2512">
        <v>780</v>
      </c>
      <c r="K2512">
        <v>0.51</v>
      </c>
      <c r="L2512">
        <v>0</v>
      </c>
      <c r="M2512">
        <v>0</v>
      </c>
    </row>
    <row r="2513" spans="1:13">
      <c r="A2513" s="28">
        <v>4415</v>
      </c>
      <c r="B2513" t="s">
        <v>2655</v>
      </c>
      <c r="C2513">
        <v>1765</v>
      </c>
      <c r="D2513">
        <v>-20</v>
      </c>
      <c r="E2513">
        <v>-1.1200000000000001</v>
      </c>
      <c r="F2513" t="s">
        <v>397</v>
      </c>
      <c r="G2513" t="s">
        <v>397</v>
      </c>
      <c r="H2513" t="s">
        <v>397</v>
      </c>
      <c r="I2513" t="s">
        <v>397</v>
      </c>
      <c r="J2513" t="s">
        <v>397</v>
      </c>
      <c r="K2513" t="s">
        <v>397</v>
      </c>
      <c r="L2513">
        <v>0</v>
      </c>
      <c r="M2513">
        <v>0</v>
      </c>
    </row>
    <row r="2514" spans="1:13">
      <c r="A2514" s="28">
        <v>4410</v>
      </c>
      <c r="B2514" t="s">
        <v>2656</v>
      </c>
      <c r="C2514">
        <v>179</v>
      </c>
      <c r="D2514">
        <v>-1</v>
      </c>
      <c r="E2514">
        <v>-0.56000000000000005</v>
      </c>
      <c r="F2514">
        <v>2</v>
      </c>
      <c r="G2514">
        <v>89.5</v>
      </c>
      <c r="H2514" t="s">
        <v>397</v>
      </c>
      <c r="I2514" t="s">
        <v>397</v>
      </c>
      <c r="J2514">
        <v>76</v>
      </c>
      <c r="K2514">
        <v>2.36</v>
      </c>
      <c r="L2514">
        <v>0</v>
      </c>
      <c r="M2514">
        <v>0</v>
      </c>
    </row>
    <row r="2515" spans="1:13">
      <c r="A2515" s="28">
        <v>92190</v>
      </c>
      <c r="B2515" t="s">
        <v>2657</v>
      </c>
      <c r="C2515">
        <v>3410</v>
      </c>
      <c r="D2515">
        <v>15</v>
      </c>
      <c r="E2515">
        <v>0.44</v>
      </c>
      <c r="F2515" t="s">
        <v>397</v>
      </c>
      <c r="G2515" t="s">
        <v>397</v>
      </c>
      <c r="H2515" t="s">
        <v>397</v>
      </c>
      <c r="I2515" t="s">
        <v>397</v>
      </c>
      <c r="J2515">
        <v>2110</v>
      </c>
      <c r="K2515">
        <v>1.62</v>
      </c>
      <c r="L2515">
        <v>0</v>
      </c>
      <c r="M2515">
        <v>0</v>
      </c>
    </row>
    <row r="2516" spans="1:13">
      <c r="A2516" s="28">
        <v>43710</v>
      </c>
      <c r="B2516" t="s">
        <v>2658</v>
      </c>
      <c r="C2516">
        <v>663</v>
      </c>
      <c r="D2516">
        <v>-17</v>
      </c>
      <c r="E2516">
        <v>-2.5</v>
      </c>
      <c r="F2516" t="s">
        <v>397</v>
      </c>
      <c r="G2516" t="s">
        <v>397</v>
      </c>
      <c r="H2516" t="s">
        <v>397</v>
      </c>
      <c r="I2516" t="s">
        <v>397</v>
      </c>
      <c r="J2516">
        <v>601</v>
      </c>
      <c r="K2516">
        <v>1.1000000000000001</v>
      </c>
      <c r="L2516">
        <v>0</v>
      </c>
      <c r="M2516">
        <v>0</v>
      </c>
    </row>
    <row r="2517" spans="1:13">
      <c r="A2517" s="28">
        <v>1000</v>
      </c>
      <c r="B2517" t="s">
        <v>2659</v>
      </c>
      <c r="C2517">
        <v>1456</v>
      </c>
      <c r="D2517">
        <v>16</v>
      </c>
      <c r="E2517">
        <v>1.1100000000000001</v>
      </c>
      <c r="F2517" t="s">
        <v>397</v>
      </c>
      <c r="G2517" t="s">
        <v>397</v>
      </c>
      <c r="H2517" t="s">
        <v>397</v>
      </c>
      <c r="I2517" t="s">
        <v>397</v>
      </c>
      <c r="J2517">
        <v>634</v>
      </c>
      <c r="K2517">
        <v>2.2999999999999998</v>
      </c>
      <c r="L2517">
        <v>0</v>
      </c>
      <c r="M2517">
        <v>0</v>
      </c>
    </row>
    <row r="2518" spans="1:13">
      <c r="A2518" s="28">
        <v>25870</v>
      </c>
      <c r="B2518" t="s">
        <v>2660</v>
      </c>
      <c r="C2518">
        <v>7020</v>
      </c>
      <c r="D2518">
        <v>-50</v>
      </c>
      <c r="E2518">
        <v>-0.71</v>
      </c>
      <c r="F2518">
        <v>284</v>
      </c>
      <c r="G2518">
        <v>24.72</v>
      </c>
      <c r="H2518" t="s">
        <v>397</v>
      </c>
      <c r="I2518" t="s">
        <v>397</v>
      </c>
      <c r="J2518">
        <v>4420</v>
      </c>
      <c r="K2518">
        <v>1.59</v>
      </c>
      <c r="L2518">
        <v>0</v>
      </c>
      <c r="M2518">
        <v>0</v>
      </c>
    </row>
    <row r="2519" spans="1:13">
      <c r="A2519" s="28">
        <v>215600</v>
      </c>
      <c r="B2519" t="s">
        <v>2661</v>
      </c>
      <c r="C2519">
        <v>5620</v>
      </c>
      <c r="D2519">
        <v>330</v>
      </c>
      <c r="E2519">
        <v>6.24</v>
      </c>
      <c r="F2519" t="s">
        <v>397</v>
      </c>
      <c r="G2519" t="s">
        <v>397</v>
      </c>
      <c r="H2519" t="s">
        <v>397</v>
      </c>
      <c r="I2519" t="s">
        <v>397</v>
      </c>
      <c r="J2519">
        <v>768</v>
      </c>
      <c r="K2519">
        <v>7.32</v>
      </c>
      <c r="L2519">
        <v>0</v>
      </c>
      <c r="M2519">
        <v>0</v>
      </c>
    </row>
    <row r="2520" spans="1:13">
      <c r="A2520" s="28">
        <v>101390</v>
      </c>
      <c r="B2520" t="s">
        <v>2662</v>
      </c>
      <c r="C2520">
        <v>9050</v>
      </c>
      <c r="D2520">
        <v>940</v>
      </c>
      <c r="E2520">
        <v>11.59</v>
      </c>
      <c r="F2520" t="s">
        <v>397</v>
      </c>
      <c r="G2520" t="s">
        <v>397</v>
      </c>
      <c r="H2520" t="s">
        <v>397</v>
      </c>
      <c r="I2520" t="s">
        <v>397</v>
      </c>
      <c r="J2520">
        <v>5003</v>
      </c>
      <c r="K2520">
        <v>1.81</v>
      </c>
      <c r="L2520">
        <v>0</v>
      </c>
      <c r="M2520">
        <v>0</v>
      </c>
    </row>
    <row r="2521" spans="1:13">
      <c r="A2521" s="28">
        <v>124500</v>
      </c>
      <c r="B2521" t="s">
        <v>2663</v>
      </c>
      <c r="C2521">
        <v>9260</v>
      </c>
      <c r="D2521">
        <v>340</v>
      </c>
      <c r="E2521">
        <v>3.81</v>
      </c>
      <c r="F2521">
        <v>85</v>
      </c>
      <c r="G2521">
        <v>108.94</v>
      </c>
      <c r="H2521" t="s">
        <v>397</v>
      </c>
      <c r="I2521" t="s">
        <v>397</v>
      </c>
      <c r="J2521">
        <v>2681</v>
      </c>
      <c r="K2521">
        <v>3.45</v>
      </c>
      <c r="L2521">
        <v>0</v>
      </c>
      <c r="M2521">
        <v>0</v>
      </c>
    </row>
    <row r="2522" spans="1:13">
      <c r="A2522" s="28">
        <v>52770</v>
      </c>
      <c r="B2522" t="s">
        <v>2664</v>
      </c>
      <c r="C2522">
        <v>2135</v>
      </c>
      <c r="D2522">
        <v>-40</v>
      </c>
      <c r="E2522">
        <v>-1.84</v>
      </c>
      <c r="F2522" t="s">
        <v>397</v>
      </c>
      <c r="G2522" t="s">
        <v>397</v>
      </c>
      <c r="H2522" t="s">
        <v>397</v>
      </c>
      <c r="I2522" t="s">
        <v>397</v>
      </c>
      <c r="J2522">
        <v>205</v>
      </c>
      <c r="K2522">
        <v>10.41</v>
      </c>
      <c r="L2522">
        <v>0</v>
      </c>
      <c r="M2522">
        <v>0</v>
      </c>
    </row>
    <row r="2523" spans="1:13">
      <c r="A2523" s="28">
        <v>119830</v>
      </c>
      <c r="B2523" t="s">
        <v>2665</v>
      </c>
      <c r="C2523">
        <v>8110</v>
      </c>
      <c r="D2523">
        <v>-220</v>
      </c>
      <c r="E2523">
        <v>-2.64</v>
      </c>
      <c r="F2523">
        <v>1162</v>
      </c>
      <c r="G2523">
        <v>6.98</v>
      </c>
      <c r="H2523" t="s">
        <v>397</v>
      </c>
      <c r="I2523" t="s">
        <v>397</v>
      </c>
      <c r="J2523">
        <v>7113</v>
      </c>
      <c r="K2523">
        <v>1.1399999999999999</v>
      </c>
      <c r="L2523">
        <v>0</v>
      </c>
      <c r="M2523">
        <v>0</v>
      </c>
    </row>
    <row r="2524" spans="1:13">
      <c r="A2524" s="28">
        <v>52460</v>
      </c>
      <c r="B2524" t="s">
        <v>2666</v>
      </c>
      <c r="C2524">
        <v>3765</v>
      </c>
      <c r="D2524">
        <v>45</v>
      </c>
      <c r="E2524">
        <v>1.21</v>
      </c>
      <c r="F2524">
        <v>42</v>
      </c>
      <c r="G2524">
        <v>89.64</v>
      </c>
      <c r="H2524" t="s">
        <v>397</v>
      </c>
      <c r="I2524" t="s">
        <v>397</v>
      </c>
      <c r="J2524">
        <v>2772</v>
      </c>
      <c r="K2524">
        <v>1.36</v>
      </c>
      <c r="L2524">
        <v>0</v>
      </c>
      <c r="M2524">
        <v>0</v>
      </c>
    </row>
    <row r="2525" spans="1:13">
      <c r="A2525" s="28">
        <v>175250</v>
      </c>
      <c r="B2525" t="s">
        <v>2667</v>
      </c>
      <c r="C2525">
        <v>1836</v>
      </c>
      <c r="D2525">
        <v>-35</v>
      </c>
      <c r="E2525">
        <v>-1.87</v>
      </c>
      <c r="F2525" t="s">
        <v>397</v>
      </c>
      <c r="G2525" t="s">
        <v>397</v>
      </c>
      <c r="H2525" t="s">
        <v>397</v>
      </c>
      <c r="I2525" t="s">
        <v>397</v>
      </c>
      <c r="J2525">
        <v>2400</v>
      </c>
      <c r="K2525">
        <v>0.77</v>
      </c>
      <c r="L2525">
        <v>0</v>
      </c>
      <c r="M2525">
        <v>0</v>
      </c>
    </row>
    <row r="2526" spans="1:13">
      <c r="A2526" s="28">
        <v>59100</v>
      </c>
      <c r="B2526" t="s">
        <v>2668</v>
      </c>
      <c r="C2526">
        <v>5330</v>
      </c>
      <c r="D2526">
        <v>-160</v>
      </c>
      <c r="E2526">
        <v>-2.91</v>
      </c>
      <c r="F2526">
        <v>463</v>
      </c>
      <c r="G2526">
        <v>11.51</v>
      </c>
      <c r="H2526" t="s">
        <v>397</v>
      </c>
      <c r="I2526" t="s">
        <v>397</v>
      </c>
      <c r="J2526">
        <v>4978</v>
      </c>
      <c r="K2526">
        <v>1.07</v>
      </c>
      <c r="L2526">
        <v>0</v>
      </c>
      <c r="M2526">
        <v>0</v>
      </c>
    </row>
    <row r="2527" spans="1:13">
      <c r="A2527" s="28">
        <v>185490</v>
      </c>
      <c r="B2527" t="s">
        <v>2669</v>
      </c>
      <c r="C2527">
        <v>3105</v>
      </c>
      <c r="D2527">
        <v>-65</v>
      </c>
      <c r="E2527">
        <v>-2.0499999999999998</v>
      </c>
      <c r="F2527" t="s">
        <v>397</v>
      </c>
      <c r="G2527" t="s">
        <v>397</v>
      </c>
      <c r="H2527" t="s">
        <v>397</v>
      </c>
      <c r="I2527" t="s">
        <v>397</v>
      </c>
      <c r="J2527">
        <v>3107</v>
      </c>
      <c r="K2527">
        <v>1</v>
      </c>
      <c r="L2527">
        <v>0</v>
      </c>
      <c r="M2527">
        <v>0</v>
      </c>
    </row>
    <row r="2528" spans="1:13">
      <c r="A2528" s="28">
        <v>31310</v>
      </c>
      <c r="B2528" t="s">
        <v>2670</v>
      </c>
      <c r="C2528">
        <v>2630</v>
      </c>
      <c r="D2528">
        <v>-80</v>
      </c>
      <c r="E2528">
        <v>-2.95</v>
      </c>
      <c r="F2528" t="s">
        <v>397</v>
      </c>
      <c r="G2528" t="s">
        <v>397</v>
      </c>
      <c r="H2528" t="s">
        <v>397</v>
      </c>
      <c r="I2528" t="s">
        <v>397</v>
      </c>
      <c r="J2528">
        <v>7926</v>
      </c>
      <c r="K2528">
        <v>0.33</v>
      </c>
      <c r="L2528">
        <v>0</v>
      </c>
      <c r="M2528">
        <v>0</v>
      </c>
    </row>
    <row r="2529" spans="1:13">
      <c r="A2529" s="28">
        <v>123010</v>
      </c>
      <c r="B2529" t="s">
        <v>2671</v>
      </c>
      <c r="C2529">
        <v>1180</v>
      </c>
      <c r="D2529">
        <v>-30</v>
      </c>
      <c r="E2529">
        <v>-2.48</v>
      </c>
      <c r="F2529" t="s">
        <v>397</v>
      </c>
      <c r="G2529" t="s">
        <v>397</v>
      </c>
      <c r="H2529" t="s">
        <v>397</v>
      </c>
      <c r="I2529" t="s">
        <v>397</v>
      </c>
      <c r="J2529">
        <v>1752</v>
      </c>
      <c r="K2529">
        <v>0.67</v>
      </c>
      <c r="L2529">
        <v>0</v>
      </c>
      <c r="M2529">
        <v>0</v>
      </c>
    </row>
    <row r="2530" spans="1:13">
      <c r="A2530" s="28">
        <v>78860</v>
      </c>
      <c r="B2530" t="s">
        <v>2672</v>
      </c>
      <c r="C2530">
        <v>4640</v>
      </c>
      <c r="D2530">
        <v>625</v>
      </c>
      <c r="E2530">
        <v>15.57</v>
      </c>
      <c r="F2530" t="s">
        <v>397</v>
      </c>
      <c r="G2530" t="s">
        <v>397</v>
      </c>
      <c r="H2530" t="s">
        <v>397</v>
      </c>
      <c r="I2530" t="s">
        <v>397</v>
      </c>
      <c r="J2530">
        <v>19620</v>
      </c>
      <c r="K2530">
        <v>0.24</v>
      </c>
      <c r="L2530">
        <v>0</v>
      </c>
      <c r="M2530">
        <v>0</v>
      </c>
    </row>
    <row r="2531" spans="1:13">
      <c r="A2531" s="28">
        <v>451220</v>
      </c>
      <c r="B2531" t="s">
        <v>2673</v>
      </c>
      <c r="C2531">
        <v>20900</v>
      </c>
      <c r="D2531">
        <v>-950</v>
      </c>
      <c r="E2531">
        <v>-4.3499999999999996</v>
      </c>
      <c r="F2531" t="s">
        <v>397</v>
      </c>
      <c r="G2531" t="s">
        <v>397</v>
      </c>
      <c r="H2531" t="s">
        <v>397</v>
      </c>
      <c r="I2531" t="s">
        <v>397</v>
      </c>
      <c r="J2531">
        <v>1213</v>
      </c>
      <c r="K2531">
        <v>17.23</v>
      </c>
      <c r="L2531">
        <v>0</v>
      </c>
      <c r="M2531">
        <v>0</v>
      </c>
    </row>
    <row r="2532" spans="1:13">
      <c r="A2532" s="28">
        <v>307180</v>
      </c>
      <c r="B2532" t="s">
        <v>2674</v>
      </c>
      <c r="C2532">
        <v>2830</v>
      </c>
      <c r="D2532">
        <v>0</v>
      </c>
      <c r="E2532">
        <v>0</v>
      </c>
      <c r="F2532">
        <v>84</v>
      </c>
      <c r="G2532">
        <v>33.69</v>
      </c>
      <c r="H2532" t="s">
        <v>397</v>
      </c>
      <c r="I2532" t="s">
        <v>397</v>
      </c>
      <c r="J2532">
        <v>666</v>
      </c>
      <c r="K2532">
        <v>4.25</v>
      </c>
      <c r="L2532">
        <v>0</v>
      </c>
      <c r="M2532">
        <v>0</v>
      </c>
    </row>
    <row r="2533" spans="1:13">
      <c r="A2533" s="28">
        <v>246720</v>
      </c>
      <c r="B2533" t="s">
        <v>2675</v>
      </c>
      <c r="C2533">
        <v>7160</v>
      </c>
      <c r="D2533">
        <v>50</v>
      </c>
      <c r="E2533">
        <v>0.7</v>
      </c>
      <c r="F2533" t="s">
        <v>397</v>
      </c>
      <c r="G2533" t="s">
        <v>397</v>
      </c>
      <c r="H2533" t="s">
        <v>397</v>
      </c>
      <c r="I2533" t="s">
        <v>397</v>
      </c>
      <c r="J2533">
        <v>561</v>
      </c>
      <c r="K2533">
        <v>12.76</v>
      </c>
      <c r="L2533">
        <v>0</v>
      </c>
      <c r="M2533">
        <v>0</v>
      </c>
    </row>
    <row r="2534" spans="1:13">
      <c r="A2534" s="28">
        <v>38880</v>
      </c>
      <c r="B2534" t="s">
        <v>2676</v>
      </c>
      <c r="C2534">
        <v>409</v>
      </c>
      <c r="D2534">
        <v>2</v>
      </c>
      <c r="E2534">
        <v>0.49</v>
      </c>
      <c r="F2534" t="s">
        <v>397</v>
      </c>
      <c r="G2534" t="s">
        <v>397</v>
      </c>
      <c r="H2534" t="s">
        <v>397</v>
      </c>
      <c r="I2534" t="s">
        <v>397</v>
      </c>
      <c r="J2534">
        <v>331</v>
      </c>
      <c r="K2534">
        <v>1.24</v>
      </c>
      <c r="L2534">
        <v>0</v>
      </c>
      <c r="M2534">
        <v>0</v>
      </c>
    </row>
    <row r="2535" spans="1:13">
      <c r="A2535" s="28">
        <v>69920</v>
      </c>
      <c r="B2535" t="s">
        <v>2677</v>
      </c>
      <c r="C2535">
        <v>2990</v>
      </c>
      <c r="D2535">
        <v>30</v>
      </c>
      <c r="E2535">
        <v>1.01</v>
      </c>
      <c r="F2535" t="s">
        <v>397</v>
      </c>
      <c r="G2535" t="s">
        <v>397</v>
      </c>
      <c r="H2535" t="s">
        <v>397</v>
      </c>
      <c r="I2535" t="s">
        <v>397</v>
      </c>
      <c r="J2535">
        <v>2228</v>
      </c>
      <c r="K2535">
        <v>1.34</v>
      </c>
      <c r="L2535">
        <v>0</v>
      </c>
      <c r="M2535">
        <v>0</v>
      </c>
    </row>
    <row r="2536" spans="1:13">
      <c r="A2536" s="28">
        <v>52860</v>
      </c>
      <c r="B2536" t="s">
        <v>2678</v>
      </c>
      <c r="C2536">
        <v>2745</v>
      </c>
      <c r="D2536">
        <v>45</v>
      </c>
      <c r="E2536">
        <v>1.67</v>
      </c>
      <c r="F2536">
        <v>56</v>
      </c>
      <c r="G2536">
        <v>49.02</v>
      </c>
      <c r="H2536" t="s">
        <v>397</v>
      </c>
      <c r="I2536" t="s">
        <v>397</v>
      </c>
      <c r="J2536">
        <v>2537</v>
      </c>
      <c r="K2536">
        <v>1.08</v>
      </c>
      <c r="L2536">
        <v>0</v>
      </c>
      <c r="M2536">
        <v>0</v>
      </c>
    </row>
    <row r="2537" spans="1:13">
      <c r="A2537" s="28">
        <v>368600</v>
      </c>
      <c r="B2537" t="s">
        <v>2679</v>
      </c>
      <c r="C2537">
        <v>5600</v>
      </c>
      <c r="D2537">
        <v>-90</v>
      </c>
      <c r="E2537">
        <v>-1.58</v>
      </c>
      <c r="F2537" t="s">
        <v>397</v>
      </c>
      <c r="G2537" t="s">
        <v>397</v>
      </c>
      <c r="H2537">
        <v>487</v>
      </c>
      <c r="I2537">
        <v>11.5</v>
      </c>
      <c r="J2537">
        <v>3773</v>
      </c>
      <c r="K2537">
        <v>1.48</v>
      </c>
      <c r="L2537">
        <v>0</v>
      </c>
      <c r="M2537">
        <v>0</v>
      </c>
    </row>
    <row r="2538" spans="1:13">
      <c r="A2538" s="28">
        <v>289010</v>
      </c>
      <c r="B2538" t="s">
        <v>2680</v>
      </c>
      <c r="C2538">
        <v>3800</v>
      </c>
      <c r="D2538">
        <v>0</v>
      </c>
      <c r="E2538">
        <v>0</v>
      </c>
      <c r="F2538">
        <v>65</v>
      </c>
      <c r="G2538">
        <v>58.46</v>
      </c>
      <c r="H2538" t="s">
        <v>397</v>
      </c>
      <c r="I2538" t="s">
        <v>397</v>
      </c>
      <c r="J2538">
        <v>5381</v>
      </c>
      <c r="K2538">
        <v>0.71</v>
      </c>
      <c r="L2538">
        <v>0</v>
      </c>
      <c r="M2538">
        <v>0</v>
      </c>
    </row>
    <row r="2539" spans="1:13">
      <c r="A2539" s="28">
        <v>339950</v>
      </c>
      <c r="B2539" t="s">
        <v>2681</v>
      </c>
      <c r="C2539">
        <v>2150</v>
      </c>
      <c r="D2539">
        <v>45</v>
      </c>
      <c r="E2539">
        <v>2.14</v>
      </c>
      <c r="F2539">
        <v>6</v>
      </c>
      <c r="G2539">
        <v>358.33</v>
      </c>
      <c r="H2539" t="s">
        <v>397</v>
      </c>
      <c r="I2539" t="s">
        <v>397</v>
      </c>
      <c r="J2539">
        <v>866</v>
      </c>
      <c r="K2539">
        <v>2.48</v>
      </c>
      <c r="L2539">
        <v>0</v>
      </c>
      <c r="M2539">
        <v>0</v>
      </c>
    </row>
    <row r="2540" spans="1:13">
      <c r="A2540" s="28">
        <v>227610</v>
      </c>
      <c r="B2540" t="s">
        <v>2682</v>
      </c>
      <c r="C2540">
        <v>1800</v>
      </c>
      <c r="D2540">
        <v>-1</v>
      </c>
      <c r="E2540">
        <v>-0.06</v>
      </c>
      <c r="F2540" t="s">
        <v>397</v>
      </c>
      <c r="G2540" t="s">
        <v>397</v>
      </c>
      <c r="H2540" t="s">
        <v>397</v>
      </c>
      <c r="I2540" t="s">
        <v>397</v>
      </c>
      <c r="J2540">
        <v>454</v>
      </c>
      <c r="K2540">
        <v>3.96</v>
      </c>
      <c r="L2540">
        <v>0</v>
      </c>
      <c r="M2540">
        <v>0</v>
      </c>
    </row>
    <row r="2541" spans="1:13">
      <c r="A2541" s="28">
        <v>154030</v>
      </c>
      <c r="B2541" t="s">
        <v>2683</v>
      </c>
      <c r="C2541">
        <v>2625</v>
      </c>
      <c r="D2541">
        <v>10</v>
      </c>
      <c r="E2541">
        <v>0.38</v>
      </c>
      <c r="F2541" t="s">
        <v>397</v>
      </c>
      <c r="G2541" t="s">
        <v>397</v>
      </c>
      <c r="H2541" t="s">
        <v>397</v>
      </c>
      <c r="I2541" t="s">
        <v>397</v>
      </c>
      <c r="J2541">
        <v>2227</v>
      </c>
      <c r="K2541">
        <v>1.18</v>
      </c>
      <c r="L2541">
        <v>0</v>
      </c>
      <c r="M2541">
        <v>0</v>
      </c>
    </row>
    <row r="2542" spans="1:13">
      <c r="A2542" s="28">
        <v>20560</v>
      </c>
      <c r="B2542" t="s">
        <v>2684</v>
      </c>
      <c r="C2542">
        <v>10970</v>
      </c>
      <c r="D2542">
        <v>-200</v>
      </c>
      <c r="E2542">
        <v>-1.79</v>
      </c>
      <c r="F2542">
        <v>498</v>
      </c>
      <c r="G2542">
        <v>22.03</v>
      </c>
      <c r="H2542">
        <v>1816</v>
      </c>
      <c r="I2542">
        <v>6.04</v>
      </c>
      <c r="J2542">
        <v>9289</v>
      </c>
      <c r="K2542">
        <v>1.18</v>
      </c>
      <c r="L2542">
        <v>0</v>
      </c>
      <c r="M2542">
        <v>0</v>
      </c>
    </row>
    <row r="2543" spans="1:13">
      <c r="A2543" s="28">
        <v>127710</v>
      </c>
      <c r="B2543" t="s">
        <v>2685</v>
      </c>
      <c r="C2543">
        <v>1245</v>
      </c>
      <c r="D2543">
        <v>-2</v>
      </c>
      <c r="E2543">
        <v>-0.16</v>
      </c>
      <c r="F2543">
        <v>529</v>
      </c>
      <c r="G2543">
        <v>2.35</v>
      </c>
      <c r="H2543" t="s">
        <v>397</v>
      </c>
      <c r="I2543" t="s">
        <v>397</v>
      </c>
      <c r="J2543">
        <v>5445</v>
      </c>
      <c r="K2543">
        <v>0.23</v>
      </c>
      <c r="L2543">
        <v>0</v>
      </c>
      <c r="M2543">
        <v>0</v>
      </c>
    </row>
    <row r="2544" spans="1:13">
      <c r="A2544" s="28">
        <v>159010</v>
      </c>
      <c r="B2544" t="s">
        <v>2686</v>
      </c>
      <c r="C2544">
        <v>10080</v>
      </c>
      <c r="D2544">
        <v>-60</v>
      </c>
      <c r="E2544">
        <v>-0.59</v>
      </c>
      <c r="F2544">
        <v>680</v>
      </c>
      <c r="G2544">
        <v>14.82</v>
      </c>
      <c r="H2544" t="s">
        <v>397</v>
      </c>
      <c r="I2544" t="s">
        <v>397</v>
      </c>
      <c r="J2544">
        <v>4102</v>
      </c>
      <c r="K2544">
        <v>2.46</v>
      </c>
      <c r="L2544">
        <v>0</v>
      </c>
      <c r="M2544">
        <v>0</v>
      </c>
    </row>
    <row r="2545" spans="1:13">
      <c r="A2545" s="28">
        <v>372800</v>
      </c>
      <c r="B2545" t="s">
        <v>2687</v>
      </c>
      <c r="C2545">
        <v>6190</v>
      </c>
      <c r="D2545">
        <v>-80</v>
      </c>
      <c r="E2545">
        <v>-1.28</v>
      </c>
      <c r="F2545" t="s">
        <v>397</v>
      </c>
      <c r="G2545" t="s">
        <v>397</v>
      </c>
      <c r="H2545">
        <v>174</v>
      </c>
      <c r="I2545">
        <v>35.53</v>
      </c>
      <c r="J2545">
        <v>4075</v>
      </c>
      <c r="K2545">
        <v>1.52</v>
      </c>
      <c r="L2545">
        <v>0</v>
      </c>
      <c r="M2545">
        <v>0</v>
      </c>
    </row>
    <row r="2546" spans="1:13">
      <c r="A2546" s="28">
        <v>84850</v>
      </c>
      <c r="B2546" t="s">
        <v>2688</v>
      </c>
      <c r="C2546">
        <v>21600</v>
      </c>
      <c r="D2546">
        <v>200</v>
      </c>
      <c r="E2546">
        <v>0.93</v>
      </c>
      <c r="F2546" t="s">
        <v>397</v>
      </c>
      <c r="G2546" t="s">
        <v>397</v>
      </c>
      <c r="H2546">
        <v>225</v>
      </c>
      <c r="I2546">
        <v>96.07</v>
      </c>
      <c r="J2546">
        <v>9379</v>
      </c>
      <c r="K2546">
        <v>2.2999999999999998</v>
      </c>
      <c r="L2546">
        <v>0</v>
      </c>
      <c r="M2546">
        <v>0</v>
      </c>
    </row>
    <row r="2547" spans="1:13">
      <c r="A2547" s="28">
        <v>139990</v>
      </c>
      <c r="B2547" t="s">
        <v>2689</v>
      </c>
      <c r="C2547">
        <v>6720</v>
      </c>
      <c r="D2547">
        <v>10</v>
      </c>
      <c r="E2547">
        <v>0.15</v>
      </c>
      <c r="F2547">
        <v>51</v>
      </c>
      <c r="G2547">
        <v>131.76</v>
      </c>
      <c r="H2547" t="s">
        <v>397</v>
      </c>
      <c r="I2547" t="s">
        <v>397</v>
      </c>
      <c r="J2547">
        <v>9135</v>
      </c>
      <c r="K2547">
        <v>0.74</v>
      </c>
      <c r="L2547">
        <v>0</v>
      </c>
      <c r="M2547">
        <v>0</v>
      </c>
    </row>
    <row r="2548" spans="1:13">
      <c r="A2548" s="28">
        <v>13310</v>
      </c>
      <c r="B2548" t="s">
        <v>2690</v>
      </c>
      <c r="C2548">
        <v>4080</v>
      </c>
      <c r="D2548">
        <v>-70</v>
      </c>
      <c r="E2548">
        <v>-1.69</v>
      </c>
      <c r="F2548">
        <v>845</v>
      </c>
      <c r="G2548">
        <v>4.83</v>
      </c>
      <c r="H2548" t="s">
        <v>397</v>
      </c>
      <c r="I2548" t="s">
        <v>397</v>
      </c>
      <c r="J2548">
        <v>6314</v>
      </c>
      <c r="K2548">
        <v>0.65</v>
      </c>
      <c r="L2548">
        <v>0</v>
      </c>
      <c r="M2548">
        <v>0</v>
      </c>
    </row>
    <row r="2549" spans="1:13">
      <c r="A2549" s="28">
        <v>92600</v>
      </c>
      <c r="B2549" t="s">
        <v>2691</v>
      </c>
      <c r="C2549">
        <v>2155</v>
      </c>
      <c r="D2549">
        <v>35</v>
      </c>
      <c r="E2549">
        <v>1.65</v>
      </c>
      <c r="F2549" t="s">
        <v>397</v>
      </c>
      <c r="G2549" t="s">
        <v>397</v>
      </c>
      <c r="H2549" t="s">
        <v>397</v>
      </c>
      <c r="I2549" t="s">
        <v>397</v>
      </c>
      <c r="J2549">
        <v>2261</v>
      </c>
      <c r="K2549">
        <v>0.95</v>
      </c>
      <c r="L2549">
        <v>0</v>
      </c>
      <c r="M2549">
        <v>0</v>
      </c>
    </row>
    <row r="2550" spans="1:13">
      <c r="A2550" s="28">
        <v>238090</v>
      </c>
      <c r="B2550" t="s">
        <v>2692</v>
      </c>
      <c r="C2550">
        <v>3895</v>
      </c>
      <c r="D2550">
        <v>-125</v>
      </c>
      <c r="E2550">
        <v>-3.11</v>
      </c>
      <c r="F2550" t="s">
        <v>397</v>
      </c>
      <c r="G2550" t="s">
        <v>397</v>
      </c>
      <c r="H2550" t="s">
        <v>397</v>
      </c>
      <c r="I2550" t="s">
        <v>397</v>
      </c>
      <c r="J2550">
        <v>5882</v>
      </c>
      <c r="K2550">
        <v>0.66</v>
      </c>
      <c r="L2550">
        <v>0</v>
      </c>
      <c r="M2550">
        <v>0</v>
      </c>
    </row>
    <row r="2551" spans="1:13">
      <c r="A2551" s="28">
        <v>52790</v>
      </c>
      <c r="B2551" t="s">
        <v>2693</v>
      </c>
      <c r="C2551">
        <v>9080</v>
      </c>
      <c r="D2551">
        <v>-320</v>
      </c>
      <c r="E2551">
        <v>-3.4</v>
      </c>
      <c r="F2551">
        <v>232</v>
      </c>
      <c r="G2551">
        <v>39.14</v>
      </c>
      <c r="H2551" t="s">
        <v>397</v>
      </c>
      <c r="I2551" t="s">
        <v>397</v>
      </c>
      <c r="J2551">
        <v>18774</v>
      </c>
      <c r="K2551">
        <v>0.48</v>
      </c>
      <c r="L2551">
        <v>0</v>
      </c>
      <c r="M2551">
        <v>0</v>
      </c>
    </row>
    <row r="2552" spans="1:13">
      <c r="A2552" s="28">
        <v>205500</v>
      </c>
      <c r="B2552" t="s">
        <v>2694</v>
      </c>
      <c r="C2552">
        <v>1823</v>
      </c>
      <c r="D2552">
        <v>-10</v>
      </c>
      <c r="E2552">
        <v>-0.55000000000000004</v>
      </c>
      <c r="F2552" t="s">
        <v>397</v>
      </c>
      <c r="G2552" t="s">
        <v>397</v>
      </c>
      <c r="H2552" t="s">
        <v>397</v>
      </c>
      <c r="I2552" t="s">
        <v>397</v>
      </c>
      <c r="J2552">
        <v>661</v>
      </c>
      <c r="K2552">
        <v>2.76</v>
      </c>
      <c r="L2552">
        <v>0</v>
      </c>
      <c r="M2552">
        <v>0</v>
      </c>
    </row>
    <row r="2553" spans="1:13">
      <c r="A2553" s="28">
        <v>179530</v>
      </c>
      <c r="B2553" t="s">
        <v>2695</v>
      </c>
      <c r="C2553">
        <v>2965</v>
      </c>
      <c r="D2553">
        <v>20</v>
      </c>
      <c r="E2553">
        <v>0.68</v>
      </c>
      <c r="F2553">
        <v>297</v>
      </c>
      <c r="G2553">
        <v>9.98</v>
      </c>
      <c r="H2553" t="s">
        <v>397</v>
      </c>
      <c r="I2553" t="s">
        <v>397</v>
      </c>
      <c r="J2553">
        <v>1771</v>
      </c>
      <c r="K2553">
        <v>1.67</v>
      </c>
      <c r="L2553">
        <v>0</v>
      </c>
      <c r="M2553">
        <v>0</v>
      </c>
    </row>
    <row r="2554" spans="1:13">
      <c r="A2554" s="28">
        <v>310200</v>
      </c>
      <c r="B2554" t="s">
        <v>2696</v>
      </c>
      <c r="C2554">
        <v>3730</v>
      </c>
      <c r="D2554">
        <v>-30</v>
      </c>
      <c r="E2554">
        <v>-0.8</v>
      </c>
      <c r="F2554">
        <v>122</v>
      </c>
      <c r="G2554">
        <v>30.57</v>
      </c>
      <c r="H2554" t="s">
        <v>397</v>
      </c>
      <c r="I2554" t="s">
        <v>397</v>
      </c>
      <c r="J2554">
        <v>1829</v>
      </c>
      <c r="K2554">
        <v>2.04</v>
      </c>
      <c r="L2554">
        <v>0</v>
      </c>
      <c r="M2554">
        <v>0</v>
      </c>
    </row>
    <row r="2555" spans="1:13">
      <c r="A2555" s="28">
        <v>196300</v>
      </c>
      <c r="B2555" t="s">
        <v>2697</v>
      </c>
      <c r="C2555">
        <v>14500</v>
      </c>
      <c r="D2555">
        <v>220</v>
      </c>
      <c r="E2555">
        <v>1.54</v>
      </c>
      <c r="F2555" t="s">
        <v>397</v>
      </c>
      <c r="G2555" t="s">
        <v>397</v>
      </c>
      <c r="H2555" t="s">
        <v>397</v>
      </c>
      <c r="I2555" t="s">
        <v>397</v>
      </c>
      <c r="J2555">
        <v>2391</v>
      </c>
      <c r="K2555">
        <v>6.06</v>
      </c>
      <c r="L2555">
        <v>0</v>
      </c>
      <c r="M2555">
        <v>0</v>
      </c>
    </row>
    <row r="2556" spans="1:13">
      <c r="A2556" s="28">
        <v>293780</v>
      </c>
      <c r="B2556" t="s">
        <v>2698</v>
      </c>
      <c r="C2556">
        <v>5800</v>
      </c>
      <c r="D2556">
        <v>-100</v>
      </c>
      <c r="E2556">
        <v>-1.69</v>
      </c>
      <c r="F2556" t="s">
        <v>397</v>
      </c>
      <c r="G2556" t="s">
        <v>397</v>
      </c>
      <c r="H2556" t="s">
        <v>397</v>
      </c>
      <c r="I2556" t="s">
        <v>397</v>
      </c>
      <c r="J2556">
        <v>2349</v>
      </c>
      <c r="K2556">
        <v>2.4700000000000002</v>
      </c>
      <c r="L2556">
        <v>0</v>
      </c>
      <c r="M2556">
        <v>0</v>
      </c>
    </row>
    <row r="2557" spans="1:13">
      <c r="A2557" s="28">
        <v>291650</v>
      </c>
      <c r="B2557" t="s">
        <v>2699</v>
      </c>
      <c r="C2557">
        <v>3170</v>
      </c>
      <c r="D2557">
        <v>-80</v>
      </c>
      <c r="E2557">
        <v>-2.46</v>
      </c>
      <c r="F2557" t="s">
        <v>397</v>
      </c>
      <c r="G2557" t="s">
        <v>397</v>
      </c>
      <c r="H2557" t="s">
        <v>397</v>
      </c>
      <c r="I2557" t="s">
        <v>397</v>
      </c>
      <c r="J2557">
        <v>1721</v>
      </c>
      <c r="K2557">
        <v>1.84</v>
      </c>
      <c r="L2557">
        <v>0</v>
      </c>
      <c r="M2557">
        <v>0</v>
      </c>
    </row>
    <row r="2558" spans="1:13">
      <c r="A2558" s="28">
        <v>314140</v>
      </c>
      <c r="B2558" t="s">
        <v>2700</v>
      </c>
      <c r="C2558">
        <v>9470</v>
      </c>
      <c r="D2558">
        <v>0</v>
      </c>
      <c r="E2558">
        <v>0</v>
      </c>
      <c r="F2558">
        <v>617</v>
      </c>
      <c r="G2558">
        <v>15.35</v>
      </c>
      <c r="H2558" t="s">
        <v>397</v>
      </c>
      <c r="I2558" t="s">
        <v>397</v>
      </c>
      <c r="J2558">
        <v>11145</v>
      </c>
      <c r="K2558">
        <v>0.85</v>
      </c>
      <c r="L2558">
        <v>0</v>
      </c>
      <c r="M2558">
        <v>0</v>
      </c>
    </row>
    <row r="2559" spans="1:13">
      <c r="A2559" s="28">
        <v>117670</v>
      </c>
      <c r="B2559" t="s">
        <v>2701</v>
      </c>
      <c r="C2559">
        <v>945</v>
      </c>
      <c r="D2559">
        <v>0</v>
      </c>
      <c r="E2559">
        <v>0</v>
      </c>
      <c r="F2559" t="s">
        <v>397</v>
      </c>
      <c r="G2559" t="s">
        <v>397</v>
      </c>
      <c r="H2559" t="s">
        <v>397</v>
      </c>
      <c r="I2559" t="s">
        <v>397</v>
      </c>
      <c r="J2559">
        <v>2030</v>
      </c>
      <c r="K2559">
        <v>0.47</v>
      </c>
      <c r="L2559">
        <v>0</v>
      </c>
      <c r="M2559">
        <v>0</v>
      </c>
    </row>
    <row r="2560" spans="1:13">
      <c r="A2560" s="28">
        <v>85810</v>
      </c>
      <c r="B2560" t="s">
        <v>2702</v>
      </c>
      <c r="C2560">
        <v>894</v>
      </c>
      <c r="D2560">
        <v>-21</v>
      </c>
      <c r="E2560">
        <v>-2.2999999999999998</v>
      </c>
      <c r="F2560" t="s">
        <v>397</v>
      </c>
      <c r="G2560" t="s">
        <v>397</v>
      </c>
      <c r="H2560" t="s">
        <v>397</v>
      </c>
      <c r="I2560" t="s">
        <v>397</v>
      </c>
      <c r="J2560">
        <v>1691</v>
      </c>
      <c r="K2560">
        <v>0.53</v>
      </c>
      <c r="L2560">
        <v>0</v>
      </c>
      <c r="M2560">
        <v>0</v>
      </c>
    </row>
    <row r="2561" spans="1:13">
      <c r="A2561" s="28">
        <v>123750</v>
      </c>
      <c r="B2561" t="s">
        <v>2703</v>
      </c>
      <c r="C2561">
        <v>2900</v>
      </c>
      <c r="D2561">
        <v>-5</v>
      </c>
      <c r="E2561">
        <v>-0.17</v>
      </c>
      <c r="F2561" t="s">
        <v>397</v>
      </c>
      <c r="G2561" t="s">
        <v>397</v>
      </c>
      <c r="H2561" t="s">
        <v>397</v>
      </c>
      <c r="I2561" t="s">
        <v>397</v>
      </c>
      <c r="J2561">
        <v>2128</v>
      </c>
      <c r="K2561">
        <v>1.36</v>
      </c>
      <c r="L2561">
        <v>0</v>
      </c>
      <c r="M2561">
        <v>0</v>
      </c>
    </row>
    <row r="2562" spans="1:13">
      <c r="A2562" s="28">
        <v>196170</v>
      </c>
      <c r="B2562" t="s">
        <v>2704</v>
      </c>
      <c r="C2562">
        <v>204500</v>
      </c>
      <c r="D2562">
        <v>-2000</v>
      </c>
      <c r="E2562">
        <v>-0.97</v>
      </c>
      <c r="F2562" t="s">
        <v>397</v>
      </c>
      <c r="G2562" t="s">
        <v>397</v>
      </c>
      <c r="H2562">
        <v>486</v>
      </c>
      <c r="I2562">
        <v>421.01</v>
      </c>
      <c r="J2562">
        <v>2889</v>
      </c>
      <c r="K2562">
        <v>70.790000000000006</v>
      </c>
      <c r="L2562">
        <v>0</v>
      </c>
      <c r="M2562">
        <v>0</v>
      </c>
    </row>
    <row r="2563" spans="1:13">
      <c r="A2563" s="28">
        <v>347860</v>
      </c>
      <c r="B2563" t="s">
        <v>2705</v>
      </c>
      <c r="C2563">
        <v>6030</v>
      </c>
      <c r="D2563">
        <v>-140</v>
      </c>
      <c r="E2563">
        <v>-2.27</v>
      </c>
      <c r="F2563" t="s">
        <v>397</v>
      </c>
      <c r="G2563" t="s">
        <v>397</v>
      </c>
      <c r="H2563" t="s">
        <v>397</v>
      </c>
      <c r="I2563" t="s">
        <v>397</v>
      </c>
      <c r="J2563">
        <v>1610</v>
      </c>
      <c r="K2563">
        <v>3.75</v>
      </c>
      <c r="L2563">
        <v>0</v>
      </c>
      <c r="M2563">
        <v>0</v>
      </c>
    </row>
    <row r="2564" spans="1:13">
      <c r="A2564" s="28">
        <v>61040</v>
      </c>
      <c r="B2564" t="s">
        <v>2706</v>
      </c>
      <c r="C2564">
        <v>3880</v>
      </c>
      <c r="D2564">
        <v>-25</v>
      </c>
      <c r="E2564">
        <v>-0.64</v>
      </c>
      <c r="F2564">
        <v>378</v>
      </c>
      <c r="G2564">
        <v>10.26</v>
      </c>
      <c r="H2564" t="s">
        <v>397</v>
      </c>
      <c r="I2564" t="s">
        <v>397</v>
      </c>
      <c r="J2564">
        <v>7351</v>
      </c>
      <c r="K2564">
        <v>0.53</v>
      </c>
      <c r="L2564">
        <v>0</v>
      </c>
      <c r="M2564">
        <v>0</v>
      </c>
    </row>
    <row r="2565" spans="1:13">
      <c r="A2565" s="28">
        <v>96610</v>
      </c>
      <c r="B2565" t="s">
        <v>2707</v>
      </c>
      <c r="C2565">
        <v>2965</v>
      </c>
      <c r="D2565">
        <v>0</v>
      </c>
      <c r="E2565">
        <v>0</v>
      </c>
      <c r="F2565" t="s">
        <v>397</v>
      </c>
      <c r="G2565" t="s">
        <v>397</v>
      </c>
      <c r="H2565" t="s">
        <v>397</v>
      </c>
      <c r="I2565" t="s">
        <v>397</v>
      </c>
      <c r="J2565">
        <v>2779</v>
      </c>
      <c r="K2565">
        <v>1.07</v>
      </c>
      <c r="L2565">
        <v>0</v>
      </c>
      <c r="M2565">
        <v>0</v>
      </c>
    </row>
    <row r="2566" spans="1:13">
      <c r="A2566" s="28">
        <v>140670</v>
      </c>
      <c r="B2566" t="s">
        <v>2708</v>
      </c>
      <c r="C2566">
        <v>15570</v>
      </c>
      <c r="D2566">
        <v>260</v>
      </c>
      <c r="E2566">
        <v>1.7</v>
      </c>
      <c r="F2566">
        <v>94</v>
      </c>
      <c r="G2566">
        <v>165.64</v>
      </c>
      <c r="H2566" t="s">
        <v>397</v>
      </c>
      <c r="I2566" t="s">
        <v>397</v>
      </c>
      <c r="J2566">
        <v>4542</v>
      </c>
      <c r="K2566">
        <v>3.43</v>
      </c>
      <c r="L2566">
        <v>0</v>
      </c>
      <c r="M2566">
        <v>0</v>
      </c>
    </row>
    <row r="2567" spans="1:13">
      <c r="A2567" s="28">
        <v>361570</v>
      </c>
      <c r="B2567" t="s">
        <v>2709</v>
      </c>
      <c r="C2567">
        <v>3575</v>
      </c>
      <c r="D2567">
        <v>-30</v>
      </c>
      <c r="E2567">
        <v>-0.83</v>
      </c>
      <c r="F2567">
        <v>15</v>
      </c>
      <c r="G2567">
        <v>238.33</v>
      </c>
      <c r="H2567" t="s">
        <v>397</v>
      </c>
      <c r="I2567" t="s">
        <v>397</v>
      </c>
      <c r="J2567">
        <v>2707</v>
      </c>
      <c r="K2567">
        <v>1.32</v>
      </c>
      <c r="L2567">
        <v>0</v>
      </c>
      <c r="M2567">
        <v>0</v>
      </c>
    </row>
    <row r="2568" spans="1:13">
      <c r="A2568" s="28">
        <v>354320</v>
      </c>
      <c r="B2568" t="s">
        <v>2710</v>
      </c>
      <c r="C2568">
        <v>40900</v>
      </c>
      <c r="D2568">
        <v>-700</v>
      </c>
      <c r="E2568">
        <v>-1.68</v>
      </c>
      <c r="F2568">
        <v>1256</v>
      </c>
      <c r="G2568">
        <v>32.56</v>
      </c>
      <c r="H2568">
        <v>3829</v>
      </c>
      <c r="I2568">
        <v>10.68</v>
      </c>
      <c r="J2568">
        <v>15547</v>
      </c>
      <c r="K2568">
        <v>2.63</v>
      </c>
      <c r="L2568">
        <v>0</v>
      </c>
      <c r="M2568">
        <v>0</v>
      </c>
    </row>
    <row r="2569" spans="1:13">
      <c r="A2569" s="28">
        <v>1780</v>
      </c>
      <c r="B2569" t="s">
        <v>369</v>
      </c>
      <c r="C2569">
        <v>3610</v>
      </c>
      <c r="D2569">
        <v>-50</v>
      </c>
      <c r="E2569">
        <v>-1.37</v>
      </c>
      <c r="F2569">
        <v>155</v>
      </c>
      <c r="G2569">
        <v>23.29</v>
      </c>
      <c r="H2569" t="s">
        <v>397</v>
      </c>
      <c r="I2569" t="s">
        <v>397</v>
      </c>
      <c r="J2569">
        <v>2639</v>
      </c>
      <c r="K2569">
        <v>1.37</v>
      </c>
      <c r="L2569">
        <v>0</v>
      </c>
      <c r="M2569">
        <v>0</v>
      </c>
    </row>
    <row r="2570" spans="1:13">
      <c r="A2570" s="28">
        <v>297570</v>
      </c>
      <c r="B2570" t="s">
        <v>2711</v>
      </c>
      <c r="C2570">
        <v>1368</v>
      </c>
      <c r="D2570">
        <v>-1</v>
      </c>
      <c r="E2570">
        <v>-7.0000000000000007E-2</v>
      </c>
      <c r="F2570">
        <v>176</v>
      </c>
      <c r="G2570">
        <v>7.77</v>
      </c>
      <c r="H2570" t="s">
        <v>397</v>
      </c>
      <c r="I2570" t="s">
        <v>397</v>
      </c>
      <c r="J2570">
        <v>903</v>
      </c>
      <c r="K2570">
        <v>1.51</v>
      </c>
      <c r="L2570">
        <v>0</v>
      </c>
      <c r="M2570">
        <v>0</v>
      </c>
    </row>
    <row r="2571" spans="1:13">
      <c r="A2571" s="28">
        <v>65660</v>
      </c>
      <c r="B2571" t="s">
        <v>2712</v>
      </c>
      <c r="C2571">
        <v>14000</v>
      </c>
      <c r="D2571">
        <v>-130</v>
      </c>
      <c r="E2571">
        <v>-0.92</v>
      </c>
      <c r="F2571" t="s">
        <v>397</v>
      </c>
      <c r="G2571" t="s">
        <v>397</v>
      </c>
      <c r="H2571" t="s">
        <v>397</v>
      </c>
      <c r="I2571" t="s">
        <v>397</v>
      </c>
      <c r="J2571">
        <v>10974</v>
      </c>
      <c r="K2571">
        <v>1.28</v>
      </c>
      <c r="L2571">
        <v>0</v>
      </c>
      <c r="M2571">
        <v>0</v>
      </c>
    </row>
    <row r="2572" spans="1:13">
      <c r="A2572" s="28">
        <v>67390</v>
      </c>
      <c r="B2572" t="s">
        <v>2713</v>
      </c>
      <c r="C2572">
        <v>1113</v>
      </c>
      <c r="D2572">
        <v>0</v>
      </c>
      <c r="E2572">
        <v>0</v>
      </c>
      <c r="F2572" t="s">
        <v>397</v>
      </c>
      <c r="G2572" t="s">
        <v>397</v>
      </c>
      <c r="H2572" t="s">
        <v>397</v>
      </c>
      <c r="I2572" t="s">
        <v>397</v>
      </c>
      <c r="J2572">
        <v>4654</v>
      </c>
      <c r="K2572">
        <v>0.24</v>
      </c>
      <c r="L2572">
        <v>0</v>
      </c>
      <c r="M2572">
        <v>0</v>
      </c>
    </row>
    <row r="2573" spans="1:13">
      <c r="A2573" s="28">
        <v>136410</v>
      </c>
      <c r="B2573" t="s">
        <v>2714</v>
      </c>
      <c r="C2573">
        <v>8780</v>
      </c>
      <c r="D2573">
        <v>50</v>
      </c>
      <c r="E2573">
        <v>0.56999999999999995</v>
      </c>
      <c r="F2573">
        <v>653</v>
      </c>
      <c r="G2573">
        <v>13.45</v>
      </c>
      <c r="H2573">
        <v>796</v>
      </c>
      <c r="I2573">
        <v>11.03</v>
      </c>
      <c r="J2573">
        <v>5213</v>
      </c>
      <c r="K2573">
        <v>1.68</v>
      </c>
      <c r="L2573">
        <v>0</v>
      </c>
      <c r="M2573">
        <v>0</v>
      </c>
    </row>
    <row r="2574" spans="1:13">
      <c r="A2574" s="28">
        <v>416180</v>
      </c>
      <c r="B2574" t="s">
        <v>2715</v>
      </c>
      <c r="C2574">
        <v>42050</v>
      </c>
      <c r="D2574">
        <v>-3000</v>
      </c>
      <c r="E2574">
        <v>-6.66</v>
      </c>
      <c r="F2574">
        <v>1326</v>
      </c>
      <c r="G2574">
        <v>31.71</v>
      </c>
      <c r="H2574" t="s">
        <v>397</v>
      </c>
      <c r="I2574" t="s">
        <v>397</v>
      </c>
      <c r="J2574">
        <v>5203</v>
      </c>
      <c r="K2574">
        <v>8.08</v>
      </c>
      <c r="L2574">
        <v>0</v>
      </c>
      <c r="M2574">
        <v>0</v>
      </c>
    </row>
    <row r="2575" spans="1:13">
      <c r="A2575" s="28">
        <v>452980</v>
      </c>
      <c r="B2575" t="s">
        <v>2716</v>
      </c>
      <c r="C2575">
        <v>1976</v>
      </c>
      <c r="D2575">
        <v>-3</v>
      </c>
      <c r="E2575">
        <v>-0.15</v>
      </c>
      <c r="F2575" t="s">
        <v>397</v>
      </c>
      <c r="G2575" t="s">
        <v>397</v>
      </c>
      <c r="H2575" t="s">
        <v>397</v>
      </c>
      <c r="I2575" t="s">
        <v>397</v>
      </c>
      <c r="J2575" t="s">
        <v>397</v>
      </c>
      <c r="K2575" t="s">
        <v>397</v>
      </c>
      <c r="L2575">
        <v>0</v>
      </c>
      <c r="M2575">
        <v>0</v>
      </c>
    </row>
    <row r="2576" spans="1:13">
      <c r="A2576" s="28">
        <v>222420</v>
      </c>
      <c r="B2576" t="s">
        <v>2717</v>
      </c>
      <c r="C2576">
        <v>1172</v>
      </c>
      <c r="D2576">
        <v>4</v>
      </c>
      <c r="E2576">
        <v>0.34</v>
      </c>
      <c r="F2576" t="s">
        <v>397</v>
      </c>
      <c r="G2576" t="s">
        <v>397</v>
      </c>
      <c r="H2576" t="s">
        <v>397</v>
      </c>
      <c r="I2576" t="s">
        <v>397</v>
      </c>
      <c r="J2576">
        <v>870</v>
      </c>
      <c r="K2576">
        <v>1.35</v>
      </c>
      <c r="L2576">
        <v>0</v>
      </c>
      <c r="M2576">
        <v>0</v>
      </c>
    </row>
    <row r="2577" spans="1:13">
      <c r="A2577" s="28">
        <v>208640</v>
      </c>
      <c r="B2577" t="s">
        <v>2718</v>
      </c>
      <c r="C2577">
        <v>345</v>
      </c>
      <c r="D2577">
        <v>-2</v>
      </c>
      <c r="E2577">
        <v>-0.57999999999999996</v>
      </c>
      <c r="F2577" t="s">
        <v>397</v>
      </c>
      <c r="G2577" t="s">
        <v>397</v>
      </c>
      <c r="H2577" t="s">
        <v>397</v>
      </c>
      <c r="I2577" t="s">
        <v>397</v>
      </c>
      <c r="J2577">
        <v>247</v>
      </c>
      <c r="K2577">
        <v>1.4</v>
      </c>
      <c r="L2577">
        <v>0</v>
      </c>
      <c r="M2577">
        <v>0</v>
      </c>
    </row>
    <row r="2578" spans="1:13">
      <c r="A2578" s="28">
        <v>4770</v>
      </c>
      <c r="B2578" t="s">
        <v>2719</v>
      </c>
      <c r="C2578">
        <v>2155</v>
      </c>
      <c r="D2578">
        <v>-25</v>
      </c>
      <c r="E2578">
        <v>-1.1499999999999999</v>
      </c>
      <c r="F2578">
        <v>144</v>
      </c>
      <c r="G2578">
        <v>14.97</v>
      </c>
      <c r="H2578" t="s">
        <v>397</v>
      </c>
      <c r="I2578" t="s">
        <v>397</v>
      </c>
      <c r="J2578">
        <v>2101</v>
      </c>
      <c r="K2578">
        <v>1.03</v>
      </c>
      <c r="L2578">
        <v>0</v>
      </c>
      <c r="M2578">
        <v>0</v>
      </c>
    </row>
    <row r="2579" spans="1:13">
      <c r="A2579" s="28">
        <v>10280</v>
      </c>
      <c r="B2579" t="s">
        <v>2720</v>
      </c>
      <c r="C2579">
        <v>910</v>
      </c>
      <c r="D2579">
        <v>-1</v>
      </c>
      <c r="E2579">
        <v>-0.11</v>
      </c>
      <c r="F2579">
        <v>188</v>
      </c>
      <c r="G2579">
        <v>4.84</v>
      </c>
      <c r="H2579" t="s">
        <v>397</v>
      </c>
      <c r="I2579" t="s">
        <v>397</v>
      </c>
      <c r="J2579">
        <v>891</v>
      </c>
      <c r="K2579">
        <v>1.02</v>
      </c>
      <c r="L2579">
        <v>0</v>
      </c>
      <c r="M2579">
        <v>0</v>
      </c>
    </row>
    <row r="2580" spans="1:13">
      <c r="A2580" s="28">
        <v>102280</v>
      </c>
      <c r="B2580" t="s">
        <v>2721</v>
      </c>
      <c r="C2580">
        <v>269</v>
      </c>
      <c r="D2580">
        <v>0</v>
      </c>
      <c r="E2580">
        <v>0</v>
      </c>
      <c r="F2580" t="s">
        <v>397</v>
      </c>
      <c r="G2580" t="s">
        <v>397</v>
      </c>
      <c r="H2580" t="s">
        <v>397</v>
      </c>
      <c r="I2580" t="s">
        <v>397</v>
      </c>
      <c r="J2580">
        <v>528</v>
      </c>
      <c r="K2580">
        <v>0.51</v>
      </c>
      <c r="L2580">
        <v>0</v>
      </c>
      <c r="M2580">
        <v>0</v>
      </c>
    </row>
    <row r="2581" spans="1:13">
      <c r="A2581" s="28">
        <v>217330</v>
      </c>
      <c r="B2581" t="s">
        <v>2722</v>
      </c>
      <c r="C2581">
        <v>15360</v>
      </c>
      <c r="D2581">
        <v>300</v>
      </c>
      <c r="E2581">
        <v>1.99</v>
      </c>
      <c r="F2581" t="s">
        <v>397</v>
      </c>
      <c r="G2581" t="s">
        <v>397</v>
      </c>
      <c r="H2581" t="s">
        <v>397</v>
      </c>
      <c r="I2581" t="s">
        <v>397</v>
      </c>
      <c r="J2581">
        <v>318</v>
      </c>
      <c r="K2581">
        <v>48.3</v>
      </c>
      <c r="L2581">
        <v>0</v>
      </c>
      <c r="M2581">
        <v>0</v>
      </c>
    </row>
    <row r="2582" spans="1:13">
      <c r="A2582" s="28">
        <v>257720</v>
      </c>
      <c r="B2582" t="s">
        <v>2723</v>
      </c>
      <c r="C2582">
        <v>8910</v>
      </c>
      <c r="D2582">
        <v>-120</v>
      </c>
      <c r="E2582">
        <v>-1.33</v>
      </c>
      <c r="F2582">
        <v>186</v>
      </c>
      <c r="G2582">
        <v>47.9</v>
      </c>
      <c r="H2582">
        <v>989</v>
      </c>
      <c r="I2582">
        <v>9.01</v>
      </c>
      <c r="J2582">
        <v>1602</v>
      </c>
      <c r="K2582">
        <v>5.56</v>
      </c>
      <c r="L2582">
        <v>0</v>
      </c>
      <c r="M2582">
        <v>0</v>
      </c>
    </row>
    <row r="2583" spans="1:13">
      <c r="A2583" s="28">
        <v>187270</v>
      </c>
      <c r="B2583" t="s">
        <v>2724</v>
      </c>
      <c r="C2583">
        <v>4875</v>
      </c>
      <c r="D2583">
        <v>95</v>
      </c>
      <c r="E2583">
        <v>1.99</v>
      </c>
      <c r="F2583">
        <v>505</v>
      </c>
      <c r="G2583">
        <v>9.65</v>
      </c>
      <c r="H2583" t="s">
        <v>397</v>
      </c>
      <c r="I2583" t="s">
        <v>397</v>
      </c>
      <c r="J2583">
        <v>6216</v>
      </c>
      <c r="K2583">
        <v>0.78</v>
      </c>
      <c r="L2583">
        <v>0</v>
      </c>
      <c r="M2583">
        <v>0</v>
      </c>
    </row>
    <row r="2584" spans="1:13">
      <c r="A2584" s="28">
        <v>56700</v>
      </c>
      <c r="B2584" t="s">
        <v>2725</v>
      </c>
      <c r="C2584">
        <v>2210</v>
      </c>
      <c r="D2584">
        <v>35</v>
      </c>
      <c r="E2584">
        <v>1.61</v>
      </c>
      <c r="F2584" t="s">
        <v>397</v>
      </c>
      <c r="G2584" t="s">
        <v>397</v>
      </c>
      <c r="H2584" t="s">
        <v>397</v>
      </c>
      <c r="I2584" t="s">
        <v>397</v>
      </c>
      <c r="J2584">
        <v>3184</v>
      </c>
      <c r="K2584">
        <v>0.69</v>
      </c>
      <c r="L2584">
        <v>0</v>
      </c>
      <c r="M2584">
        <v>0</v>
      </c>
    </row>
    <row r="2585" spans="1:13">
      <c r="A2585" s="28">
        <v>405640</v>
      </c>
      <c r="B2585" t="s">
        <v>2726</v>
      </c>
      <c r="C2585">
        <v>3480</v>
      </c>
      <c r="D2585">
        <v>-220</v>
      </c>
      <c r="E2585">
        <v>-5.95</v>
      </c>
      <c r="F2585" t="s">
        <v>397</v>
      </c>
      <c r="G2585" t="s">
        <v>397</v>
      </c>
      <c r="H2585" t="s">
        <v>397</v>
      </c>
      <c r="I2585" t="s">
        <v>397</v>
      </c>
      <c r="J2585" t="s">
        <v>397</v>
      </c>
      <c r="K2585" t="s">
        <v>397</v>
      </c>
      <c r="L2585">
        <v>0</v>
      </c>
      <c r="M2585">
        <v>0</v>
      </c>
    </row>
    <row r="2586" spans="1:13">
      <c r="A2586" s="28">
        <v>393360</v>
      </c>
      <c r="B2586" t="s">
        <v>2727</v>
      </c>
      <c r="C2586">
        <v>2065</v>
      </c>
      <c r="D2586">
        <v>-10</v>
      </c>
      <c r="E2586">
        <v>-0.48</v>
      </c>
      <c r="F2586" t="s">
        <v>397</v>
      </c>
      <c r="G2586" t="s">
        <v>397</v>
      </c>
      <c r="H2586" t="s">
        <v>397</v>
      </c>
      <c r="I2586" t="s">
        <v>397</v>
      </c>
      <c r="J2586" t="s">
        <v>397</v>
      </c>
      <c r="K2586" t="s">
        <v>397</v>
      </c>
      <c r="L2586">
        <v>0</v>
      </c>
      <c r="M2586">
        <v>0</v>
      </c>
    </row>
    <row r="2587" spans="1:13">
      <c r="A2587" s="28">
        <v>418210</v>
      </c>
      <c r="B2587" t="s">
        <v>2728</v>
      </c>
      <c r="C2587">
        <v>2380</v>
      </c>
      <c r="D2587">
        <v>-40</v>
      </c>
      <c r="E2587">
        <v>-1.65</v>
      </c>
      <c r="F2587" t="s">
        <v>397</v>
      </c>
      <c r="G2587" t="s">
        <v>397</v>
      </c>
      <c r="H2587" t="s">
        <v>397</v>
      </c>
      <c r="I2587" t="s">
        <v>397</v>
      </c>
      <c r="J2587" t="s">
        <v>397</v>
      </c>
      <c r="K2587" t="s">
        <v>397</v>
      </c>
      <c r="L2587">
        <v>0</v>
      </c>
      <c r="M2587">
        <v>0</v>
      </c>
    </row>
    <row r="2588" spans="1:13">
      <c r="A2588" s="28">
        <v>12170</v>
      </c>
      <c r="B2588" t="s">
        <v>2729</v>
      </c>
      <c r="C2588">
        <v>1066</v>
      </c>
      <c r="D2588">
        <v>-41</v>
      </c>
      <c r="E2588">
        <v>-3.7</v>
      </c>
      <c r="F2588" t="s">
        <v>397</v>
      </c>
      <c r="G2588" t="s">
        <v>397</v>
      </c>
      <c r="H2588" t="s">
        <v>397</v>
      </c>
      <c r="I2588" t="s">
        <v>397</v>
      </c>
      <c r="J2588">
        <v>384</v>
      </c>
      <c r="K2588">
        <v>2.78</v>
      </c>
      <c r="L2588">
        <v>0</v>
      </c>
      <c r="M2588">
        <v>0</v>
      </c>
    </row>
    <row r="2589" spans="1:13">
      <c r="A2589" s="28">
        <v>19175</v>
      </c>
      <c r="B2589" t="s">
        <v>2730</v>
      </c>
      <c r="C2589">
        <v>17900</v>
      </c>
      <c r="D2589">
        <v>-260</v>
      </c>
      <c r="E2589">
        <v>-1.43</v>
      </c>
      <c r="F2589" t="s">
        <v>397</v>
      </c>
      <c r="G2589" t="s">
        <v>397</v>
      </c>
      <c r="H2589" t="s">
        <v>397</v>
      </c>
      <c r="I2589" t="s">
        <v>397</v>
      </c>
      <c r="J2589" t="s">
        <v>397</v>
      </c>
      <c r="K2589" t="s">
        <v>397</v>
      </c>
      <c r="L2589">
        <v>0</v>
      </c>
      <c r="M2589">
        <v>0</v>
      </c>
    </row>
    <row r="2590" spans="1:13">
      <c r="A2590" s="28">
        <v>19170</v>
      </c>
      <c r="B2590" t="s">
        <v>2731</v>
      </c>
      <c r="C2590">
        <v>11650</v>
      </c>
      <c r="D2590">
        <v>-200</v>
      </c>
      <c r="E2590">
        <v>-1.69</v>
      </c>
      <c r="F2590" t="s">
        <v>397</v>
      </c>
      <c r="G2590" t="s">
        <v>397</v>
      </c>
      <c r="H2590" t="s">
        <v>397</v>
      </c>
      <c r="I2590" t="s">
        <v>397</v>
      </c>
      <c r="J2590">
        <v>6690</v>
      </c>
      <c r="K2590">
        <v>1.74</v>
      </c>
      <c r="L2590">
        <v>0</v>
      </c>
      <c r="M2590">
        <v>0</v>
      </c>
    </row>
    <row r="2591" spans="1:13">
      <c r="A2591" s="28">
        <v>226330</v>
      </c>
      <c r="B2591" t="s">
        <v>2732</v>
      </c>
      <c r="C2591">
        <v>9720</v>
      </c>
      <c r="D2591">
        <v>320</v>
      </c>
      <c r="E2591">
        <v>3.4</v>
      </c>
      <c r="F2591" t="s">
        <v>397</v>
      </c>
      <c r="G2591" t="s">
        <v>397</v>
      </c>
      <c r="H2591" t="s">
        <v>397</v>
      </c>
      <c r="I2591" t="s">
        <v>397</v>
      </c>
      <c r="J2591">
        <v>2327</v>
      </c>
      <c r="K2591">
        <v>4.18</v>
      </c>
      <c r="L2591">
        <v>0</v>
      </c>
      <c r="M2591">
        <v>0</v>
      </c>
    </row>
    <row r="2592" spans="1:13">
      <c r="A2592" s="28">
        <v>17000</v>
      </c>
      <c r="B2592" t="s">
        <v>2733</v>
      </c>
      <c r="C2592">
        <v>2905</v>
      </c>
      <c r="D2592">
        <v>15</v>
      </c>
      <c r="E2592">
        <v>0.52</v>
      </c>
      <c r="F2592">
        <v>397</v>
      </c>
      <c r="G2592">
        <v>7.32</v>
      </c>
      <c r="H2592" t="s">
        <v>397</v>
      </c>
      <c r="I2592" t="s">
        <v>397</v>
      </c>
      <c r="J2592">
        <v>8382</v>
      </c>
      <c r="K2592">
        <v>0.35</v>
      </c>
      <c r="L2592">
        <v>0</v>
      </c>
      <c r="M2592">
        <v>0</v>
      </c>
    </row>
    <row r="2593" spans="1:13">
      <c r="A2593" s="28">
        <v>445970</v>
      </c>
      <c r="B2593" t="s">
        <v>2734</v>
      </c>
      <c r="C2593">
        <v>2250</v>
      </c>
      <c r="D2593">
        <v>5</v>
      </c>
      <c r="E2593">
        <v>0.22</v>
      </c>
      <c r="F2593" t="s">
        <v>397</v>
      </c>
      <c r="G2593" t="s">
        <v>397</v>
      </c>
      <c r="H2593" t="s">
        <v>397</v>
      </c>
      <c r="I2593" t="s">
        <v>397</v>
      </c>
      <c r="J2593" t="s">
        <v>397</v>
      </c>
      <c r="K2593" t="s">
        <v>397</v>
      </c>
      <c r="L2593">
        <v>0</v>
      </c>
      <c r="M2593">
        <v>0</v>
      </c>
    </row>
    <row r="2594" spans="1:13">
      <c r="A2594" s="28">
        <v>430220</v>
      </c>
      <c r="B2594" t="s">
        <v>2735</v>
      </c>
      <c r="C2594">
        <v>2350</v>
      </c>
      <c r="D2594">
        <v>-5</v>
      </c>
      <c r="E2594">
        <v>-0.21</v>
      </c>
      <c r="F2594" t="s">
        <v>397</v>
      </c>
      <c r="G2594" t="s">
        <v>397</v>
      </c>
      <c r="H2594" t="s">
        <v>397</v>
      </c>
      <c r="I2594" t="s">
        <v>397</v>
      </c>
      <c r="J2594" t="s">
        <v>397</v>
      </c>
      <c r="K2594" t="s">
        <v>397</v>
      </c>
      <c r="L2594">
        <v>0</v>
      </c>
      <c r="M2594">
        <v>0</v>
      </c>
    </row>
    <row r="2595" spans="1:13">
      <c r="A2595" s="28">
        <v>419270</v>
      </c>
      <c r="B2595" t="s">
        <v>2736</v>
      </c>
      <c r="C2595">
        <v>4375</v>
      </c>
      <c r="D2595">
        <v>-95</v>
      </c>
      <c r="E2595">
        <v>-2.13</v>
      </c>
      <c r="F2595" t="s">
        <v>397</v>
      </c>
      <c r="G2595" t="s">
        <v>397</v>
      </c>
      <c r="H2595" t="s">
        <v>397</v>
      </c>
      <c r="I2595" t="s">
        <v>397</v>
      </c>
      <c r="J2595" t="s">
        <v>397</v>
      </c>
      <c r="K2595" t="s">
        <v>397</v>
      </c>
      <c r="L2595">
        <v>0</v>
      </c>
      <c r="M2595">
        <v>0</v>
      </c>
    </row>
    <row r="2596" spans="1:13">
      <c r="A2596" s="28">
        <v>472220</v>
      </c>
      <c r="B2596" t="s">
        <v>2737</v>
      </c>
      <c r="C2596">
        <v>2145</v>
      </c>
      <c r="D2596">
        <v>20</v>
      </c>
      <c r="E2596">
        <v>0.94</v>
      </c>
      <c r="F2596" t="s">
        <v>397</v>
      </c>
      <c r="G2596" t="s">
        <v>397</v>
      </c>
      <c r="H2596" t="s">
        <v>397</v>
      </c>
      <c r="I2596" t="s">
        <v>397</v>
      </c>
      <c r="J2596" t="s">
        <v>397</v>
      </c>
      <c r="K2596" t="s">
        <v>397</v>
      </c>
      <c r="L2596">
        <v>0</v>
      </c>
      <c r="M2596">
        <v>0</v>
      </c>
    </row>
    <row r="2597" spans="1:13">
      <c r="A2597" s="28">
        <v>290560</v>
      </c>
      <c r="B2597" t="s">
        <v>2738</v>
      </c>
      <c r="C2597">
        <v>11470</v>
      </c>
      <c r="D2597">
        <v>-270</v>
      </c>
      <c r="E2597">
        <v>-2.2999999999999998</v>
      </c>
      <c r="F2597" t="s">
        <v>397</v>
      </c>
      <c r="G2597" t="s">
        <v>397</v>
      </c>
      <c r="H2597" t="s">
        <v>397</v>
      </c>
      <c r="I2597" t="s">
        <v>397</v>
      </c>
      <c r="J2597" t="s">
        <v>397</v>
      </c>
      <c r="K2597" t="s">
        <v>397</v>
      </c>
      <c r="L2597">
        <v>0</v>
      </c>
      <c r="M2597">
        <v>0</v>
      </c>
    </row>
    <row r="2598" spans="1:13">
      <c r="A2598" s="28">
        <v>162300</v>
      </c>
      <c r="B2598" t="s">
        <v>2739</v>
      </c>
      <c r="C2598">
        <v>3865</v>
      </c>
      <c r="D2598">
        <v>125</v>
      </c>
      <c r="E2598">
        <v>3.34</v>
      </c>
      <c r="F2598">
        <v>163</v>
      </c>
      <c r="G2598">
        <v>23.71</v>
      </c>
      <c r="H2598" t="s">
        <v>397</v>
      </c>
      <c r="I2598" t="s">
        <v>397</v>
      </c>
      <c r="J2598">
        <v>1580</v>
      </c>
      <c r="K2598">
        <v>2.4500000000000002</v>
      </c>
      <c r="L2598">
        <v>0</v>
      </c>
      <c r="M2598">
        <v>0</v>
      </c>
    </row>
    <row r="2599" spans="1:13">
      <c r="A2599" s="28">
        <v>11930</v>
      </c>
      <c r="B2599" t="s">
        <v>2740</v>
      </c>
      <c r="C2599">
        <v>2290</v>
      </c>
      <c r="D2599">
        <v>-40</v>
      </c>
      <c r="E2599">
        <v>-1.72</v>
      </c>
      <c r="F2599">
        <v>168</v>
      </c>
      <c r="G2599">
        <v>13.63</v>
      </c>
      <c r="H2599">
        <v>200</v>
      </c>
      <c r="I2599">
        <v>11.46</v>
      </c>
      <c r="J2599">
        <v>1036</v>
      </c>
      <c r="K2599">
        <v>2.21</v>
      </c>
      <c r="L2599">
        <v>0</v>
      </c>
      <c r="M2599">
        <v>0</v>
      </c>
    </row>
    <row r="2600" spans="1:13">
      <c r="A2600" s="28">
        <v>88280</v>
      </c>
      <c r="B2600" t="s">
        <v>2741</v>
      </c>
      <c r="C2600">
        <v>3575</v>
      </c>
      <c r="D2600">
        <v>-45</v>
      </c>
      <c r="E2600">
        <v>-1.24</v>
      </c>
      <c r="F2600" t="s">
        <v>397</v>
      </c>
      <c r="G2600" t="s">
        <v>397</v>
      </c>
      <c r="H2600" t="s">
        <v>397</v>
      </c>
      <c r="I2600" t="s">
        <v>397</v>
      </c>
      <c r="J2600">
        <v>1695</v>
      </c>
      <c r="K2600">
        <v>2.11</v>
      </c>
      <c r="L2600">
        <v>0</v>
      </c>
      <c r="M2600">
        <v>0</v>
      </c>
    </row>
    <row r="2601" spans="1:13">
      <c r="A2601" s="28">
        <v>403550</v>
      </c>
      <c r="B2601" t="s">
        <v>2742</v>
      </c>
      <c r="C2601">
        <v>20650</v>
      </c>
      <c r="D2601">
        <v>0</v>
      </c>
      <c r="E2601">
        <v>0</v>
      </c>
      <c r="F2601" t="s">
        <v>397</v>
      </c>
      <c r="G2601" t="s">
        <v>397</v>
      </c>
      <c r="H2601" t="s">
        <v>397</v>
      </c>
      <c r="I2601" t="s">
        <v>397</v>
      </c>
      <c r="J2601">
        <v>7565</v>
      </c>
      <c r="K2601">
        <v>2.73</v>
      </c>
      <c r="L2601">
        <v>0</v>
      </c>
      <c r="M2601">
        <v>0</v>
      </c>
    </row>
    <row r="2602" spans="1:13">
      <c r="A2602" s="28">
        <v>109670</v>
      </c>
      <c r="B2602" t="s">
        <v>2743</v>
      </c>
      <c r="C2602">
        <v>19240</v>
      </c>
      <c r="D2602">
        <v>20</v>
      </c>
      <c r="E2602">
        <v>0.1</v>
      </c>
      <c r="F2602" t="s">
        <v>397</v>
      </c>
      <c r="G2602" t="s">
        <v>397</v>
      </c>
      <c r="H2602" t="s">
        <v>397</v>
      </c>
      <c r="I2602" t="s">
        <v>397</v>
      </c>
      <c r="J2602" t="s">
        <v>397</v>
      </c>
      <c r="K2602" t="s">
        <v>397</v>
      </c>
      <c r="L2602">
        <v>0</v>
      </c>
      <c r="M2602">
        <v>0</v>
      </c>
    </row>
    <row r="2603" spans="1:13">
      <c r="A2603" s="28">
        <v>66790</v>
      </c>
      <c r="B2603" t="s">
        <v>2744</v>
      </c>
      <c r="C2603">
        <v>5450</v>
      </c>
      <c r="D2603">
        <v>-150</v>
      </c>
      <c r="E2603">
        <v>-2.68</v>
      </c>
      <c r="F2603">
        <v>16</v>
      </c>
      <c r="G2603">
        <v>340.63</v>
      </c>
      <c r="H2603" t="s">
        <v>397</v>
      </c>
      <c r="I2603" t="s">
        <v>397</v>
      </c>
      <c r="J2603">
        <v>485</v>
      </c>
      <c r="K2603">
        <v>11.24</v>
      </c>
      <c r="L2603">
        <v>0</v>
      </c>
      <c r="M2603">
        <v>0</v>
      </c>
    </row>
    <row r="2604" spans="1:13">
      <c r="A2604" s="28">
        <v>149950</v>
      </c>
      <c r="B2604" t="s">
        <v>2745</v>
      </c>
      <c r="C2604">
        <v>12590</v>
      </c>
      <c r="D2604">
        <v>-100</v>
      </c>
      <c r="E2604">
        <v>-0.79</v>
      </c>
      <c r="F2604" t="s">
        <v>397</v>
      </c>
      <c r="G2604" t="s">
        <v>397</v>
      </c>
      <c r="H2604" t="s">
        <v>397</v>
      </c>
      <c r="I2604" t="s">
        <v>397</v>
      </c>
      <c r="J2604">
        <v>9873</v>
      </c>
      <c r="K2604">
        <v>1.28</v>
      </c>
      <c r="L2604">
        <v>0</v>
      </c>
      <c r="M2604">
        <v>0</v>
      </c>
    </row>
    <row r="2605" spans="1:13">
      <c r="A2605" s="28">
        <v>92040</v>
      </c>
      <c r="B2605" t="s">
        <v>2746</v>
      </c>
      <c r="C2605">
        <v>6650</v>
      </c>
      <c r="D2605">
        <v>50</v>
      </c>
      <c r="E2605">
        <v>0.76</v>
      </c>
      <c r="F2605" t="s">
        <v>397</v>
      </c>
      <c r="G2605" t="s">
        <v>397</v>
      </c>
      <c r="H2605" t="s">
        <v>397</v>
      </c>
      <c r="I2605" t="s">
        <v>397</v>
      </c>
      <c r="J2605">
        <v>3125</v>
      </c>
      <c r="K2605">
        <v>2.13</v>
      </c>
      <c r="L2605">
        <v>0</v>
      </c>
      <c r="M2605">
        <v>0</v>
      </c>
    </row>
    <row r="2606" spans="1:13">
      <c r="A2606" s="28">
        <v>74430</v>
      </c>
      <c r="B2606" t="s">
        <v>2747</v>
      </c>
      <c r="C2606">
        <v>1498</v>
      </c>
      <c r="D2606">
        <v>-3</v>
      </c>
      <c r="E2606">
        <v>-0.2</v>
      </c>
      <c r="F2606" t="s">
        <v>397</v>
      </c>
      <c r="G2606" t="s">
        <v>397</v>
      </c>
      <c r="H2606" t="s">
        <v>397</v>
      </c>
      <c r="I2606" t="s">
        <v>397</v>
      </c>
      <c r="J2606">
        <v>585</v>
      </c>
      <c r="K2606">
        <v>2.56</v>
      </c>
      <c r="L2606">
        <v>0</v>
      </c>
      <c r="M2606">
        <v>0</v>
      </c>
    </row>
    <row r="2607" spans="1:13">
      <c r="A2607" s="28">
        <v>52710</v>
      </c>
      <c r="B2607" t="s">
        <v>2748</v>
      </c>
      <c r="C2607">
        <v>7600</v>
      </c>
      <c r="D2607">
        <v>-80</v>
      </c>
      <c r="E2607">
        <v>-1.04</v>
      </c>
      <c r="F2607" t="s">
        <v>397</v>
      </c>
      <c r="G2607" t="s">
        <v>397</v>
      </c>
      <c r="H2607">
        <v>498</v>
      </c>
      <c r="I2607">
        <v>15.27</v>
      </c>
      <c r="J2607">
        <v>12114</v>
      </c>
      <c r="K2607">
        <v>0.63</v>
      </c>
      <c r="L2607">
        <v>0</v>
      </c>
      <c r="M2607">
        <v>0</v>
      </c>
    </row>
    <row r="2608" spans="1:13">
      <c r="A2608" s="28">
        <v>357580</v>
      </c>
      <c r="B2608" t="s">
        <v>2749</v>
      </c>
      <c r="C2608">
        <v>10680</v>
      </c>
      <c r="D2608">
        <v>10</v>
      </c>
      <c r="E2608">
        <v>0.09</v>
      </c>
      <c r="F2608" t="s">
        <v>397</v>
      </c>
      <c r="G2608" t="s">
        <v>397</v>
      </c>
      <c r="H2608" t="s">
        <v>397</v>
      </c>
      <c r="I2608" t="s">
        <v>397</v>
      </c>
      <c r="J2608">
        <v>3359</v>
      </c>
      <c r="K2608">
        <v>3.18</v>
      </c>
      <c r="L2608">
        <v>0</v>
      </c>
      <c r="M2608">
        <v>0</v>
      </c>
    </row>
    <row r="2609" spans="1:13">
      <c r="A2609" s="28">
        <v>125210</v>
      </c>
      <c r="B2609" t="s">
        <v>2750</v>
      </c>
      <c r="C2609">
        <v>10690</v>
      </c>
      <c r="D2609">
        <v>-130</v>
      </c>
      <c r="E2609">
        <v>-1.2</v>
      </c>
      <c r="F2609">
        <v>692</v>
      </c>
      <c r="G2609">
        <v>15.45</v>
      </c>
      <c r="H2609" t="s">
        <v>397</v>
      </c>
      <c r="I2609" t="s">
        <v>397</v>
      </c>
      <c r="J2609">
        <v>3388</v>
      </c>
      <c r="K2609">
        <v>3.16</v>
      </c>
      <c r="L2609">
        <v>0</v>
      </c>
      <c r="M2609">
        <v>0</v>
      </c>
    </row>
    <row r="2610" spans="1:13">
      <c r="A2610" s="28">
        <v>58220</v>
      </c>
      <c r="B2610" t="s">
        <v>2751</v>
      </c>
      <c r="C2610">
        <v>275</v>
      </c>
      <c r="D2610">
        <v>0</v>
      </c>
      <c r="E2610">
        <v>0</v>
      </c>
      <c r="F2610" t="s">
        <v>397</v>
      </c>
      <c r="G2610" t="s">
        <v>397</v>
      </c>
      <c r="H2610" t="s">
        <v>397</v>
      </c>
      <c r="I2610" t="s">
        <v>397</v>
      </c>
      <c r="J2610" t="s">
        <v>397</v>
      </c>
      <c r="K2610" t="s">
        <v>397</v>
      </c>
      <c r="L2610">
        <v>0</v>
      </c>
      <c r="M2610">
        <v>0</v>
      </c>
    </row>
    <row r="2611" spans="1:13">
      <c r="A2611" s="28">
        <v>8700</v>
      </c>
      <c r="B2611" t="s">
        <v>2752</v>
      </c>
      <c r="C2611">
        <v>2010</v>
      </c>
      <c r="D2611">
        <v>-10</v>
      </c>
      <c r="E2611">
        <v>-0.5</v>
      </c>
      <c r="F2611">
        <v>181</v>
      </c>
      <c r="G2611">
        <v>11.1</v>
      </c>
      <c r="H2611" t="s">
        <v>397</v>
      </c>
      <c r="I2611" t="s">
        <v>397</v>
      </c>
      <c r="J2611">
        <v>1270</v>
      </c>
      <c r="K2611">
        <v>1.58</v>
      </c>
      <c r="L2611">
        <v>0</v>
      </c>
      <c r="M2611">
        <v>0</v>
      </c>
    </row>
    <row r="2612" spans="1:13">
      <c r="A2612" s="28">
        <v>25980</v>
      </c>
      <c r="B2612" t="s">
        <v>2753</v>
      </c>
      <c r="C2612">
        <v>6280</v>
      </c>
      <c r="D2612">
        <v>-110</v>
      </c>
      <c r="E2612">
        <v>-1.72</v>
      </c>
      <c r="F2612">
        <v>360</v>
      </c>
      <c r="G2612">
        <v>17.440000000000001</v>
      </c>
      <c r="H2612" t="s">
        <v>397</v>
      </c>
      <c r="I2612" t="s">
        <v>397</v>
      </c>
      <c r="J2612">
        <v>5866</v>
      </c>
      <c r="K2612">
        <v>1.07</v>
      </c>
      <c r="L2612">
        <v>0</v>
      </c>
      <c r="M2612">
        <v>0</v>
      </c>
    </row>
    <row r="2613" spans="1:13">
      <c r="A2613" s="28">
        <v>123860</v>
      </c>
      <c r="B2613" t="s">
        <v>2754</v>
      </c>
      <c r="C2613">
        <v>27300</v>
      </c>
      <c r="D2613">
        <v>1650</v>
      </c>
      <c r="E2613">
        <v>6.43</v>
      </c>
      <c r="F2613" t="s">
        <v>397</v>
      </c>
      <c r="G2613" t="s">
        <v>397</v>
      </c>
      <c r="H2613" t="s">
        <v>397</v>
      </c>
      <c r="I2613" t="s">
        <v>397</v>
      </c>
      <c r="J2613">
        <v>3276</v>
      </c>
      <c r="K2613">
        <v>8.33</v>
      </c>
      <c r="L2613">
        <v>0</v>
      </c>
      <c r="M2613">
        <v>0</v>
      </c>
    </row>
    <row r="2614" spans="1:13">
      <c r="A2614" s="28">
        <v>13990</v>
      </c>
      <c r="B2614" t="s">
        <v>2755</v>
      </c>
      <c r="C2614">
        <v>5560</v>
      </c>
      <c r="D2614">
        <v>-100</v>
      </c>
      <c r="E2614">
        <v>-1.77</v>
      </c>
      <c r="F2614">
        <v>316</v>
      </c>
      <c r="G2614">
        <v>17.59</v>
      </c>
      <c r="H2614" t="s">
        <v>397</v>
      </c>
      <c r="I2614" t="s">
        <v>397</v>
      </c>
      <c r="J2614">
        <v>4909</v>
      </c>
      <c r="K2614">
        <v>1.1299999999999999</v>
      </c>
      <c r="L2614">
        <v>0</v>
      </c>
      <c r="M2614">
        <v>0</v>
      </c>
    </row>
    <row r="2615" spans="1:13">
      <c r="A2615" s="28">
        <v>52300</v>
      </c>
      <c r="B2615" t="s">
        <v>2756</v>
      </c>
      <c r="C2615">
        <v>460</v>
      </c>
      <c r="D2615">
        <v>19</v>
      </c>
      <c r="E2615">
        <v>4.3099999999999996</v>
      </c>
      <c r="F2615" t="s">
        <v>397</v>
      </c>
      <c r="G2615" t="s">
        <v>397</v>
      </c>
      <c r="H2615" t="s">
        <v>397</v>
      </c>
      <c r="I2615" t="s">
        <v>397</v>
      </c>
      <c r="J2615">
        <v>1688</v>
      </c>
      <c r="K2615">
        <v>0.27</v>
      </c>
      <c r="L2615">
        <v>0</v>
      </c>
      <c r="M2615">
        <v>0</v>
      </c>
    </row>
    <row r="2616" spans="1:13">
      <c r="A2616" s="28">
        <v>308170</v>
      </c>
      <c r="B2616" t="s">
        <v>2757</v>
      </c>
      <c r="C2616">
        <v>9900</v>
      </c>
      <c r="D2616">
        <v>-100</v>
      </c>
      <c r="E2616">
        <v>-1</v>
      </c>
      <c r="F2616">
        <v>131</v>
      </c>
      <c r="G2616">
        <v>75.569999999999993</v>
      </c>
      <c r="H2616" t="s">
        <v>397</v>
      </c>
      <c r="I2616" t="s">
        <v>397</v>
      </c>
      <c r="J2616">
        <v>12061</v>
      </c>
      <c r="K2616">
        <v>0.82</v>
      </c>
      <c r="L2616">
        <v>0</v>
      </c>
      <c r="M2616">
        <v>0</v>
      </c>
    </row>
    <row r="2617" spans="1:13">
      <c r="A2617" s="28">
        <v>60590</v>
      </c>
      <c r="B2617" t="s">
        <v>2758</v>
      </c>
      <c r="C2617">
        <v>9120</v>
      </c>
      <c r="D2617">
        <v>-720</v>
      </c>
      <c r="E2617">
        <v>-7.32</v>
      </c>
      <c r="F2617">
        <v>283</v>
      </c>
      <c r="G2617">
        <v>32.229999999999997</v>
      </c>
      <c r="H2617" t="s">
        <v>397</v>
      </c>
      <c r="I2617" t="s">
        <v>397</v>
      </c>
      <c r="J2617">
        <v>4014</v>
      </c>
      <c r="K2617">
        <v>2.27</v>
      </c>
      <c r="L2617">
        <v>0</v>
      </c>
      <c r="M2617">
        <v>0</v>
      </c>
    </row>
    <row r="2618" spans="1:13">
      <c r="A2618" s="28">
        <v>189330</v>
      </c>
      <c r="B2618" t="s">
        <v>2759</v>
      </c>
      <c r="C2618">
        <v>17200</v>
      </c>
      <c r="D2618">
        <v>3120</v>
      </c>
      <c r="E2618">
        <v>22.16</v>
      </c>
      <c r="F2618" t="s">
        <v>397</v>
      </c>
      <c r="G2618" t="s">
        <v>397</v>
      </c>
      <c r="H2618" t="s">
        <v>397</v>
      </c>
      <c r="I2618" t="s">
        <v>397</v>
      </c>
      <c r="J2618">
        <v>3439</v>
      </c>
      <c r="K2618">
        <v>5</v>
      </c>
      <c r="L2618">
        <v>0</v>
      </c>
      <c r="M2618">
        <v>0</v>
      </c>
    </row>
    <row r="2619" spans="1:13">
      <c r="A2619" s="28">
        <v>340810</v>
      </c>
      <c r="B2619" t="s">
        <v>2760</v>
      </c>
      <c r="C2619">
        <v>6910</v>
      </c>
      <c r="D2619">
        <v>-140</v>
      </c>
      <c r="E2619">
        <v>-1.99</v>
      </c>
      <c r="F2619" t="s">
        <v>397</v>
      </c>
      <c r="G2619" t="s">
        <v>397</v>
      </c>
      <c r="H2619" t="s">
        <v>397</v>
      </c>
      <c r="I2619" t="s">
        <v>397</v>
      </c>
      <c r="J2619">
        <v>483</v>
      </c>
      <c r="K2619">
        <v>14.31</v>
      </c>
      <c r="L2619">
        <v>0</v>
      </c>
      <c r="M2619">
        <v>0</v>
      </c>
    </row>
    <row r="2620" spans="1:13">
      <c r="A2620" s="28">
        <v>115480</v>
      </c>
      <c r="B2620" t="s">
        <v>2761</v>
      </c>
      <c r="C2620">
        <v>809</v>
      </c>
      <c r="D2620">
        <v>9</v>
      </c>
      <c r="E2620">
        <v>1.1299999999999999</v>
      </c>
      <c r="F2620">
        <v>202</v>
      </c>
      <c r="G2620">
        <v>4</v>
      </c>
      <c r="H2620" t="s">
        <v>397</v>
      </c>
      <c r="I2620" t="s">
        <v>397</v>
      </c>
      <c r="J2620">
        <v>1279</v>
      </c>
      <c r="K2620">
        <v>0.63</v>
      </c>
      <c r="L2620">
        <v>0</v>
      </c>
      <c r="M2620">
        <v>0</v>
      </c>
    </row>
    <row r="2621" spans="1:13">
      <c r="A2621" s="28">
        <v>115530</v>
      </c>
      <c r="B2621" t="s">
        <v>2762</v>
      </c>
      <c r="C2621">
        <v>345</v>
      </c>
      <c r="D2621">
        <v>79</v>
      </c>
      <c r="E2621">
        <v>29.7</v>
      </c>
      <c r="F2621">
        <v>26</v>
      </c>
      <c r="G2621">
        <v>13.27</v>
      </c>
      <c r="H2621" t="s">
        <v>397</v>
      </c>
      <c r="I2621" t="s">
        <v>397</v>
      </c>
      <c r="J2621">
        <v>171</v>
      </c>
      <c r="K2621">
        <v>2.02</v>
      </c>
      <c r="L2621">
        <v>0</v>
      </c>
      <c r="M2621">
        <v>0</v>
      </c>
    </row>
    <row r="2622" spans="1:13">
      <c r="A2622" s="28">
        <v>359090</v>
      </c>
      <c r="B2622" t="s">
        <v>2763</v>
      </c>
      <c r="C2622">
        <v>1194</v>
      </c>
      <c r="D2622">
        <v>-31</v>
      </c>
      <c r="E2622">
        <v>-2.5299999999999998</v>
      </c>
      <c r="F2622">
        <v>73</v>
      </c>
      <c r="G2622">
        <v>16.36</v>
      </c>
      <c r="H2622" t="s">
        <v>397</v>
      </c>
      <c r="I2622" t="s">
        <v>397</v>
      </c>
      <c r="J2622">
        <v>664</v>
      </c>
      <c r="K2622">
        <v>1.8</v>
      </c>
      <c r="L2622">
        <v>0</v>
      </c>
      <c r="M2622">
        <v>0</v>
      </c>
    </row>
    <row r="2623" spans="1:13">
      <c r="A2623" s="28">
        <v>297090</v>
      </c>
      <c r="B2623" t="s">
        <v>2764</v>
      </c>
      <c r="C2623">
        <v>7750</v>
      </c>
      <c r="D2623">
        <v>50</v>
      </c>
      <c r="E2623">
        <v>0.65</v>
      </c>
      <c r="F2623" t="s">
        <v>397</v>
      </c>
      <c r="G2623" t="s">
        <v>397</v>
      </c>
      <c r="H2623">
        <v>297</v>
      </c>
      <c r="I2623">
        <v>26.07</v>
      </c>
      <c r="J2623">
        <v>3227</v>
      </c>
      <c r="K2623">
        <v>2.4</v>
      </c>
      <c r="L2623">
        <v>0</v>
      </c>
      <c r="M2623">
        <v>0</v>
      </c>
    </row>
    <row r="2624" spans="1:13">
      <c r="A2624" s="28">
        <v>352480</v>
      </c>
      <c r="B2624" t="s">
        <v>2765</v>
      </c>
      <c r="C2624">
        <v>67800</v>
      </c>
      <c r="D2624">
        <v>-2000</v>
      </c>
      <c r="E2624">
        <v>-2.87</v>
      </c>
      <c r="F2624">
        <v>1646</v>
      </c>
      <c r="G2624">
        <v>41.19</v>
      </c>
      <c r="H2624">
        <v>4530</v>
      </c>
      <c r="I2624">
        <v>14.97</v>
      </c>
      <c r="J2624">
        <v>13422</v>
      </c>
      <c r="K2624">
        <v>5.05</v>
      </c>
      <c r="L2624">
        <v>0</v>
      </c>
      <c r="M2624">
        <v>0</v>
      </c>
    </row>
    <row r="2625" spans="1:13">
      <c r="A2625" s="28">
        <v>4920</v>
      </c>
      <c r="B2625" t="s">
        <v>2766</v>
      </c>
      <c r="C2625">
        <v>1204</v>
      </c>
      <c r="D2625">
        <v>-1</v>
      </c>
      <c r="E2625">
        <v>-0.08</v>
      </c>
      <c r="F2625" t="s">
        <v>397</v>
      </c>
      <c r="G2625" t="s">
        <v>397</v>
      </c>
      <c r="H2625" t="s">
        <v>397</v>
      </c>
      <c r="I2625" t="s">
        <v>397</v>
      </c>
      <c r="J2625">
        <v>1240</v>
      </c>
      <c r="K2625">
        <v>0.97</v>
      </c>
      <c r="L2625">
        <v>0</v>
      </c>
      <c r="M2625">
        <v>0</v>
      </c>
    </row>
    <row r="2626" spans="1:13">
      <c r="A2626" s="28">
        <v>222080</v>
      </c>
      <c r="B2626" t="s">
        <v>2767</v>
      </c>
      <c r="C2626">
        <v>13680</v>
      </c>
      <c r="D2626">
        <v>-360</v>
      </c>
      <c r="E2626">
        <v>-2.56</v>
      </c>
      <c r="F2626">
        <v>190</v>
      </c>
      <c r="G2626">
        <v>72</v>
      </c>
      <c r="H2626" t="s">
        <v>397</v>
      </c>
      <c r="I2626" t="s">
        <v>397</v>
      </c>
      <c r="J2626">
        <v>2221</v>
      </c>
      <c r="K2626">
        <v>6.16</v>
      </c>
      <c r="L2626">
        <v>0</v>
      </c>
      <c r="M2626">
        <v>0</v>
      </c>
    </row>
    <row r="2627" spans="1:13">
      <c r="A2627" s="28">
        <v>238490</v>
      </c>
      <c r="B2627" t="s">
        <v>2768</v>
      </c>
      <c r="C2627">
        <v>6090</v>
      </c>
      <c r="D2627">
        <v>-60</v>
      </c>
      <c r="E2627">
        <v>-0.98</v>
      </c>
      <c r="F2627" t="s">
        <v>397</v>
      </c>
      <c r="G2627" t="s">
        <v>397</v>
      </c>
      <c r="H2627" t="s">
        <v>397</v>
      </c>
      <c r="I2627" t="s">
        <v>397</v>
      </c>
      <c r="J2627">
        <v>5656</v>
      </c>
      <c r="K2627">
        <v>1.08</v>
      </c>
      <c r="L2627">
        <v>0</v>
      </c>
      <c r="M2627">
        <v>0</v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yLike"/>
  <dimension ref="A3:L42"/>
  <sheetViews>
    <sheetView workbookViewId="0">
      <selection activeCell="H23" sqref="H23"/>
    </sheetView>
  </sheetViews>
  <sheetFormatPr defaultRowHeight="16.5"/>
  <cols>
    <col min="1" max="1" width="14.25" style="28" customWidth="1"/>
    <col min="2" max="2" width="18.75" customWidth="1"/>
    <col min="3" max="3" width="21" customWidth="1"/>
    <col min="4" max="4" width="18.09765625" customWidth="1"/>
    <col min="5" max="5" width="22" customWidth="1"/>
    <col min="6" max="6" width="23.09765625" customWidth="1"/>
    <col min="7" max="7" width="15.5" customWidth="1"/>
    <col min="8" max="8" width="19.59765625" customWidth="1"/>
    <col min="9" max="9" width="17.84765625" customWidth="1"/>
    <col min="10" max="10" width="21.5" customWidth="1"/>
    <col min="11" max="11" width="17.09765625" customWidth="1"/>
    <col min="12" max="12" width="18.09765625" customWidth="1"/>
  </cols>
  <sheetData>
    <row r="3" spans="1:12">
      <c r="A3" s="28" t="s">
        <v>373</v>
      </c>
      <c r="D3" t="s">
        <v>374</v>
      </c>
      <c r="E3" t="str">
        <f>ExcelToJSON(표7[#All])</f>
        <v>[{"종목 재무":"3120","20240317":"일성신약","":"1.55","":"0.36","":"18.29","":"14122","":"60174","":"1.58","20240317":"0.37","":"18","":"9.52","":"적전"},{"종목 재무":"282690","20240317":"동아타이어","":"6.97","":"0.44","":"8.22","":"1747","":"27514","":"6.94","20240317":"0.44","":"8.24","":"-","":"-"},{"종목 재무":"19440","20240317":"세아특수강","":"6.25","":"0.34","":"7.33","":"2185","":"40593","":"6.27","20240317":"0.34","":"7.3","":"-","":"-"},{"종목 재무":"10950","20240317":"S-Oil","":"-","":"-","":"-","":"18075","":"75353","":"4.39","20240317":"1.05","":"6.94","":"-","":"-"},{"종목 재무":"3410","20240317":"쌍용C&amp;E","":"-","":"-","":"-","":"254","":"3172","":"27.56","20240317":"2.21","":"6.29","":"-","":"-"},{"종목 재무":"78000","20240317":"텔코웨어","":"15.48","":"0.54","":"5.63","":"688","":"19820","":"15.58","20240317":"0.54","":"5.6","":"18.43","":"109.99"},{"종목 재무":"5940","20240317":"NH투자증권","":"14.82","":"0.6","":"5.36","":"881","":"21824","":"14.63","20240317":"0.59","":"5.43","":"652.18","":"26.11"},{"종목 재무":"11560","20240317":"세보엠이씨","":"4.02","":"0.52","":"5.27","":"2361","":"18328","":"4","20240317":"0.52","":"5.29","":"-","":"-"},{"종목 재무":"9680","20240317":"모토닉","":"8.21","":"0.41","":"4.93","":"988","":"19912","":"8.27","20240317":"0.41","":"4.9","":"7.45","":"52.09"},{"종목 재무":"33920","20240317":"무학","":"-","":"-","":"-","":"-","":"18143","":"-","20240317":"0.28","":"4.54","":"-","":"-"},{"종목 재무":"55550","20240317":"신한지주","":"6.09","":"0.54","":"4.01","":"8454","":"95206","":"5.87","20240317":"0.52","":"4.16","":"42.88","":"36.58"},{"종목 재무":"16360","20240317":"삼성증권","":"8.87","":"0.6","":"4.05","":"4730","":"69383","":"8.68","20240317":"0.59","":"4.14","":"-","":"-"},{"종목 재무":"58860","20240317":"KTis","":"5.9","":"0.46","":"4.06","":"501","":"6434","":"5.87","20240317":"0.46","":"4.08","":"119.32","":"-12.53"},{"종목 재무":"7590","20240317":"동방아그로","":"11.5","":"0.52","":"3.98","":"546","":"12112","":"11.56","20240317":"0.52","":"3.96","":"40.49","":"78.95"},{"종목 재무":"390","20240317":"삼화페인트","":"-","":"-","":"-","":"237","":"12654","":"27.59","20240317":"0.52","":"3.82","":"-","":"-"},{"종목 재무":"91700","20240317":"파트론","":"11.41","":"0.91","":"3.75","":"700","":"8739","":"11.24","20240317":"0.9","":"3.81","":"-","":"-"},{"종목 재무":"45100","20240317":"한양이엔지","":"4.24","":"0.62","":"3.5","":"4044","":"27595","":"4.15","20240317":"0.61","":"3.58","":"-","":"-"},{"종목 재무":"56190","20240317":"에스에프에이","":"11.91","":"0.82","":"3.3","":"2213","":"31974","":"11.39","20240317":"0.79","":"3.45","":"68.06","":"-51.83"},{"종목 재무":"138070","20240317":"신진에스엠","":"11.29","":"0.64","":"3.47","":"255","":"4467","":"11.61","20240317":"0.66","":"3.38","":"28.92","":"9.78"},{"종목 재무":"78340","20240317":"컴투스","":"14.89","":"0.44","":"3.11","":"2807","":"95809","":"14.64","20240317":"0.43","":"3.16","":"-","":"-"},{"종목 재무":"1560","20240317":"제일연마","":"-","":"-","":"-","":"297","":"12792","":"29.06","20240317":"0.67","":"3.13","":"-","":"-"},{"종목 재무":"32560","20240317":"황금에스티","":"-","":"-","":"-","":"2380","":"19636","":"2.93","20240317":"0.35","":"2.87","":"17.86","":"-9.05"},{"종목 재무":"5490","20240317":"POSCO홀딩스","":"-","":"-","":"-","":"41456","":"692323","":"10.49","20240317":"0.63","":"2.76","":"-","":"-"},{"종목 재무":"10060","20240317":"OCI홀딩스","":"-","":"-","":"-","":"36941","":"166136","":"2.6","20240317":"0.58","":"2.61","":"3.59","":"343.56"},{"종목 재무":"3610","20240317":"방림","":"-","":"-","":"-","":"152","":"5532","":"13.62","20240317":"0.37","":"2.17","":"-","":"-"},{"종목 재무":"35250","20240317":"강원랜드","":"-","":"-","":"-","":"570","":"16846","":"29.12","20240317":"0.99","":"2.11","":"21.86","":"흑전"},{"종목 재무":"1740","20240317":"SK네트웍스","":"-","":"-","":"-","":"395","":"10311","":"15.7","20240317":"0.6","":"1.94","":"-","":"-"},{"종목 재무":"5820","20240317":"원림","":"-","":"-","":"-","":"3500","":"55263","":"5.38","20240317":"0.34","":"1.86","":"-","":"-"},{"종목 재무":"720","20240317":"현대건설","":"-","":"-","":"-","":"3637","":"69028","":"9.49","20240317":"0.5","":"1.74","":"123.45","":"7.37"},{"종목 재무":"92460","20240317":"한라IMS","":"-","":"-","":"-","":"470","":"5683","":"12.66","20240317":"1.05","":"1.68","":"-","":"-"},{"종목 재무":"23160","20240317":"태광","":"-","":"-","":"-","":"1383","":"18560","":"9.19","20240317":"0.68","":"1.34","":"11.49","":"193.84"},{"종목 재무":"1810","20240317":"무림SP","":"-","":"-","":"-","":"-","":"9321","":"-","20240317":"0.19","":"0.83","":"-","":"-"},{"종목 재무":"7770","20240317":"한일화학","":"-","":"-","":"-","":"1237","":"33661","":"11.86","20240317":"0.44","":"0.68","":"-","":"-"},{"종목 재무":"53350","20240317":"이니텍","":"-","":"-","":"-","":"11","":"6339","":"287.73","20240317":"0.5","":"0.63","":"-","":"-"},{"종목 재무":"456040","20240317":"OCI","":"-","":"-","":"-","":"-","":"-","":"-","20240317":"-","":"0","":"-","":"-"},{"종목 재무":"34220","20240317":"LG디스플레이","":"-","":"-","":"-","":"-","":"25521","":"-","20240317":"0.44","":"0","":"-","":"-"},{"종목 재무":"14470","20240317":"부방","":"-","":"-","":"-","":"582","":"3441","":"4.32","20240317":"0.73","":"0","":"42.61","":"적지"},{"종목 재무":"1780","20240317":"알루코","":"-","":"-","":"-","":"155","":"2639","":"23.29","20240317":"1.37","":"0","":"105.7","":"42.87"}]</v>
      </c>
    </row>
    <row r="4" spans="1:12">
      <c r="A4" s="30" t="s">
        <v>247</v>
      </c>
      <c r="B4" s="31" t="s">
        <v>248</v>
      </c>
      <c r="C4" t="s">
        <v>250</v>
      </c>
      <c r="D4" t="s">
        <v>249</v>
      </c>
      <c r="E4" t="s">
        <v>251</v>
      </c>
      <c r="F4" t="s">
        <v>2769</v>
      </c>
      <c r="G4" t="s">
        <v>2770</v>
      </c>
      <c r="H4" t="s">
        <v>2771</v>
      </c>
      <c r="I4" t="s">
        <v>2772</v>
      </c>
      <c r="J4" t="s">
        <v>2773</v>
      </c>
      <c r="K4" t="s">
        <v>2857</v>
      </c>
      <c r="L4" s="8" t="s">
        <v>2781</v>
      </c>
    </row>
    <row r="5" spans="1:12">
      <c r="A5" s="28">
        <v>3120</v>
      </c>
      <c r="B5" t="str">
        <f>IFERROR(VLOOKUP(표7[[#This Row],[종목코드]],krxData_재무!$A$6:$E$2805,2,0),"-")</f>
        <v>일성신약</v>
      </c>
      <c r="C5">
        <f>IFERROR(VLOOKUP(표7[[#This Row],[종목코드]],pyKrx_Stock!$A$6:$E$262,3,0),"-")</f>
        <v>1.55</v>
      </c>
      <c r="D5">
        <f>IFERROR(VLOOKUP(표7[[#This Row],[종목코드]],pyKrx_Stock!$A$6:$E$262,4,0),"-")</f>
        <v>0.36</v>
      </c>
      <c r="E5">
        <f>IFERROR(VLOOKUP(표7[[#This Row],[종목코드]],pyKrx_Stock!$A$6:$E$262,5,0),"-")</f>
        <v>18.29</v>
      </c>
      <c r="F5">
        <f>IFERROR(VLOOKUP(표7[[#This Row],[종목코드]],krxData_재무!$A$6:$M$2805,6,0),"-")</f>
        <v>14122</v>
      </c>
      <c r="G5">
        <f>IFERROR(VLOOKUP(표7[[#This Row],[종목코드]],krxData_재무!$A$6:$M$2805,10,0),"-")</f>
        <v>60174</v>
      </c>
      <c r="H5">
        <f>IFERROR(VLOOKUP(표7[[#This Row],[종목코드]],krxData_재무!$A$6:$M$2805,7,0),"-")</f>
        <v>1.58</v>
      </c>
      <c r="I5">
        <f>IFERROR(VLOOKUP(표7[[#This Row],[종목코드]],krxData_재무!$A$6:$M$2805,11,0),"-")</f>
        <v>0.37</v>
      </c>
      <c r="J5">
        <f>IFERROR(VLOOKUP(표7[[#This Row],[종목코드]],krxData_재무!$A$6:$M$2805,13,0),"-")</f>
        <v>18</v>
      </c>
      <c r="K5">
        <f>IFERROR(VLOOKUP(표7[[#This Row],[종목명]],fnguide!$B$101:$N$1300,3,0),"-")</f>
        <v>9.52</v>
      </c>
      <c r="L5" t="str">
        <f>IFERROR(VLOOKUP(표7[[#This Row],[종목명]],fnguide!$B$101:$N$1300,6,0),"-")</f>
        <v>적전</v>
      </c>
    </row>
    <row r="6" spans="1:12">
      <c r="A6" s="28">
        <v>282690</v>
      </c>
      <c r="B6" t="str">
        <f>IFERROR(VLOOKUP(표7[[#This Row],[종목코드]],krxData_재무!$A$6:$E$2805,2,0),"-")</f>
        <v>동아타이어</v>
      </c>
      <c r="C6">
        <f>IFERROR(VLOOKUP(표7[[#This Row],[종목코드]],pyKrx_Stock!$A$6:$E$262,3,0),"-")</f>
        <v>6.97</v>
      </c>
      <c r="D6">
        <f>IFERROR(VLOOKUP(표7[[#This Row],[종목코드]],pyKrx_Stock!$A$6:$E$262,4,0),"-")</f>
        <v>0.44</v>
      </c>
      <c r="E6">
        <f>IFERROR(VLOOKUP(표7[[#This Row],[종목코드]],pyKrx_Stock!$A$6:$E$262,5,0),"-")</f>
        <v>8.2200000000000006</v>
      </c>
      <c r="F6">
        <f>IFERROR(VLOOKUP(표7[[#This Row],[종목코드]],krxData_재무!$A$6:$M$2805,6,0),"-")</f>
        <v>1747</v>
      </c>
      <c r="G6">
        <f>IFERROR(VLOOKUP(표7[[#This Row],[종목코드]],krxData_재무!$A$6:$M$2805,10,0),"-")</f>
        <v>27514</v>
      </c>
      <c r="H6">
        <f>IFERROR(VLOOKUP(표7[[#This Row],[종목코드]],krxData_재무!$A$6:$M$2805,7,0),"-")</f>
        <v>6.94</v>
      </c>
      <c r="I6">
        <f>IFERROR(VLOOKUP(표7[[#This Row],[종목코드]],krxData_재무!$A$6:$M$2805,11,0),"-")</f>
        <v>0.44</v>
      </c>
      <c r="J6">
        <f>IFERROR(VLOOKUP(표7[[#This Row],[종목코드]],krxData_재무!$A$6:$M$2805,13,0),"-")</f>
        <v>8.24</v>
      </c>
      <c r="K6" t="str">
        <f>IFERROR(VLOOKUP(표7[[#This Row],[종목명]],fnguide!$B$101:$N$1300,3,0),"-")</f>
        <v>-</v>
      </c>
      <c r="L6" t="str">
        <f>IFERROR(VLOOKUP(표7[[#This Row],[종목명]],fnguide!$B$101:$N$1300,6,0),"-")</f>
        <v>-</v>
      </c>
    </row>
    <row r="7" spans="1:12">
      <c r="A7" s="28">
        <v>19440</v>
      </c>
      <c r="B7" t="str">
        <f>IFERROR(VLOOKUP(표7[[#This Row],[종목코드]],krxData_재무!$A$6:$E$2805,2,0),"-")</f>
        <v>세아특수강</v>
      </c>
      <c r="C7">
        <f>IFERROR(VLOOKUP(표7[[#This Row],[종목코드]],pyKrx_Stock!$A$6:$E$262,3,0),"-")</f>
        <v>6.25</v>
      </c>
      <c r="D7">
        <f>IFERROR(VLOOKUP(표7[[#This Row],[종목코드]],pyKrx_Stock!$A$6:$E$262,4,0),"-")</f>
        <v>0.34</v>
      </c>
      <c r="E7">
        <f>IFERROR(VLOOKUP(표7[[#This Row],[종목코드]],pyKrx_Stock!$A$6:$E$262,5,0),"-")</f>
        <v>7.33</v>
      </c>
      <c r="F7">
        <f>IFERROR(VLOOKUP(표7[[#This Row],[종목코드]],krxData_재무!$A$6:$M$2805,6,0),"-")</f>
        <v>2185</v>
      </c>
      <c r="G7">
        <f>IFERROR(VLOOKUP(표7[[#This Row],[종목코드]],krxData_재무!$A$6:$M$2805,10,0),"-")</f>
        <v>40593</v>
      </c>
      <c r="H7">
        <f>IFERROR(VLOOKUP(표7[[#This Row],[종목코드]],krxData_재무!$A$6:$M$2805,7,0),"-")</f>
        <v>6.27</v>
      </c>
      <c r="I7">
        <f>IFERROR(VLOOKUP(표7[[#This Row],[종목코드]],krxData_재무!$A$6:$M$2805,11,0),"-")</f>
        <v>0.34</v>
      </c>
      <c r="J7">
        <f>IFERROR(VLOOKUP(표7[[#This Row],[종목코드]],krxData_재무!$A$6:$M$2805,13,0),"-")</f>
        <v>7.3</v>
      </c>
      <c r="K7" t="str">
        <f>IFERROR(VLOOKUP(표7[[#This Row],[종목명]],fnguide!$B$101:$N$1300,3,0),"-")</f>
        <v>-</v>
      </c>
      <c r="L7" t="str">
        <f>IFERROR(VLOOKUP(표7[[#This Row],[종목명]],fnguide!$B$101:$N$1300,6,0),"-")</f>
        <v>-</v>
      </c>
    </row>
    <row r="8" spans="1:12">
      <c r="A8" s="28">
        <v>10950</v>
      </c>
      <c r="B8" t="str">
        <f>IFERROR(VLOOKUP(표7[[#This Row],[종목코드]],krxData_재무!$A$6:$E$2805,2,0),"-")</f>
        <v>S-Oil</v>
      </c>
      <c r="C8" t="str">
        <f>IFERROR(VLOOKUP(표7[[#This Row],[종목코드]],pyKrx_Stock!$A$6:$E$262,3,0),"-")</f>
        <v>-</v>
      </c>
      <c r="D8" t="str">
        <f>IFERROR(VLOOKUP(표7[[#This Row],[종목코드]],pyKrx_Stock!$A$6:$E$262,4,0),"-")</f>
        <v>-</v>
      </c>
      <c r="E8" t="str">
        <f>IFERROR(VLOOKUP(표7[[#This Row],[종목코드]],pyKrx_Stock!$A$6:$E$262,5,0),"-")</f>
        <v>-</v>
      </c>
      <c r="F8">
        <f>IFERROR(VLOOKUP(표7[[#This Row],[종목코드]],krxData_재무!$A$6:$M$2805,6,0),"-")</f>
        <v>18075</v>
      </c>
      <c r="G8">
        <f>IFERROR(VLOOKUP(표7[[#This Row],[종목코드]],krxData_재무!$A$6:$M$2805,10,0),"-")</f>
        <v>75353</v>
      </c>
      <c r="H8">
        <f>IFERROR(VLOOKUP(표7[[#This Row],[종목코드]],krxData_재무!$A$6:$M$2805,7,0),"-")</f>
        <v>4.3899999999999997</v>
      </c>
      <c r="I8">
        <f>IFERROR(VLOOKUP(표7[[#This Row],[종목코드]],krxData_재무!$A$6:$M$2805,11,0),"-")</f>
        <v>1.05</v>
      </c>
      <c r="J8">
        <f>IFERROR(VLOOKUP(표7[[#This Row],[종목코드]],krxData_재무!$A$6:$M$2805,13,0),"-")</f>
        <v>6.94</v>
      </c>
      <c r="K8" t="str">
        <f>IFERROR(VLOOKUP(표7[[#This Row],[종목명]],fnguide!$B$101:$N$1300,3,0),"-")</f>
        <v>-</v>
      </c>
      <c r="L8" t="str">
        <f>IFERROR(VLOOKUP(표7[[#This Row],[종목명]],fnguide!$B$101:$N$1300,6,0),"-")</f>
        <v>-</v>
      </c>
    </row>
    <row r="9" spans="1:12">
      <c r="A9" s="28">
        <v>3410</v>
      </c>
      <c r="B9" t="str">
        <f>IFERROR(VLOOKUP(표7[[#This Row],[종목코드]],krxData_재무!$A$6:$E$2805,2,0),"-")</f>
        <v>쌍용C&amp;E</v>
      </c>
      <c r="C9" t="str">
        <f>IFERROR(VLOOKUP(표7[[#This Row],[종목코드]],pyKrx_Stock!$A$6:$E$262,3,0),"-")</f>
        <v>-</v>
      </c>
      <c r="D9" t="str">
        <f>IFERROR(VLOOKUP(표7[[#This Row],[종목코드]],pyKrx_Stock!$A$6:$E$262,4,0),"-")</f>
        <v>-</v>
      </c>
      <c r="E9" t="str">
        <f>IFERROR(VLOOKUP(표7[[#This Row],[종목코드]],pyKrx_Stock!$A$6:$E$262,5,0),"-")</f>
        <v>-</v>
      </c>
      <c r="F9">
        <f>IFERROR(VLOOKUP(표7[[#This Row],[종목코드]],krxData_재무!$A$6:$M$2805,6,0),"-")</f>
        <v>254</v>
      </c>
      <c r="G9">
        <f>IFERROR(VLOOKUP(표7[[#This Row],[종목코드]],krxData_재무!$A$6:$M$2805,10,0),"-")</f>
        <v>3172</v>
      </c>
      <c r="H9">
        <f>IFERROR(VLOOKUP(표7[[#This Row],[종목코드]],krxData_재무!$A$6:$M$2805,7,0),"-")</f>
        <v>27.56</v>
      </c>
      <c r="I9">
        <f>IFERROR(VLOOKUP(표7[[#This Row],[종목코드]],krxData_재무!$A$6:$M$2805,11,0),"-")</f>
        <v>2.21</v>
      </c>
      <c r="J9">
        <f>IFERROR(VLOOKUP(표7[[#This Row],[종목코드]],krxData_재무!$A$6:$M$2805,13,0),"-")</f>
        <v>6.29</v>
      </c>
      <c r="K9" t="str">
        <f>IFERROR(VLOOKUP(표7[[#This Row],[종목명]],fnguide!$B$101:$N$1300,3,0),"-")</f>
        <v>-</v>
      </c>
      <c r="L9" t="str">
        <f>IFERROR(VLOOKUP(표7[[#This Row],[종목명]],fnguide!$B$101:$N$1300,6,0),"-")</f>
        <v>-</v>
      </c>
    </row>
    <row r="10" spans="1:12">
      <c r="A10" s="28">
        <v>78000</v>
      </c>
      <c r="B10" t="str">
        <f>IFERROR(VLOOKUP(표7[[#This Row],[종목코드]],krxData_재무!$A$6:$E$2805,2,0),"-")</f>
        <v>텔코웨어</v>
      </c>
      <c r="C10">
        <f>IFERROR(VLOOKUP(표7[[#This Row],[종목코드]],pyKrx_Stock!$A$6:$E$262,3,0),"-")</f>
        <v>15.48</v>
      </c>
      <c r="D10">
        <f>IFERROR(VLOOKUP(표7[[#This Row],[종목코드]],pyKrx_Stock!$A$6:$E$262,4,0),"-")</f>
        <v>0.54</v>
      </c>
      <c r="E10">
        <f>IFERROR(VLOOKUP(표7[[#This Row],[종목코드]],pyKrx_Stock!$A$6:$E$262,5,0),"-")</f>
        <v>5.63</v>
      </c>
      <c r="F10">
        <f>IFERROR(VLOOKUP(표7[[#This Row],[종목코드]],krxData_재무!$A$6:$M$2805,6,0),"-")</f>
        <v>688</v>
      </c>
      <c r="G10">
        <f>IFERROR(VLOOKUP(표7[[#This Row],[종목코드]],krxData_재무!$A$6:$M$2805,10,0),"-")</f>
        <v>19820</v>
      </c>
      <c r="H10">
        <f>IFERROR(VLOOKUP(표7[[#This Row],[종목코드]],krxData_재무!$A$6:$M$2805,7,0),"-")</f>
        <v>15.58</v>
      </c>
      <c r="I10">
        <f>IFERROR(VLOOKUP(표7[[#This Row],[종목코드]],krxData_재무!$A$6:$M$2805,11,0),"-")</f>
        <v>0.54</v>
      </c>
      <c r="J10">
        <f>IFERROR(VLOOKUP(표7[[#This Row],[종목코드]],krxData_재무!$A$6:$M$2805,13,0),"-")</f>
        <v>5.6</v>
      </c>
      <c r="K10">
        <f>IFERROR(VLOOKUP(표7[[#This Row],[종목명]],fnguide!$B$101:$N$1300,3,0),"-")</f>
        <v>18.43</v>
      </c>
      <c r="L10">
        <f>IFERROR(VLOOKUP(표7[[#This Row],[종목명]],fnguide!$B$101:$N$1300,6,0),"-")</f>
        <v>109.99</v>
      </c>
    </row>
    <row r="11" spans="1:12">
      <c r="A11" s="28">
        <v>5940</v>
      </c>
      <c r="B11" t="str">
        <f>IFERROR(VLOOKUP(표7[[#This Row],[종목코드]],krxData_재무!$A$6:$E$2805,2,0),"-")</f>
        <v>NH투자증권</v>
      </c>
      <c r="C11">
        <f>IFERROR(VLOOKUP(표7[[#This Row],[종목코드]],pyKrx_Stock!$A$6:$E$262,3,0),"-")</f>
        <v>14.82</v>
      </c>
      <c r="D11">
        <f>IFERROR(VLOOKUP(표7[[#This Row],[종목코드]],pyKrx_Stock!$A$6:$E$262,4,0),"-")</f>
        <v>0.6</v>
      </c>
      <c r="E11">
        <f>IFERROR(VLOOKUP(표7[[#This Row],[종목코드]],pyKrx_Stock!$A$6:$E$262,5,0),"-")</f>
        <v>5.36</v>
      </c>
      <c r="F11">
        <f>IFERROR(VLOOKUP(표7[[#This Row],[종목코드]],krxData_재무!$A$6:$M$2805,6,0),"-")</f>
        <v>881</v>
      </c>
      <c r="G11">
        <f>IFERROR(VLOOKUP(표7[[#This Row],[종목코드]],krxData_재무!$A$6:$M$2805,10,0),"-")</f>
        <v>21824</v>
      </c>
      <c r="H11">
        <f>IFERROR(VLOOKUP(표7[[#This Row],[종목코드]],krxData_재무!$A$6:$M$2805,7,0),"-")</f>
        <v>14.63</v>
      </c>
      <c r="I11">
        <f>IFERROR(VLOOKUP(표7[[#This Row],[종목코드]],krxData_재무!$A$6:$M$2805,11,0),"-")</f>
        <v>0.59</v>
      </c>
      <c r="J11">
        <f>IFERROR(VLOOKUP(표7[[#This Row],[종목코드]],krxData_재무!$A$6:$M$2805,13,0),"-")</f>
        <v>5.43</v>
      </c>
      <c r="K11">
        <f>IFERROR(VLOOKUP(표7[[#This Row],[종목명]],fnguide!$B$101:$N$1300,3,0),"-")</f>
        <v>652.17999999999995</v>
      </c>
      <c r="L11">
        <f>IFERROR(VLOOKUP(표7[[#This Row],[종목명]],fnguide!$B$101:$N$1300,6,0),"-")</f>
        <v>26.11</v>
      </c>
    </row>
    <row r="12" spans="1:12">
      <c r="A12" s="28">
        <v>11560</v>
      </c>
      <c r="B12" t="str">
        <f>IFERROR(VLOOKUP(표7[[#This Row],[종목코드]],krxData_재무!$A$6:$E$2805,2,0),"-")</f>
        <v>세보엠이씨</v>
      </c>
      <c r="C12">
        <f>IFERROR(VLOOKUP(표7[[#This Row],[종목코드]],pyKrx_Stock!$A$6:$E$262,3,0),"-")</f>
        <v>4.0199999999999996</v>
      </c>
      <c r="D12">
        <f>IFERROR(VLOOKUP(표7[[#This Row],[종목코드]],pyKrx_Stock!$A$6:$E$262,4,0),"-")</f>
        <v>0.52</v>
      </c>
      <c r="E12">
        <f>IFERROR(VLOOKUP(표7[[#This Row],[종목코드]],pyKrx_Stock!$A$6:$E$262,5,0),"-")</f>
        <v>5.27</v>
      </c>
      <c r="F12">
        <f>IFERROR(VLOOKUP(표7[[#This Row],[종목코드]],krxData_재무!$A$6:$M$2805,6,0),"-")</f>
        <v>2361</v>
      </c>
      <c r="G12">
        <f>IFERROR(VLOOKUP(표7[[#This Row],[종목코드]],krxData_재무!$A$6:$M$2805,10,0),"-")</f>
        <v>18328</v>
      </c>
      <c r="H12">
        <f>IFERROR(VLOOKUP(표7[[#This Row],[종목코드]],krxData_재무!$A$6:$M$2805,7,0),"-")</f>
        <v>4</v>
      </c>
      <c r="I12">
        <f>IFERROR(VLOOKUP(표7[[#This Row],[종목코드]],krxData_재무!$A$6:$M$2805,11,0),"-")</f>
        <v>0.52</v>
      </c>
      <c r="J12">
        <f>IFERROR(VLOOKUP(표7[[#This Row],[종목코드]],krxData_재무!$A$6:$M$2805,13,0),"-")</f>
        <v>5.29</v>
      </c>
      <c r="K12" t="str">
        <f>IFERROR(VLOOKUP(표7[[#This Row],[종목명]],fnguide!$B$101:$N$1300,3,0),"-")</f>
        <v>-</v>
      </c>
      <c r="L12" t="str">
        <f>IFERROR(VLOOKUP(표7[[#This Row],[종목명]],fnguide!$B$101:$N$1300,6,0),"-")</f>
        <v>-</v>
      </c>
    </row>
    <row r="13" spans="1:12">
      <c r="A13" s="28">
        <v>9680</v>
      </c>
      <c r="B13" t="str">
        <f>IFERROR(VLOOKUP(표7[[#This Row],[종목코드]],krxData_재무!$A$6:$E$2805,2,0),"-")</f>
        <v>모토닉</v>
      </c>
      <c r="C13">
        <f>IFERROR(VLOOKUP(표7[[#This Row],[종목코드]],pyKrx_Stock!$A$6:$E$262,3,0),"-")</f>
        <v>8.2100000000000009</v>
      </c>
      <c r="D13">
        <f>IFERROR(VLOOKUP(표7[[#This Row],[종목코드]],pyKrx_Stock!$A$6:$E$262,4,0),"-")</f>
        <v>0.41</v>
      </c>
      <c r="E13">
        <f>IFERROR(VLOOKUP(표7[[#This Row],[종목코드]],pyKrx_Stock!$A$6:$E$262,5,0),"-")</f>
        <v>4.93</v>
      </c>
      <c r="F13">
        <f>IFERROR(VLOOKUP(표7[[#This Row],[종목코드]],krxData_재무!$A$6:$M$2805,6,0),"-")</f>
        <v>988</v>
      </c>
      <c r="G13">
        <f>IFERROR(VLOOKUP(표7[[#This Row],[종목코드]],krxData_재무!$A$6:$M$2805,10,0),"-")</f>
        <v>19912</v>
      </c>
      <c r="H13">
        <f>IFERROR(VLOOKUP(표7[[#This Row],[종목코드]],krxData_재무!$A$6:$M$2805,7,0),"-")</f>
        <v>8.27</v>
      </c>
      <c r="I13">
        <f>IFERROR(VLOOKUP(표7[[#This Row],[종목코드]],krxData_재무!$A$6:$M$2805,11,0),"-")</f>
        <v>0.41</v>
      </c>
      <c r="J13">
        <f>IFERROR(VLOOKUP(표7[[#This Row],[종목코드]],krxData_재무!$A$6:$M$2805,13,0),"-")</f>
        <v>4.9000000000000004</v>
      </c>
      <c r="K13">
        <f>IFERROR(VLOOKUP(표7[[#This Row],[종목명]],fnguide!$B$101:$N$1300,3,0),"-")</f>
        <v>7.45</v>
      </c>
      <c r="L13">
        <f>IFERROR(VLOOKUP(표7[[#This Row],[종목명]],fnguide!$B$101:$N$1300,6,0),"-")</f>
        <v>52.09</v>
      </c>
    </row>
    <row r="14" spans="1:12">
      <c r="A14" s="28">
        <v>33920</v>
      </c>
      <c r="B14" t="str">
        <f>IFERROR(VLOOKUP(표7[[#This Row],[종목코드]],krxData_재무!$A$6:$E$2805,2,0),"-")</f>
        <v>무학</v>
      </c>
      <c r="C14" t="str">
        <f>IFERROR(VLOOKUP(표7[[#This Row],[종목코드]],pyKrx_Stock!$A$6:$E$262,3,0),"-")</f>
        <v>-</v>
      </c>
      <c r="D14" t="str">
        <f>IFERROR(VLOOKUP(표7[[#This Row],[종목코드]],pyKrx_Stock!$A$6:$E$262,4,0),"-")</f>
        <v>-</v>
      </c>
      <c r="E14" t="str">
        <f>IFERROR(VLOOKUP(표7[[#This Row],[종목코드]],pyKrx_Stock!$A$6:$E$262,5,0),"-")</f>
        <v>-</v>
      </c>
      <c r="F14" t="str">
        <f>IFERROR(VLOOKUP(표7[[#This Row],[종목코드]],krxData_재무!$A$6:$M$2805,6,0),"-")</f>
        <v>-</v>
      </c>
      <c r="G14">
        <f>IFERROR(VLOOKUP(표7[[#This Row],[종목코드]],krxData_재무!$A$6:$M$2805,10,0),"-")</f>
        <v>18143</v>
      </c>
      <c r="H14" t="str">
        <f>IFERROR(VLOOKUP(표7[[#This Row],[종목코드]],krxData_재무!$A$6:$M$2805,7,0),"-")</f>
        <v>-</v>
      </c>
      <c r="I14">
        <f>IFERROR(VLOOKUP(표7[[#This Row],[종목코드]],krxData_재무!$A$6:$M$2805,11,0),"-")</f>
        <v>0.28000000000000003</v>
      </c>
      <c r="J14">
        <f>IFERROR(VLOOKUP(표7[[#This Row],[종목코드]],krxData_재무!$A$6:$M$2805,13,0),"-")</f>
        <v>4.54</v>
      </c>
      <c r="K14" t="str">
        <f>IFERROR(VLOOKUP(표7[[#This Row],[종목명]],fnguide!$B$101:$N$1300,3,0),"-")</f>
        <v>-</v>
      </c>
      <c r="L14" t="str">
        <f>IFERROR(VLOOKUP(표7[[#This Row],[종목명]],fnguide!$B$101:$N$1300,6,0),"-")</f>
        <v>-</v>
      </c>
    </row>
    <row r="15" spans="1:12">
      <c r="A15" s="28">
        <v>55550</v>
      </c>
      <c r="B15" t="str">
        <f>IFERROR(VLOOKUP(표7[[#This Row],[종목코드]],krxData_재무!$A$6:$E$2805,2,0),"-")</f>
        <v>신한지주</v>
      </c>
      <c r="C15">
        <f>IFERROR(VLOOKUP(표7[[#This Row],[종목코드]],pyKrx_Stock!$A$6:$E$262,3,0),"-")</f>
        <v>6.09</v>
      </c>
      <c r="D15">
        <f>IFERROR(VLOOKUP(표7[[#This Row],[종목코드]],pyKrx_Stock!$A$6:$E$262,4,0),"-")</f>
        <v>0.54</v>
      </c>
      <c r="E15">
        <f>IFERROR(VLOOKUP(표7[[#This Row],[종목코드]],pyKrx_Stock!$A$6:$E$262,5,0),"-")</f>
        <v>4.01</v>
      </c>
      <c r="F15">
        <f>IFERROR(VLOOKUP(표7[[#This Row],[종목코드]],krxData_재무!$A$6:$M$2805,6,0),"-")</f>
        <v>8454</v>
      </c>
      <c r="G15">
        <f>IFERROR(VLOOKUP(표7[[#This Row],[종목코드]],krxData_재무!$A$6:$M$2805,10,0),"-")</f>
        <v>95206</v>
      </c>
      <c r="H15">
        <f>IFERROR(VLOOKUP(표7[[#This Row],[종목코드]],krxData_재무!$A$6:$M$2805,7,0),"-")</f>
        <v>5.87</v>
      </c>
      <c r="I15">
        <f>IFERROR(VLOOKUP(표7[[#This Row],[종목코드]],krxData_재무!$A$6:$M$2805,11,0),"-")</f>
        <v>0.52</v>
      </c>
      <c r="J15">
        <f>IFERROR(VLOOKUP(표7[[#This Row],[종목코드]],krxData_재무!$A$6:$M$2805,13,0),"-")</f>
        <v>4.16</v>
      </c>
      <c r="K15">
        <f>IFERROR(VLOOKUP(표7[[#This Row],[종목명]],fnguide!$B$101:$N$1300,3,0),"-")</f>
        <v>42.88</v>
      </c>
      <c r="L15">
        <f>IFERROR(VLOOKUP(표7[[#This Row],[종목명]],fnguide!$B$101:$N$1300,6,0),"-")</f>
        <v>36.58</v>
      </c>
    </row>
    <row r="16" spans="1:12">
      <c r="A16" s="28">
        <v>16360</v>
      </c>
      <c r="B16" t="str">
        <f>IFERROR(VLOOKUP(표7[[#This Row],[종목코드]],krxData_재무!$A$6:$E$2805,2,0),"-")</f>
        <v>삼성증권</v>
      </c>
      <c r="C16">
        <f>IFERROR(VLOOKUP(표7[[#This Row],[종목코드]],pyKrx_Stock!$A$6:$E$262,3,0),"-")</f>
        <v>8.8699999999999992</v>
      </c>
      <c r="D16">
        <f>IFERROR(VLOOKUP(표7[[#This Row],[종목코드]],pyKrx_Stock!$A$6:$E$262,4,0),"-")</f>
        <v>0.6</v>
      </c>
      <c r="E16">
        <f>IFERROR(VLOOKUP(표7[[#This Row],[종목코드]],pyKrx_Stock!$A$6:$E$262,5,0),"-")</f>
        <v>4.05</v>
      </c>
      <c r="F16">
        <f>IFERROR(VLOOKUP(표7[[#This Row],[종목코드]],krxData_재무!$A$6:$M$2805,6,0),"-")</f>
        <v>4730</v>
      </c>
      <c r="G16">
        <f>IFERROR(VLOOKUP(표7[[#This Row],[종목코드]],krxData_재무!$A$6:$M$2805,10,0),"-")</f>
        <v>69383</v>
      </c>
      <c r="H16">
        <f>IFERROR(VLOOKUP(표7[[#This Row],[종목코드]],krxData_재무!$A$6:$M$2805,7,0),"-")</f>
        <v>8.68</v>
      </c>
      <c r="I16">
        <f>IFERROR(VLOOKUP(표7[[#This Row],[종목코드]],krxData_재무!$A$6:$M$2805,11,0),"-")</f>
        <v>0.59</v>
      </c>
      <c r="J16">
        <f>IFERROR(VLOOKUP(표7[[#This Row],[종목코드]],krxData_재무!$A$6:$M$2805,13,0),"-")</f>
        <v>4.1399999999999997</v>
      </c>
      <c r="K16" t="str">
        <f>IFERROR(VLOOKUP(표7[[#This Row],[종목명]],fnguide!$B$101:$N$1300,3,0),"-")</f>
        <v>-</v>
      </c>
      <c r="L16" t="str">
        <f>IFERROR(VLOOKUP(표7[[#This Row],[종목명]],fnguide!$B$101:$N$1300,6,0),"-")</f>
        <v>-</v>
      </c>
    </row>
    <row r="17" spans="1:12">
      <c r="A17" s="28">
        <v>58860</v>
      </c>
      <c r="B17" t="str">
        <f>IFERROR(VLOOKUP(표7[[#This Row],[종목코드]],krxData_재무!$A$6:$E$2805,2,0),"-")</f>
        <v>KTis</v>
      </c>
      <c r="C17">
        <f>IFERROR(VLOOKUP(표7[[#This Row],[종목코드]],pyKrx_Stock!$A$6:$E$262,3,0),"-")</f>
        <v>5.9</v>
      </c>
      <c r="D17">
        <f>IFERROR(VLOOKUP(표7[[#This Row],[종목코드]],pyKrx_Stock!$A$6:$E$262,4,0),"-")</f>
        <v>0.46</v>
      </c>
      <c r="E17">
        <f>IFERROR(VLOOKUP(표7[[#This Row],[종목코드]],pyKrx_Stock!$A$6:$E$262,5,0),"-")</f>
        <v>4.0599999999999996</v>
      </c>
      <c r="F17">
        <f>IFERROR(VLOOKUP(표7[[#This Row],[종목코드]],krxData_재무!$A$6:$M$2805,6,0),"-")</f>
        <v>501</v>
      </c>
      <c r="G17">
        <f>IFERROR(VLOOKUP(표7[[#This Row],[종목코드]],krxData_재무!$A$6:$M$2805,10,0),"-")</f>
        <v>6434</v>
      </c>
      <c r="H17">
        <f>IFERROR(VLOOKUP(표7[[#This Row],[종목코드]],krxData_재무!$A$6:$M$2805,7,0),"-")</f>
        <v>5.87</v>
      </c>
      <c r="I17">
        <f>IFERROR(VLOOKUP(표7[[#This Row],[종목코드]],krxData_재무!$A$6:$M$2805,11,0),"-")</f>
        <v>0.46</v>
      </c>
      <c r="J17">
        <f>IFERROR(VLOOKUP(표7[[#This Row],[종목코드]],krxData_재무!$A$6:$M$2805,13,0),"-")</f>
        <v>4.08</v>
      </c>
      <c r="K17">
        <f>IFERROR(VLOOKUP(표7[[#This Row],[종목명]],fnguide!$B$101:$N$1300,3,0),"-")</f>
        <v>119.32</v>
      </c>
      <c r="L17">
        <f>IFERROR(VLOOKUP(표7[[#This Row],[종목명]],fnguide!$B$101:$N$1300,6,0),"-")</f>
        <v>-12.53</v>
      </c>
    </row>
    <row r="18" spans="1:12">
      <c r="A18" s="28">
        <v>7590</v>
      </c>
      <c r="B18" t="str">
        <f>IFERROR(VLOOKUP(표7[[#This Row],[종목코드]],krxData_재무!$A$6:$E$2805,2,0),"-")</f>
        <v>동방아그로</v>
      </c>
      <c r="C18">
        <f>IFERROR(VLOOKUP(표7[[#This Row],[종목코드]],pyKrx_Stock!$A$6:$E$262,3,0),"-")</f>
        <v>11.5</v>
      </c>
      <c r="D18">
        <f>IFERROR(VLOOKUP(표7[[#This Row],[종목코드]],pyKrx_Stock!$A$6:$E$262,4,0),"-")</f>
        <v>0.52</v>
      </c>
      <c r="E18">
        <f>IFERROR(VLOOKUP(표7[[#This Row],[종목코드]],pyKrx_Stock!$A$6:$E$262,5,0),"-")</f>
        <v>3.98</v>
      </c>
      <c r="F18">
        <f>IFERROR(VLOOKUP(표7[[#This Row],[종목코드]],krxData_재무!$A$6:$M$2805,6,0),"-")</f>
        <v>546</v>
      </c>
      <c r="G18">
        <f>IFERROR(VLOOKUP(표7[[#This Row],[종목코드]],krxData_재무!$A$6:$M$2805,10,0),"-")</f>
        <v>12112</v>
      </c>
      <c r="H18">
        <f>IFERROR(VLOOKUP(표7[[#This Row],[종목코드]],krxData_재무!$A$6:$M$2805,7,0),"-")</f>
        <v>11.56</v>
      </c>
      <c r="I18">
        <f>IFERROR(VLOOKUP(표7[[#This Row],[종목코드]],krxData_재무!$A$6:$M$2805,11,0),"-")</f>
        <v>0.52</v>
      </c>
      <c r="J18">
        <f>IFERROR(VLOOKUP(표7[[#This Row],[종목코드]],krxData_재무!$A$6:$M$2805,13,0),"-")</f>
        <v>3.96</v>
      </c>
      <c r="K18">
        <f>IFERROR(VLOOKUP(표7[[#This Row],[종목명]],fnguide!$B$101:$N$1300,3,0),"-")</f>
        <v>40.49</v>
      </c>
      <c r="L18">
        <f>IFERROR(VLOOKUP(표7[[#This Row],[종목명]],fnguide!$B$101:$N$1300,6,0),"-")</f>
        <v>78.95</v>
      </c>
    </row>
    <row r="19" spans="1:12">
      <c r="A19" s="28">
        <v>390</v>
      </c>
      <c r="B19" t="str">
        <f>IFERROR(VLOOKUP(표7[[#This Row],[종목코드]],krxData_재무!$A$6:$E$2805,2,0),"-")</f>
        <v>삼화페인트</v>
      </c>
      <c r="C19" t="str">
        <f>IFERROR(VLOOKUP(표7[[#This Row],[종목코드]],pyKrx_Stock!$A$6:$E$262,3,0),"-")</f>
        <v>-</v>
      </c>
      <c r="D19" t="str">
        <f>IFERROR(VLOOKUP(표7[[#This Row],[종목코드]],pyKrx_Stock!$A$6:$E$262,4,0),"-")</f>
        <v>-</v>
      </c>
      <c r="E19" t="str">
        <f>IFERROR(VLOOKUP(표7[[#This Row],[종목코드]],pyKrx_Stock!$A$6:$E$262,5,0),"-")</f>
        <v>-</v>
      </c>
      <c r="F19">
        <f>IFERROR(VLOOKUP(표7[[#This Row],[종목코드]],krxData_재무!$A$6:$M$2805,6,0),"-")</f>
        <v>237</v>
      </c>
      <c r="G19">
        <f>IFERROR(VLOOKUP(표7[[#This Row],[종목코드]],krxData_재무!$A$6:$M$2805,10,0),"-")</f>
        <v>12654</v>
      </c>
      <c r="H19">
        <f>IFERROR(VLOOKUP(표7[[#This Row],[종목코드]],krxData_재무!$A$6:$M$2805,7,0),"-")</f>
        <v>27.59</v>
      </c>
      <c r="I19">
        <f>IFERROR(VLOOKUP(표7[[#This Row],[종목코드]],krxData_재무!$A$6:$M$2805,11,0),"-")</f>
        <v>0.52</v>
      </c>
      <c r="J19">
        <f>IFERROR(VLOOKUP(표7[[#This Row],[종목코드]],krxData_재무!$A$6:$M$2805,13,0),"-")</f>
        <v>3.82</v>
      </c>
      <c r="K19" t="str">
        <f>IFERROR(VLOOKUP(표7[[#This Row],[종목명]],fnguide!$B$101:$N$1300,3,0),"-")</f>
        <v>-</v>
      </c>
      <c r="L19" t="str">
        <f>IFERROR(VLOOKUP(표7[[#This Row],[종목명]],fnguide!$B$101:$N$1300,6,0),"-")</f>
        <v>-</v>
      </c>
    </row>
    <row r="20" spans="1:12">
      <c r="A20" s="28">
        <v>91700</v>
      </c>
      <c r="B20" t="str">
        <f>IFERROR(VLOOKUP(표7[[#This Row],[종목코드]],krxData_재무!$A$6:$E$2805,2,0),"-")</f>
        <v>파트론</v>
      </c>
      <c r="C20">
        <f>IFERROR(VLOOKUP(표7[[#This Row],[종목코드]],pyKrx_Stock!$A$6:$E$262,3,0),"-")</f>
        <v>11.41</v>
      </c>
      <c r="D20">
        <f>IFERROR(VLOOKUP(표7[[#This Row],[종목코드]],pyKrx_Stock!$A$6:$E$262,4,0),"-")</f>
        <v>0.91</v>
      </c>
      <c r="E20">
        <f>IFERROR(VLOOKUP(표7[[#This Row],[종목코드]],pyKrx_Stock!$A$6:$E$262,5,0),"-")</f>
        <v>3.75</v>
      </c>
      <c r="F20">
        <f>IFERROR(VLOOKUP(표7[[#This Row],[종목코드]],krxData_재무!$A$6:$M$2805,6,0),"-")</f>
        <v>700</v>
      </c>
      <c r="G20">
        <f>IFERROR(VLOOKUP(표7[[#This Row],[종목코드]],krxData_재무!$A$6:$M$2805,10,0),"-")</f>
        <v>8739</v>
      </c>
      <c r="H20">
        <f>IFERROR(VLOOKUP(표7[[#This Row],[종목코드]],krxData_재무!$A$6:$M$2805,7,0),"-")</f>
        <v>11.24</v>
      </c>
      <c r="I20">
        <f>IFERROR(VLOOKUP(표7[[#This Row],[종목코드]],krxData_재무!$A$6:$M$2805,11,0),"-")</f>
        <v>0.9</v>
      </c>
      <c r="J20">
        <f>IFERROR(VLOOKUP(표7[[#This Row],[종목코드]],krxData_재무!$A$6:$M$2805,13,0),"-")</f>
        <v>3.81</v>
      </c>
      <c r="K20" t="str">
        <f>IFERROR(VLOOKUP(표7[[#This Row],[종목명]],fnguide!$B$101:$N$1300,3,0),"-")</f>
        <v>-</v>
      </c>
      <c r="L20" t="str">
        <f>IFERROR(VLOOKUP(표7[[#This Row],[종목명]],fnguide!$B$101:$N$1300,6,0),"-")</f>
        <v>-</v>
      </c>
    </row>
    <row r="21" spans="1:12">
      <c r="A21" s="28">
        <v>45100</v>
      </c>
      <c r="B21" s="54" t="str">
        <f>IFERROR(VLOOKUP(표7[[#This Row],[종목코드]],krxData_재무!$A$6:$E$2805,2,0),"-")</f>
        <v>한양이엔지</v>
      </c>
      <c r="C21" s="54">
        <f>IFERROR(VLOOKUP(표7[[#This Row],[종목코드]],pyKrx_Stock!$A$6:$E$262,3,0),"-")</f>
        <v>4.24</v>
      </c>
      <c r="D21" s="54">
        <f>IFERROR(VLOOKUP(표7[[#This Row],[종목코드]],pyKrx_Stock!$A$6:$E$262,4,0),"-")</f>
        <v>0.62</v>
      </c>
      <c r="E21" s="54">
        <f>IFERROR(VLOOKUP(표7[[#This Row],[종목코드]],pyKrx_Stock!$A$6:$E$262,5,0),"-")</f>
        <v>3.5</v>
      </c>
      <c r="F21" s="54">
        <f>IFERROR(VLOOKUP(표7[[#This Row],[종목코드]],krxData_재무!$A$6:$M$2805,6,0),"-")</f>
        <v>4044</v>
      </c>
      <c r="G21" s="54">
        <f>IFERROR(VLOOKUP(표7[[#This Row],[종목코드]],krxData_재무!$A$6:$M$2805,10,0),"-")</f>
        <v>27595</v>
      </c>
      <c r="H21" s="54">
        <f>IFERROR(VLOOKUP(표7[[#This Row],[종목코드]],krxData_재무!$A$6:$M$2805,7,0),"-")</f>
        <v>4.1500000000000004</v>
      </c>
      <c r="I21" s="54">
        <f>IFERROR(VLOOKUP(표7[[#This Row],[종목코드]],krxData_재무!$A$6:$M$2805,11,0),"-")</f>
        <v>0.61</v>
      </c>
      <c r="J21" s="54">
        <f>IFERROR(VLOOKUP(표7[[#This Row],[종목코드]],krxData_재무!$A$6:$M$2805,13,0),"-")</f>
        <v>3.58</v>
      </c>
      <c r="K21" s="54" t="str">
        <f>IFERROR(VLOOKUP(표7[[#This Row],[종목명]],fnguide!$B$101:$N$1300,3,0),"-")</f>
        <v>-</v>
      </c>
      <c r="L21" s="54" t="str">
        <f>IFERROR(VLOOKUP(표7[[#This Row],[종목명]],fnguide!$B$101:$N$1300,6,0),"-")</f>
        <v>-</v>
      </c>
    </row>
    <row r="22" spans="1:12">
      <c r="A22" s="28">
        <v>56190</v>
      </c>
      <c r="B22" t="str">
        <f>IFERROR(VLOOKUP(표7[[#This Row],[종목코드]],krxData_재무!$A$6:$E$2805,2,0),"-")</f>
        <v>에스에프에이</v>
      </c>
      <c r="C22">
        <f>IFERROR(VLOOKUP(표7[[#This Row],[종목코드]],pyKrx_Stock!$A$6:$E$262,3,0),"-")</f>
        <v>11.91</v>
      </c>
      <c r="D22">
        <f>IFERROR(VLOOKUP(표7[[#This Row],[종목코드]],pyKrx_Stock!$A$6:$E$262,4,0),"-")</f>
        <v>0.82</v>
      </c>
      <c r="E22">
        <f>IFERROR(VLOOKUP(표7[[#This Row],[종목코드]],pyKrx_Stock!$A$6:$E$262,5,0),"-")</f>
        <v>3.3</v>
      </c>
      <c r="F22">
        <f>IFERROR(VLOOKUP(표7[[#This Row],[종목코드]],krxData_재무!$A$6:$M$2805,6,0),"-")</f>
        <v>2213</v>
      </c>
      <c r="G22">
        <f>IFERROR(VLOOKUP(표7[[#This Row],[종목코드]],krxData_재무!$A$6:$M$2805,10,0),"-")</f>
        <v>31974</v>
      </c>
      <c r="H22">
        <f>IFERROR(VLOOKUP(표7[[#This Row],[종목코드]],krxData_재무!$A$6:$M$2805,7,0),"-")</f>
        <v>11.39</v>
      </c>
      <c r="I22">
        <f>IFERROR(VLOOKUP(표7[[#This Row],[종목코드]],krxData_재무!$A$6:$M$2805,11,0),"-")</f>
        <v>0.79</v>
      </c>
      <c r="J22">
        <f>IFERROR(VLOOKUP(표7[[#This Row],[종목코드]],krxData_재무!$A$6:$M$2805,13,0),"-")</f>
        <v>3.45</v>
      </c>
      <c r="K22">
        <f>IFERROR(VLOOKUP(표7[[#This Row],[종목명]],fnguide!$B$101:$N$1300,3,0),"-")</f>
        <v>68.06</v>
      </c>
      <c r="L22">
        <f>IFERROR(VLOOKUP(표7[[#This Row],[종목명]],fnguide!$B$101:$N$1300,6,0),"-")</f>
        <v>-51.83</v>
      </c>
    </row>
    <row r="23" spans="1:12">
      <c r="A23" s="28">
        <v>138070</v>
      </c>
      <c r="B23" t="str">
        <f>IFERROR(VLOOKUP(표7[[#This Row],[종목코드]],krxData_재무!$A$6:$E$2805,2,0),"-")</f>
        <v>신진에스엠</v>
      </c>
      <c r="C23">
        <f>IFERROR(VLOOKUP(표7[[#This Row],[종목코드]],pyKrx_Stock!$A$6:$E$262,3,0),"-")</f>
        <v>11.29</v>
      </c>
      <c r="D23">
        <f>IFERROR(VLOOKUP(표7[[#This Row],[종목코드]],pyKrx_Stock!$A$6:$E$262,4,0),"-")</f>
        <v>0.64</v>
      </c>
      <c r="E23">
        <f>IFERROR(VLOOKUP(표7[[#This Row],[종목코드]],pyKrx_Stock!$A$6:$E$262,5,0),"-")</f>
        <v>3.47</v>
      </c>
      <c r="F23">
        <f>IFERROR(VLOOKUP(표7[[#This Row],[종목코드]],krxData_재무!$A$6:$M$2805,6,0),"-")</f>
        <v>255</v>
      </c>
      <c r="G23">
        <f>IFERROR(VLOOKUP(표7[[#This Row],[종목코드]],krxData_재무!$A$6:$M$2805,10,0),"-")</f>
        <v>4467</v>
      </c>
      <c r="H23">
        <f>IFERROR(VLOOKUP(표7[[#This Row],[종목코드]],krxData_재무!$A$6:$M$2805,7,0),"-")</f>
        <v>11.61</v>
      </c>
      <c r="I23">
        <f>IFERROR(VLOOKUP(표7[[#This Row],[종목코드]],krxData_재무!$A$6:$M$2805,11,0),"-")</f>
        <v>0.66</v>
      </c>
      <c r="J23">
        <f>IFERROR(VLOOKUP(표7[[#This Row],[종목코드]],krxData_재무!$A$6:$M$2805,13,0),"-")</f>
        <v>3.38</v>
      </c>
      <c r="K23">
        <f>IFERROR(VLOOKUP(표7[[#This Row],[종목명]],fnguide!$B$101:$N$1300,3,0),"-")</f>
        <v>28.92</v>
      </c>
      <c r="L23">
        <f>IFERROR(VLOOKUP(표7[[#This Row],[종목명]],fnguide!$B$101:$N$1300,6,0),"-")</f>
        <v>9.7799999999999994</v>
      </c>
    </row>
    <row r="24" spans="1:12">
      <c r="A24" s="28">
        <v>78340</v>
      </c>
      <c r="B24" t="str">
        <f>IFERROR(VLOOKUP(표7[[#This Row],[종목코드]],krxData_재무!$A$6:$E$2805,2,0),"-")</f>
        <v>컴투스</v>
      </c>
      <c r="C24">
        <f>IFERROR(VLOOKUP(표7[[#This Row],[종목코드]],pyKrx_Stock!$A$6:$E$262,3,0),"-")</f>
        <v>14.89</v>
      </c>
      <c r="D24">
        <f>IFERROR(VLOOKUP(표7[[#This Row],[종목코드]],pyKrx_Stock!$A$6:$E$262,4,0),"-")</f>
        <v>0.44</v>
      </c>
      <c r="E24">
        <f>IFERROR(VLOOKUP(표7[[#This Row],[종목코드]],pyKrx_Stock!$A$6:$E$262,5,0),"-")</f>
        <v>3.11</v>
      </c>
      <c r="F24">
        <f>IFERROR(VLOOKUP(표7[[#This Row],[종목코드]],krxData_재무!$A$6:$M$2805,6,0),"-")</f>
        <v>2807</v>
      </c>
      <c r="G24">
        <f>IFERROR(VLOOKUP(표7[[#This Row],[종목코드]],krxData_재무!$A$6:$M$2805,10,0),"-")</f>
        <v>95809</v>
      </c>
      <c r="H24">
        <f>IFERROR(VLOOKUP(표7[[#This Row],[종목코드]],krxData_재무!$A$6:$M$2805,7,0),"-")</f>
        <v>14.64</v>
      </c>
      <c r="I24">
        <f>IFERROR(VLOOKUP(표7[[#This Row],[종목코드]],krxData_재무!$A$6:$M$2805,11,0),"-")</f>
        <v>0.43</v>
      </c>
      <c r="J24">
        <f>IFERROR(VLOOKUP(표7[[#This Row],[종목코드]],krxData_재무!$A$6:$M$2805,13,0),"-")</f>
        <v>3.16</v>
      </c>
      <c r="K24" t="str">
        <f>IFERROR(VLOOKUP(표7[[#This Row],[종목명]],fnguide!$B$101:$N$1300,3,0),"-")</f>
        <v>-</v>
      </c>
      <c r="L24" t="str">
        <f>IFERROR(VLOOKUP(표7[[#This Row],[종목명]],fnguide!$B$101:$N$1300,6,0),"-")</f>
        <v>-</v>
      </c>
    </row>
    <row r="25" spans="1:12">
      <c r="A25" s="28">
        <v>1560</v>
      </c>
      <c r="B25" t="str">
        <f>IFERROR(VLOOKUP(표7[[#This Row],[종목코드]],krxData_재무!$A$6:$E$2805,2,0),"-")</f>
        <v>제일연마</v>
      </c>
      <c r="C25" t="str">
        <f>IFERROR(VLOOKUP(표7[[#This Row],[종목코드]],pyKrx_Stock!$A$6:$E$262,3,0),"-")</f>
        <v>-</v>
      </c>
      <c r="D25" t="str">
        <f>IFERROR(VLOOKUP(표7[[#This Row],[종목코드]],pyKrx_Stock!$A$6:$E$262,4,0),"-")</f>
        <v>-</v>
      </c>
      <c r="E25" t="str">
        <f>IFERROR(VLOOKUP(표7[[#This Row],[종목코드]],pyKrx_Stock!$A$6:$E$262,5,0),"-")</f>
        <v>-</v>
      </c>
      <c r="F25">
        <f>IFERROR(VLOOKUP(표7[[#This Row],[종목코드]],krxData_재무!$A$6:$M$2805,6,0),"-")</f>
        <v>297</v>
      </c>
      <c r="G25">
        <f>IFERROR(VLOOKUP(표7[[#This Row],[종목코드]],krxData_재무!$A$6:$M$2805,10,0),"-")</f>
        <v>12792</v>
      </c>
      <c r="H25">
        <f>IFERROR(VLOOKUP(표7[[#This Row],[종목코드]],krxData_재무!$A$6:$M$2805,7,0),"-")</f>
        <v>29.06</v>
      </c>
      <c r="I25">
        <f>IFERROR(VLOOKUP(표7[[#This Row],[종목코드]],krxData_재무!$A$6:$M$2805,11,0),"-")</f>
        <v>0.67</v>
      </c>
      <c r="J25">
        <f>IFERROR(VLOOKUP(표7[[#This Row],[종목코드]],krxData_재무!$A$6:$M$2805,13,0),"-")</f>
        <v>3.13</v>
      </c>
      <c r="K25" t="str">
        <f>IFERROR(VLOOKUP(표7[[#This Row],[종목명]],fnguide!$B$101:$N$1300,3,0),"-")</f>
        <v>-</v>
      </c>
      <c r="L25" t="str">
        <f>IFERROR(VLOOKUP(표7[[#This Row],[종목명]],fnguide!$B$101:$N$1300,6,0),"-")</f>
        <v>-</v>
      </c>
    </row>
    <row r="26" spans="1:12">
      <c r="A26" s="28">
        <v>32560</v>
      </c>
      <c r="B26" t="str">
        <f>IFERROR(VLOOKUP(표7[[#This Row],[종목코드]],krxData_재무!$A$6:$E$2805,2,0),"-")</f>
        <v>황금에스티</v>
      </c>
      <c r="C26" t="str">
        <f>IFERROR(VLOOKUP(표7[[#This Row],[종목코드]],pyKrx_Stock!$A$6:$E$262,3,0),"-")</f>
        <v>-</v>
      </c>
      <c r="D26" t="str">
        <f>IFERROR(VLOOKUP(표7[[#This Row],[종목코드]],pyKrx_Stock!$A$6:$E$262,4,0),"-")</f>
        <v>-</v>
      </c>
      <c r="E26" t="str">
        <f>IFERROR(VLOOKUP(표7[[#This Row],[종목코드]],pyKrx_Stock!$A$6:$E$262,5,0),"-")</f>
        <v>-</v>
      </c>
      <c r="F26">
        <f>IFERROR(VLOOKUP(표7[[#This Row],[종목코드]],krxData_재무!$A$6:$M$2805,6,0),"-")</f>
        <v>2380</v>
      </c>
      <c r="G26">
        <f>IFERROR(VLOOKUP(표7[[#This Row],[종목코드]],krxData_재무!$A$6:$M$2805,10,0),"-")</f>
        <v>19636</v>
      </c>
      <c r="H26">
        <f>IFERROR(VLOOKUP(표7[[#This Row],[종목코드]],krxData_재무!$A$6:$M$2805,7,0),"-")</f>
        <v>2.93</v>
      </c>
      <c r="I26">
        <f>IFERROR(VLOOKUP(표7[[#This Row],[종목코드]],krxData_재무!$A$6:$M$2805,11,0),"-")</f>
        <v>0.35</v>
      </c>
      <c r="J26">
        <f>IFERROR(VLOOKUP(표7[[#This Row],[종목코드]],krxData_재무!$A$6:$M$2805,13,0),"-")</f>
        <v>2.87</v>
      </c>
      <c r="K26">
        <f>IFERROR(VLOOKUP(표7[[#This Row],[종목명]],fnguide!$B$101:$N$1300,3,0),"-")</f>
        <v>17.86</v>
      </c>
      <c r="L26">
        <f>IFERROR(VLOOKUP(표7[[#This Row],[종목명]],fnguide!$B$101:$N$1300,6,0),"-")</f>
        <v>-9.0500000000000007</v>
      </c>
    </row>
    <row r="27" spans="1:12">
      <c r="A27" s="28">
        <v>5490</v>
      </c>
      <c r="B27" t="str">
        <f>IFERROR(VLOOKUP(표7[[#This Row],[종목코드]],krxData_재무!$A$6:$E$2805,2,0),"-")</f>
        <v>POSCO홀딩스</v>
      </c>
      <c r="C27" t="str">
        <f>IFERROR(VLOOKUP(표7[[#This Row],[종목코드]],pyKrx_Stock!$A$6:$E$262,3,0),"-")</f>
        <v>-</v>
      </c>
      <c r="D27" t="str">
        <f>IFERROR(VLOOKUP(표7[[#This Row],[종목코드]],pyKrx_Stock!$A$6:$E$262,4,0),"-")</f>
        <v>-</v>
      </c>
      <c r="E27" t="str">
        <f>IFERROR(VLOOKUP(표7[[#This Row],[종목코드]],pyKrx_Stock!$A$6:$E$262,5,0),"-")</f>
        <v>-</v>
      </c>
      <c r="F27">
        <f>IFERROR(VLOOKUP(표7[[#This Row],[종목코드]],krxData_재무!$A$6:$M$2805,6,0),"-")</f>
        <v>41456</v>
      </c>
      <c r="G27">
        <f>IFERROR(VLOOKUP(표7[[#This Row],[종목코드]],krxData_재무!$A$6:$M$2805,10,0),"-")</f>
        <v>692323</v>
      </c>
      <c r="H27">
        <f>IFERROR(VLOOKUP(표7[[#This Row],[종목코드]],krxData_재무!$A$6:$M$2805,7,0),"-")</f>
        <v>10.49</v>
      </c>
      <c r="I27">
        <f>IFERROR(VLOOKUP(표7[[#This Row],[종목코드]],krxData_재무!$A$6:$M$2805,11,0),"-")</f>
        <v>0.63</v>
      </c>
      <c r="J27">
        <f>IFERROR(VLOOKUP(표7[[#This Row],[종목코드]],krxData_재무!$A$6:$M$2805,13,0),"-")</f>
        <v>2.76</v>
      </c>
      <c r="K27" t="str">
        <f>IFERROR(VLOOKUP(표7[[#This Row],[종목명]],fnguide!$B$101:$N$1300,3,0),"-")</f>
        <v>-</v>
      </c>
      <c r="L27" t="str">
        <f>IFERROR(VLOOKUP(표7[[#This Row],[종목명]],fnguide!$B$101:$N$1300,6,0),"-")</f>
        <v>-</v>
      </c>
    </row>
    <row r="28" spans="1:12">
      <c r="A28" s="28">
        <v>10060</v>
      </c>
      <c r="B28" t="str">
        <f>IFERROR(VLOOKUP(표7[[#This Row],[종목코드]],krxData_재무!$A$6:$E$2805,2,0),"-")</f>
        <v>OCI홀딩스</v>
      </c>
      <c r="C28" t="str">
        <f>IFERROR(VLOOKUP(표7[[#This Row],[종목코드]],pyKrx_Stock!$A$6:$E$262,3,0),"-")</f>
        <v>-</v>
      </c>
      <c r="D28" t="str">
        <f>IFERROR(VLOOKUP(표7[[#This Row],[종목코드]],pyKrx_Stock!$A$6:$E$262,4,0),"-")</f>
        <v>-</v>
      </c>
      <c r="E28" t="str">
        <f>IFERROR(VLOOKUP(표7[[#This Row],[종목코드]],pyKrx_Stock!$A$6:$E$262,5,0),"-")</f>
        <v>-</v>
      </c>
      <c r="F28">
        <f>IFERROR(VLOOKUP(표7[[#This Row],[종목코드]],krxData_재무!$A$6:$M$2805,6,0),"-")</f>
        <v>36941</v>
      </c>
      <c r="G28">
        <f>IFERROR(VLOOKUP(표7[[#This Row],[종목코드]],krxData_재무!$A$6:$M$2805,10,0),"-")</f>
        <v>166136</v>
      </c>
      <c r="H28">
        <f>IFERROR(VLOOKUP(표7[[#This Row],[종목코드]],krxData_재무!$A$6:$M$2805,7,0),"-")</f>
        <v>2.6</v>
      </c>
      <c r="I28">
        <f>IFERROR(VLOOKUP(표7[[#This Row],[종목코드]],krxData_재무!$A$6:$M$2805,11,0),"-")</f>
        <v>0.57999999999999996</v>
      </c>
      <c r="J28">
        <f>IFERROR(VLOOKUP(표7[[#This Row],[종목코드]],krxData_재무!$A$6:$M$2805,13,0),"-")</f>
        <v>2.61</v>
      </c>
      <c r="K28">
        <f>IFERROR(VLOOKUP(표7[[#This Row],[종목명]],fnguide!$B$101:$N$1300,3,0),"-")</f>
        <v>3.59</v>
      </c>
      <c r="L28">
        <f>IFERROR(VLOOKUP(표7[[#This Row],[종목명]],fnguide!$B$101:$N$1300,6,0),"-")</f>
        <v>343.56</v>
      </c>
    </row>
    <row r="29" spans="1:12">
      <c r="A29" s="28">
        <v>3610</v>
      </c>
      <c r="B29" t="str">
        <f>IFERROR(VLOOKUP(표7[[#This Row],[종목코드]],krxData_재무!$A$6:$E$2805,2,0),"-")</f>
        <v>방림</v>
      </c>
      <c r="C29" t="str">
        <f>IFERROR(VLOOKUP(표7[[#This Row],[종목코드]],pyKrx_Stock!$A$6:$E$262,3,0),"-")</f>
        <v>-</v>
      </c>
      <c r="D29" t="str">
        <f>IFERROR(VLOOKUP(표7[[#This Row],[종목코드]],pyKrx_Stock!$A$6:$E$262,4,0),"-")</f>
        <v>-</v>
      </c>
      <c r="E29" t="str">
        <f>IFERROR(VLOOKUP(표7[[#This Row],[종목코드]],pyKrx_Stock!$A$6:$E$262,5,0),"-")</f>
        <v>-</v>
      </c>
      <c r="F29">
        <f>IFERROR(VLOOKUP(표7[[#This Row],[종목코드]],krxData_재무!$A$6:$M$2805,6,0),"-")</f>
        <v>152</v>
      </c>
      <c r="G29">
        <f>IFERROR(VLOOKUP(표7[[#This Row],[종목코드]],krxData_재무!$A$6:$M$2805,10,0),"-")</f>
        <v>5532</v>
      </c>
      <c r="H29">
        <f>IFERROR(VLOOKUP(표7[[#This Row],[종목코드]],krxData_재무!$A$6:$M$2805,7,0),"-")</f>
        <v>13.62</v>
      </c>
      <c r="I29">
        <f>IFERROR(VLOOKUP(표7[[#This Row],[종목코드]],krxData_재무!$A$6:$M$2805,11,0),"-")</f>
        <v>0.37</v>
      </c>
      <c r="J29">
        <f>IFERROR(VLOOKUP(표7[[#This Row],[종목코드]],krxData_재무!$A$6:$M$2805,13,0),"-")</f>
        <v>2.17</v>
      </c>
      <c r="K29" t="str">
        <f>IFERROR(VLOOKUP(표7[[#This Row],[종목명]],fnguide!$B$101:$N$1300,3,0),"-")</f>
        <v>-</v>
      </c>
      <c r="L29" t="str">
        <f>IFERROR(VLOOKUP(표7[[#This Row],[종목명]],fnguide!$B$101:$N$1300,6,0),"-")</f>
        <v>-</v>
      </c>
    </row>
    <row r="30" spans="1:12">
      <c r="A30" s="28">
        <v>35250</v>
      </c>
      <c r="B30" t="str">
        <f>IFERROR(VLOOKUP(표7[[#This Row],[종목코드]],krxData_재무!$A$6:$E$2805,2,0),"-")</f>
        <v>강원랜드</v>
      </c>
      <c r="C30" t="str">
        <f>IFERROR(VLOOKUP(표7[[#This Row],[종목코드]],pyKrx_Stock!$A$6:$E$262,3,0),"-")</f>
        <v>-</v>
      </c>
      <c r="D30" t="str">
        <f>IFERROR(VLOOKUP(표7[[#This Row],[종목코드]],pyKrx_Stock!$A$6:$E$262,4,0),"-")</f>
        <v>-</v>
      </c>
      <c r="E30" t="str">
        <f>IFERROR(VLOOKUP(표7[[#This Row],[종목코드]],pyKrx_Stock!$A$6:$E$262,5,0),"-")</f>
        <v>-</v>
      </c>
      <c r="F30">
        <f>IFERROR(VLOOKUP(표7[[#This Row],[종목코드]],krxData_재무!$A$6:$M$2805,6,0),"-")</f>
        <v>570</v>
      </c>
      <c r="G30">
        <f>IFERROR(VLOOKUP(표7[[#This Row],[종목코드]],krxData_재무!$A$6:$M$2805,10,0),"-")</f>
        <v>16846</v>
      </c>
      <c r="H30">
        <f>IFERROR(VLOOKUP(표7[[#This Row],[종목코드]],krxData_재무!$A$6:$M$2805,7,0),"-")</f>
        <v>29.12</v>
      </c>
      <c r="I30">
        <f>IFERROR(VLOOKUP(표7[[#This Row],[종목코드]],krxData_재무!$A$6:$M$2805,11,0),"-")</f>
        <v>0.99</v>
      </c>
      <c r="J30">
        <f>IFERROR(VLOOKUP(표7[[#This Row],[종목코드]],krxData_재무!$A$6:$M$2805,13,0),"-")</f>
        <v>2.11</v>
      </c>
      <c r="K30">
        <f>IFERROR(VLOOKUP(표7[[#This Row],[종목명]],fnguide!$B$101:$N$1300,3,0),"-")</f>
        <v>21.86</v>
      </c>
      <c r="L30" t="str">
        <f>IFERROR(VLOOKUP(표7[[#This Row],[종목명]],fnguide!$B$101:$N$1300,6,0),"-")</f>
        <v>흑전</v>
      </c>
    </row>
    <row r="31" spans="1:12">
      <c r="A31" s="28">
        <v>1740</v>
      </c>
      <c r="B31" t="str">
        <f>IFERROR(VLOOKUP(표7[[#This Row],[종목코드]],krxData_재무!$A$6:$E$2805,2,0),"-")</f>
        <v>SK네트웍스</v>
      </c>
      <c r="C31" t="str">
        <f>IFERROR(VLOOKUP(표7[[#This Row],[종목코드]],pyKrx_Stock!$A$6:$E$262,3,0),"-")</f>
        <v>-</v>
      </c>
      <c r="D31" t="str">
        <f>IFERROR(VLOOKUP(표7[[#This Row],[종목코드]],pyKrx_Stock!$A$6:$E$262,4,0),"-")</f>
        <v>-</v>
      </c>
      <c r="E31" t="str">
        <f>IFERROR(VLOOKUP(표7[[#This Row],[종목코드]],pyKrx_Stock!$A$6:$E$262,5,0),"-")</f>
        <v>-</v>
      </c>
      <c r="F31">
        <f>IFERROR(VLOOKUP(표7[[#This Row],[종목코드]],krxData_재무!$A$6:$M$2805,6,0),"-")</f>
        <v>395</v>
      </c>
      <c r="G31">
        <f>IFERROR(VLOOKUP(표7[[#This Row],[종목코드]],krxData_재무!$A$6:$M$2805,10,0),"-")</f>
        <v>10311</v>
      </c>
      <c r="H31">
        <f>IFERROR(VLOOKUP(표7[[#This Row],[종목코드]],krxData_재무!$A$6:$M$2805,7,0),"-")</f>
        <v>15.7</v>
      </c>
      <c r="I31">
        <f>IFERROR(VLOOKUP(표7[[#This Row],[종목코드]],krxData_재무!$A$6:$M$2805,11,0),"-")</f>
        <v>0.6</v>
      </c>
      <c r="J31">
        <f>IFERROR(VLOOKUP(표7[[#This Row],[종목코드]],krxData_재무!$A$6:$M$2805,13,0),"-")</f>
        <v>1.94</v>
      </c>
      <c r="K31" t="str">
        <f>IFERROR(VLOOKUP(표7[[#This Row],[종목명]],fnguide!$B$101:$N$1300,3,0),"-")</f>
        <v>-</v>
      </c>
      <c r="L31" t="str">
        <f>IFERROR(VLOOKUP(표7[[#This Row],[종목명]],fnguide!$B$101:$N$1300,6,0),"-")</f>
        <v>-</v>
      </c>
    </row>
    <row r="32" spans="1:12">
      <c r="A32" s="28">
        <v>5820</v>
      </c>
      <c r="B32" t="str">
        <f>IFERROR(VLOOKUP(표7[[#This Row],[종목코드]],krxData_재무!$A$6:$E$2805,2,0),"-")</f>
        <v>원림</v>
      </c>
      <c r="C32" t="str">
        <f>IFERROR(VLOOKUP(표7[[#This Row],[종목코드]],pyKrx_Stock!$A$6:$E$262,3,0),"-")</f>
        <v>-</v>
      </c>
      <c r="D32" t="str">
        <f>IFERROR(VLOOKUP(표7[[#This Row],[종목코드]],pyKrx_Stock!$A$6:$E$262,4,0),"-")</f>
        <v>-</v>
      </c>
      <c r="E32" t="str">
        <f>IFERROR(VLOOKUP(표7[[#This Row],[종목코드]],pyKrx_Stock!$A$6:$E$262,5,0),"-")</f>
        <v>-</v>
      </c>
      <c r="F32">
        <f>IFERROR(VLOOKUP(표7[[#This Row],[종목코드]],krxData_재무!$A$6:$M$2805,6,0),"-")</f>
        <v>3500</v>
      </c>
      <c r="G32">
        <f>IFERROR(VLOOKUP(표7[[#This Row],[종목코드]],krxData_재무!$A$6:$M$2805,10,0),"-")</f>
        <v>55263</v>
      </c>
      <c r="H32">
        <f>IFERROR(VLOOKUP(표7[[#This Row],[종목코드]],krxData_재무!$A$6:$M$2805,7,0),"-")</f>
        <v>5.38</v>
      </c>
      <c r="I32">
        <f>IFERROR(VLOOKUP(표7[[#This Row],[종목코드]],krxData_재무!$A$6:$M$2805,11,0),"-")</f>
        <v>0.34</v>
      </c>
      <c r="J32">
        <f>IFERROR(VLOOKUP(표7[[#This Row],[종목코드]],krxData_재무!$A$6:$M$2805,13,0),"-")</f>
        <v>1.86</v>
      </c>
      <c r="K32" t="str">
        <f>IFERROR(VLOOKUP(표7[[#This Row],[종목명]],fnguide!$B$101:$N$1300,3,0),"-")</f>
        <v>-</v>
      </c>
      <c r="L32" t="str">
        <f>IFERROR(VLOOKUP(표7[[#This Row],[종목명]],fnguide!$B$101:$N$1300,6,0),"-")</f>
        <v>-</v>
      </c>
    </row>
    <row r="33" spans="1:12">
      <c r="A33" s="28">
        <v>720</v>
      </c>
      <c r="B33" t="str">
        <f>IFERROR(VLOOKUP(표7[[#This Row],[종목코드]],krxData_재무!$A$6:$E$2805,2,0),"-")</f>
        <v>현대건설</v>
      </c>
      <c r="C33" t="str">
        <f>IFERROR(VLOOKUP(표7[[#This Row],[종목코드]],pyKrx_Stock!$A$6:$E$262,3,0),"-")</f>
        <v>-</v>
      </c>
      <c r="D33" t="str">
        <f>IFERROR(VLOOKUP(표7[[#This Row],[종목코드]],pyKrx_Stock!$A$6:$E$262,4,0),"-")</f>
        <v>-</v>
      </c>
      <c r="E33" t="str">
        <f>IFERROR(VLOOKUP(표7[[#This Row],[종목코드]],pyKrx_Stock!$A$6:$E$262,5,0),"-")</f>
        <v>-</v>
      </c>
      <c r="F33">
        <f>IFERROR(VLOOKUP(표7[[#This Row],[종목코드]],krxData_재무!$A$6:$M$2805,6,0),"-")</f>
        <v>3637</v>
      </c>
      <c r="G33">
        <f>IFERROR(VLOOKUP(표7[[#This Row],[종목코드]],krxData_재무!$A$6:$M$2805,10,0),"-")</f>
        <v>69028</v>
      </c>
      <c r="H33">
        <f>IFERROR(VLOOKUP(표7[[#This Row],[종목코드]],krxData_재무!$A$6:$M$2805,7,0),"-")</f>
        <v>9.49</v>
      </c>
      <c r="I33">
        <f>IFERROR(VLOOKUP(표7[[#This Row],[종목코드]],krxData_재무!$A$6:$M$2805,11,0),"-")</f>
        <v>0.5</v>
      </c>
      <c r="J33">
        <f>IFERROR(VLOOKUP(표7[[#This Row],[종목코드]],krxData_재무!$A$6:$M$2805,13,0),"-")</f>
        <v>1.74</v>
      </c>
      <c r="K33">
        <f>IFERROR(VLOOKUP(표7[[#This Row],[종목명]],fnguide!$B$101:$N$1300,3,0),"-")</f>
        <v>123.45</v>
      </c>
      <c r="L33">
        <f>IFERROR(VLOOKUP(표7[[#This Row],[종목명]],fnguide!$B$101:$N$1300,6,0),"-")</f>
        <v>7.37</v>
      </c>
    </row>
    <row r="34" spans="1:12">
      <c r="A34" s="28">
        <v>92460</v>
      </c>
      <c r="B34" t="str">
        <f>IFERROR(VLOOKUP(표7[[#This Row],[종목코드]],krxData_재무!$A$6:$E$2805,2,0),"-")</f>
        <v>한라IMS</v>
      </c>
      <c r="C34" t="str">
        <f>IFERROR(VLOOKUP(표7[[#This Row],[종목코드]],pyKrx_Stock!$A$6:$E$262,3,0),"-")</f>
        <v>-</v>
      </c>
      <c r="D34" t="str">
        <f>IFERROR(VLOOKUP(표7[[#This Row],[종목코드]],pyKrx_Stock!$A$6:$E$262,4,0),"-")</f>
        <v>-</v>
      </c>
      <c r="E34" t="str">
        <f>IFERROR(VLOOKUP(표7[[#This Row],[종목코드]],pyKrx_Stock!$A$6:$E$262,5,0),"-")</f>
        <v>-</v>
      </c>
      <c r="F34">
        <f>IFERROR(VLOOKUP(표7[[#This Row],[종목코드]],krxData_재무!$A$6:$M$2805,6,0),"-")</f>
        <v>470</v>
      </c>
      <c r="G34">
        <f>IFERROR(VLOOKUP(표7[[#This Row],[종목코드]],krxData_재무!$A$6:$M$2805,10,0),"-")</f>
        <v>5683</v>
      </c>
      <c r="H34">
        <f>IFERROR(VLOOKUP(표7[[#This Row],[종목코드]],krxData_재무!$A$6:$M$2805,7,0),"-")</f>
        <v>12.66</v>
      </c>
      <c r="I34">
        <f>IFERROR(VLOOKUP(표7[[#This Row],[종목코드]],krxData_재무!$A$6:$M$2805,11,0),"-")</f>
        <v>1.05</v>
      </c>
      <c r="J34">
        <f>IFERROR(VLOOKUP(표7[[#This Row],[종목코드]],krxData_재무!$A$6:$M$2805,13,0),"-")</f>
        <v>1.68</v>
      </c>
      <c r="K34" t="str">
        <f>IFERROR(VLOOKUP(표7[[#This Row],[종목명]],fnguide!$B$101:$N$1300,3,0),"-")</f>
        <v>-</v>
      </c>
      <c r="L34" t="str">
        <f>IFERROR(VLOOKUP(표7[[#This Row],[종목명]],fnguide!$B$101:$N$1300,6,0),"-")</f>
        <v>-</v>
      </c>
    </row>
    <row r="35" spans="1:12">
      <c r="A35" s="28">
        <v>23160</v>
      </c>
      <c r="B35" t="str">
        <f>IFERROR(VLOOKUP(표7[[#This Row],[종목코드]],krxData_재무!$A$6:$E$2805,2,0),"-")</f>
        <v>태광</v>
      </c>
      <c r="C35" t="str">
        <f>IFERROR(VLOOKUP(표7[[#This Row],[종목코드]],pyKrx_Stock!$A$6:$E$262,3,0),"-")</f>
        <v>-</v>
      </c>
      <c r="D35" t="str">
        <f>IFERROR(VLOOKUP(표7[[#This Row],[종목코드]],pyKrx_Stock!$A$6:$E$262,4,0),"-")</f>
        <v>-</v>
      </c>
      <c r="E35" t="str">
        <f>IFERROR(VLOOKUP(표7[[#This Row],[종목코드]],pyKrx_Stock!$A$6:$E$262,5,0),"-")</f>
        <v>-</v>
      </c>
      <c r="F35">
        <f>IFERROR(VLOOKUP(표7[[#This Row],[종목코드]],krxData_재무!$A$6:$M$2805,6,0),"-")</f>
        <v>1383</v>
      </c>
      <c r="G35">
        <f>IFERROR(VLOOKUP(표7[[#This Row],[종목코드]],krxData_재무!$A$6:$M$2805,10,0),"-")</f>
        <v>18560</v>
      </c>
      <c r="H35">
        <f>IFERROR(VLOOKUP(표7[[#This Row],[종목코드]],krxData_재무!$A$6:$M$2805,7,0),"-")</f>
        <v>9.19</v>
      </c>
      <c r="I35">
        <f>IFERROR(VLOOKUP(표7[[#This Row],[종목코드]],krxData_재무!$A$6:$M$2805,11,0),"-")</f>
        <v>0.68</v>
      </c>
      <c r="J35">
        <f>IFERROR(VLOOKUP(표7[[#This Row],[종목코드]],krxData_재무!$A$6:$M$2805,13,0),"-")</f>
        <v>1.34</v>
      </c>
      <c r="K35">
        <f>IFERROR(VLOOKUP(표7[[#This Row],[종목명]],fnguide!$B$101:$N$1300,3,0),"-")</f>
        <v>11.49</v>
      </c>
      <c r="L35">
        <f>IFERROR(VLOOKUP(표7[[#This Row],[종목명]],fnguide!$B$101:$N$1300,6,0),"-")</f>
        <v>193.84</v>
      </c>
    </row>
    <row r="36" spans="1:12">
      <c r="A36" s="28">
        <v>1810</v>
      </c>
      <c r="B36" t="str">
        <f>IFERROR(VLOOKUP(표7[[#This Row],[종목코드]],krxData_재무!$A$6:$E$2805,2,0),"-")</f>
        <v>무림SP</v>
      </c>
      <c r="C36" t="str">
        <f>IFERROR(VLOOKUP(표7[[#This Row],[종목코드]],pyKrx_Stock!$A$6:$E$262,3,0),"-")</f>
        <v>-</v>
      </c>
      <c r="D36" t="str">
        <f>IFERROR(VLOOKUP(표7[[#This Row],[종목코드]],pyKrx_Stock!$A$6:$E$262,4,0),"-")</f>
        <v>-</v>
      </c>
      <c r="E36" t="str">
        <f>IFERROR(VLOOKUP(표7[[#This Row],[종목코드]],pyKrx_Stock!$A$6:$E$262,5,0),"-")</f>
        <v>-</v>
      </c>
      <c r="F36" t="str">
        <f>IFERROR(VLOOKUP(표7[[#This Row],[종목코드]],krxData_재무!$A$6:$M$2805,6,0),"-")</f>
        <v>-</v>
      </c>
      <c r="G36">
        <f>IFERROR(VLOOKUP(표7[[#This Row],[종목코드]],krxData_재무!$A$6:$M$2805,10,0),"-")</f>
        <v>9321</v>
      </c>
      <c r="H36" t="str">
        <f>IFERROR(VLOOKUP(표7[[#This Row],[종목코드]],krxData_재무!$A$6:$M$2805,7,0),"-")</f>
        <v>-</v>
      </c>
      <c r="I36">
        <f>IFERROR(VLOOKUP(표7[[#This Row],[종목코드]],krxData_재무!$A$6:$M$2805,11,0),"-")</f>
        <v>0.19</v>
      </c>
      <c r="J36">
        <f>IFERROR(VLOOKUP(표7[[#This Row],[종목코드]],krxData_재무!$A$6:$M$2805,13,0),"-")</f>
        <v>0.83</v>
      </c>
      <c r="K36" t="str">
        <f>IFERROR(VLOOKUP(표7[[#This Row],[종목명]],fnguide!$B$101:$N$1300,3,0),"-")</f>
        <v>-</v>
      </c>
      <c r="L36" t="str">
        <f>IFERROR(VLOOKUP(표7[[#This Row],[종목명]],fnguide!$B$101:$N$1300,6,0),"-")</f>
        <v>-</v>
      </c>
    </row>
    <row r="37" spans="1:12">
      <c r="A37" s="28">
        <v>7770</v>
      </c>
      <c r="B37" t="str">
        <f>IFERROR(VLOOKUP(표7[[#This Row],[종목코드]],krxData_재무!$A$6:$E$2805,2,0),"-")</f>
        <v>한일화학</v>
      </c>
      <c r="C37" t="str">
        <f>IFERROR(VLOOKUP(표7[[#This Row],[종목코드]],pyKrx_Stock!$A$6:$E$262,3,0),"-")</f>
        <v>-</v>
      </c>
      <c r="D37" t="str">
        <f>IFERROR(VLOOKUP(표7[[#This Row],[종목코드]],pyKrx_Stock!$A$6:$E$262,4,0),"-")</f>
        <v>-</v>
      </c>
      <c r="E37" t="str">
        <f>IFERROR(VLOOKUP(표7[[#This Row],[종목코드]],pyKrx_Stock!$A$6:$E$262,5,0),"-")</f>
        <v>-</v>
      </c>
      <c r="F37">
        <f>IFERROR(VLOOKUP(표7[[#This Row],[종목코드]],krxData_재무!$A$6:$M$2805,6,0),"-")</f>
        <v>1237</v>
      </c>
      <c r="G37">
        <f>IFERROR(VLOOKUP(표7[[#This Row],[종목코드]],krxData_재무!$A$6:$M$2805,10,0),"-")</f>
        <v>33661</v>
      </c>
      <c r="H37">
        <f>IFERROR(VLOOKUP(표7[[#This Row],[종목코드]],krxData_재무!$A$6:$M$2805,7,0),"-")</f>
        <v>11.86</v>
      </c>
      <c r="I37">
        <f>IFERROR(VLOOKUP(표7[[#This Row],[종목코드]],krxData_재무!$A$6:$M$2805,11,0),"-")</f>
        <v>0.44</v>
      </c>
      <c r="J37">
        <f>IFERROR(VLOOKUP(표7[[#This Row],[종목코드]],krxData_재무!$A$6:$M$2805,13,0),"-")</f>
        <v>0.68</v>
      </c>
      <c r="K37" t="str">
        <f>IFERROR(VLOOKUP(표7[[#This Row],[종목명]],fnguide!$B$101:$N$1300,3,0),"-")</f>
        <v>-</v>
      </c>
      <c r="L37" t="str">
        <f>IFERROR(VLOOKUP(표7[[#This Row],[종목명]],fnguide!$B$101:$N$1300,6,0),"-")</f>
        <v>-</v>
      </c>
    </row>
    <row r="38" spans="1:12">
      <c r="A38" s="28">
        <v>53350</v>
      </c>
      <c r="B38" t="str">
        <f>IFERROR(VLOOKUP(표7[[#This Row],[종목코드]],krxData_재무!$A$6:$E$2805,2,0),"-")</f>
        <v>이니텍</v>
      </c>
      <c r="C38" t="str">
        <f>IFERROR(VLOOKUP(표7[[#This Row],[종목코드]],pyKrx_Stock!$A$6:$E$262,3,0),"-")</f>
        <v>-</v>
      </c>
      <c r="D38" t="str">
        <f>IFERROR(VLOOKUP(표7[[#This Row],[종목코드]],pyKrx_Stock!$A$6:$E$262,4,0),"-")</f>
        <v>-</v>
      </c>
      <c r="E38" t="str">
        <f>IFERROR(VLOOKUP(표7[[#This Row],[종목코드]],pyKrx_Stock!$A$6:$E$262,5,0),"-")</f>
        <v>-</v>
      </c>
      <c r="F38">
        <f>IFERROR(VLOOKUP(표7[[#This Row],[종목코드]],krxData_재무!$A$6:$M$2805,6,0),"-")</f>
        <v>11</v>
      </c>
      <c r="G38">
        <f>IFERROR(VLOOKUP(표7[[#This Row],[종목코드]],krxData_재무!$A$6:$M$2805,10,0),"-")</f>
        <v>6339</v>
      </c>
      <c r="H38">
        <f>IFERROR(VLOOKUP(표7[[#This Row],[종목코드]],krxData_재무!$A$6:$M$2805,7,0),"-")</f>
        <v>287.73</v>
      </c>
      <c r="I38">
        <f>IFERROR(VLOOKUP(표7[[#This Row],[종목코드]],krxData_재무!$A$6:$M$2805,11,0),"-")</f>
        <v>0.5</v>
      </c>
      <c r="J38">
        <f>IFERROR(VLOOKUP(표7[[#This Row],[종목코드]],krxData_재무!$A$6:$M$2805,13,0),"-")</f>
        <v>0.63</v>
      </c>
      <c r="K38" t="str">
        <f>IFERROR(VLOOKUP(표7[[#This Row],[종목명]],fnguide!$B$101:$N$1300,3,0),"-")</f>
        <v>-</v>
      </c>
      <c r="L38" t="str">
        <f>IFERROR(VLOOKUP(표7[[#This Row],[종목명]],fnguide!$B$101:$N$1300,6,0),"-")</f>
        <v>-</v>
      </c>
    </row>
    <row r="39" spans="1:12">
      <c r="A39" s="28">
        <v>456040</v>
      </c>
      <c r="B39" t="str">
        <f>IFERROR(VLOOKUP(표7[[#This Row],[종목코드]],krxData_재무!$A$6:$E$2805,2,0),"-")</f>
        <v>OCI</v>
      </c>
      <c r="C39" t="str">
        <f>IFERROR(VLOOKUP(표7[[#This Row],[종목코드]],pyKrx_Stock!$A$6:$E$262,3,0),"-")</f>
        <v>-</v>
      </c>
      <c r="D39" t="str">
        <f>IFERROR(VLOOKUP(표7[[#This Row],[종목코드]],pyKrx_Stock!$A$6:$E$262,4,0),"-")</f>
        <v>-</v>
      </c>
      <c r="E39" t="str">
        <f>IFERROR(VLOOKUP(표7[[#This Row],[종목코드]],pyKrx_Stock!$A$6:$E$262,5,0),"-")</f>
        <v>-</v>
      </c>
      <c r="F39" t="str">
        <f>IFERROR(VLOOKUP(표7[[#This Row],[종목코드]],krxData_재무!$A$6:$M$2805,6,0),"-")</f>
        <v>-</v>
      </c>
      <c r="G39" t="str">
        <f>IFERROR(VLOOKUP(표7[[#This Row],[종목코드]],krxData_재무!$A$6:$M$2805,10,0),"-")</f>
        <v>-</v>
      </c>
      <c r="H39" t="str">
        <f>IFERROR(VLOOKUP(표7[[#This Row],[종목코드]],krxData_재무!$A$6:$M$2805,7,0),"-")</f>
        <v>-</v>
      </c>
      <c r="I39" t="str">
        <f>IFERROR(VLOOKUP(표7[[#This Row],[종목코드]],krxData_재무!$A$6:$M$2805,11,0),"-")</f>
        <v>-</v>
      </c>
      <c r="J39">
        <f>IFERROR(VLOOKUP(표7[[#This Row],[종목코드]],krxData_재무!$A$6:$M$2805,13,0),"-")</f>
        <v>0</v>
      </c>
      <c r="K39" t="str">
        <f>IFERROR(VLOOKUP(표7[[#This Row],[종목명]],fnguide!$B$101:$N$1300,3,0),"-")</f>
        <v>-</v>
      </c>
      <c r="L39" t="str">
        <f>IFERROR(VLOOKUP(표7[[#This Row],[종목명]],fnguide!$B$101:$N$1300,6,0),"-")</f>
        <v>-</v>
      </c>
    </row>
    <row r="40" spans="1:12">
      <c r="A40" s="28">
        <v>34220</v>
      </c>
      <c r="B40" t="str">
        <f>IFERROR(VLOOKUP(표7[[#This Row],[종목코드]],krxData_재무!$A$6:$E$2805,2,0),"-")</f>
        <v>LG디스플레이</v>
      </c>
      <c r="C40" t="str">
        <f>IFERROR(VLOOKUP(표7[[#This Row],[종목코드]],pyKrx_Stock!$A$6:$E$262,3,0),"-")</f>
        <v>-</v>
      </c>
      <c r="D40" t="str">
        <f>IFERROR(VLOOKUP(표7[[#This Row],[종목코드]],pyKrx_Stock!$A$6:$E$262,4,0),"-")</f>
        <v>-</v>
      </c>
      <c r="E40" t="str">
        <f>IFERROR(VLOOKUP(표7[[#This Row],[종목코드]],pyKrx_Stock!$A$6:$E$262,5,0),"-")</f>
        <v>-</v>
      </c>
      <c r="F40" t="str">
        <f>IFERROR(VLOOKUP(표7[[#This Row],[종목코드]],krxData_재무!$A$6:$M$2805,6,0),"-")</f>
        <v>-</v>
      </c>
      <c r="G40">
        <f>IFERROR(VLOOKUP(표7[[#This Row],[종목코드]],krxData_재무!$A$6:$M$2805,10,0),"-")</f>
        <v>25521</v>
      </c>
      <c r="H40" t="str">
        <f>IFERROR(VLOOKUP(표7[[#This Row],[종목코드]],krxData_재무!$A$6:$M$2805,7,0),"-")</f>
        <v>-</v>
      </c>
      <c r="I40">
        <f>IFERROR(VLOOKUP(표7[[#This Row],[종목코드]],krxData_재무!$A$6:$M$2805,11,0),"-")</f>
        <v>0.44</v>
      </c>
      <c r="J40">
        <f>IFERROR(VLOOKUP(표7[[#This Row],[종목코드]],krxData_재무!$A$6:$M$2805,13,0),"-")</f>
        <v>0</v>
      </c>
      <c r="K40" t="str">
        <f>IFERROR(VLOOKUP(표7[[#This Row],[종목명]],fnguide!$B$101:$N$1300,3,0),"-")</f>
        <v>-</v>
      </c>
      <c r="L40" t="str">
        <f>IFERROR(VLOOKUP(표7[[#This Row],[종목명]],fnguide!$B$101:$N$1300,6,0),"-")</f>
        <v>-</v>
      </c>
    </row>
    <row r="41" spans="1:12">
      <c r="A41" s="28">
        <v>14470</v>
      </c>
      <c r="B41" t="str">
        <f>IFERROR(VLOOKUP(표7[[#This Row],[종목코드]],krxData_재무!$A$6:$E$2805,2,0),"-")</f>
        <v>부방</v>
      </c>
      <c r="C41" t="str">
        <f>IFERROR(VLOOKUP(표7[[#This Row],[종목코드]],pyKrx_Stock!$A$6:$E$262,3,0),"-")</f>
        <v>-</v>
      </c>
      <c r="D41" t="str">
        <f>IFERROR(VLOOKUP(표7[[#This Row],[종목코드]],pyKrx_Stock!$A$6:$E$262,4,0),"-")</f>
        <v>-</v>
      </c>
      <c r="E41" t="str">
        <f>IFERROR(VLOOKUP(표7[[#This Row],[종목코드]],pyKrx_Stock!$A$6:$E$262,5,0),"-")</f>
        <v>-</v>
      </c>
      <c r="F41">
        <f>IFERROR(VLOOKUP(표7[[#This Row],[종목코드]],krxData_재무!$A$6:$M$2805,6,0),"-")</f>
        <v>582</v>
      </c>
      <c r="G41">
        <f>IFERROR(VLOOKUP(표7[[#This Row],[종목코드]],krxData_재무!$A$6:$M$2805,10,0),"-")</f>
        <v>3441</v>
      </c>
      <c r="H41">
        <f>IFERROR(VLOOKUP(표7[[#This Row],[종목코드]],krxData_재무!$A$6:$M$2805,7,0),"-")</f>
        <v>4.32</v>
      </c>
      <c r="I41">
        <f>IFERROR(VLOOKUP(표7[[#This Row],[종목코드]],krxData_재무!$A$6:$M$2805,11,0),"-")</f>
        <v>0.73</v>
      </c>
      <c r="J41">
        <f>IFERROR(VLOOKUP(표7[[#This Row],[종목코드]],krxData_재무!$A$6:$M$2805,13,0),"-")</f>
        <v>0</v>
      </c>
      <c r="K41">
        <f>IFERROR(VLOOKUP(표7[[#This Row],[종목명]],fnguide!$B$101:$N$1300,3,0),"-")</f>
        <v>42.61</v>
      </c>
      <c r="L41" t="str">
        <f>IFERROR(VLOOKUP(표7[[#This Row],[종목명]],fnguide!$B$101:$N$1300,6,0),"-")</f>
        <v>적지</v>
      </c>
    </row>
    <row r="42" spans="1:12">
      <c r="A42" s="28">
        <v>1780</v>
      </c>
      <c r="B42" t="str">
        <f>IFERROR(VLOOKUP(표7[[#This Row],[종목코드]],krxData_재무!$A$6:$E$2805,2,0),"-")</f>
        <v>알루코</v>
      </c>
      <c r="C42" t="str">
        <f>IFERROR(VLOOKUP(표7[[#This Row],[종목코드]],pyKrx_Stock!$A$6:$E$262,3,0),"-")</f>
        <v>-</v>
      </c>
      <c r="D42" t="str">
        <f>IFERROR(VLOOKUP(표7[[#This Row],[종목코드]],pyKrx_Stock!$A$6:$E$262,4,0),"-")</f>
        <v>-</v>
      </c>
      <c r="E42" t="str">
        <f>IFERROR(VLOOKUP(표7[[#This Row],[종목코드]],pyKrx_Stock!$A$6:$E$262,5,0),"-")</f>
        <v>-</v>
      </c>
      <c r="F42">
        <f>IFERROR(VLOOKUP(표7[[#This Row],[종목코드]],krxData_재무!$A$6:$M$2805,6,0),"-")</f>
        <v>155</v>
      </c>
      <c r="G42">
        <f>IFERROR(VLOOKUP(표7[[#This Row],[종목코드]],krxData_재무!$A$6:$M$2805,10,0),"-")</f>
        <v>2639</v>
      </c>
      <c r="H42">
        <f>IFERROR(VLOOKUP(표7[[#This Row],[종목코드]],krxData_재무!$A$6:$M$2805,7,0),"-")</f>
        <v>23.29</v>
      </c>
      <c r="I42">
        <f>IFERROR(VLOOKUP(표7[[#This Row],[종목코드]],krxData_재무!$A$6:$M$2805,11,0),"-")</f>
        <v>1.37</v>
      </c>
      <c r="J42">
        <f>IFERROR(VLOOKUP(표7[[#This Row],[종목코드]],krxData_재무!$A$6:$M$2805,13,0),"-")</f>
        <v>0</v>
      </c>
      <c r="K42">
        <f>IFERROR(VLOOKUP(표7[[#This Row],[종목명]],fnguide!$B$101:$N$1300,3,0),"-")</f>
        <v>105.7</v>
      </c>
      <c r="L42">
        <f>IFERROR(VLOOKUP(표7[[#This Row],[종목명]],fnguide!$B$101:$N$1300,6,0),"-")</f>
        <v>42.87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결재요청</vt:lpstr>
      <vt:lpstr>경영정보</vt:lpstr>
      <vt:lpstr>Web_Stock</vt:lpstr>
      <vt:lpstr>pyKrx_Stock</vt:lpstr>
      <vt:lpstr>fnguide</vt:lpstr>
      <vt:lpstr>krxData_재무</vt:lpstr>
      <vt:lpstr>관심종목</vt:lpstr>
      <vt:lpstr>fnguide!Criteria</vt:lpstr>
      <vt:lpstr>fnguide!Extract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2024-03-23T00:09:32Z</dcterms:modified>
</cp:coreProperties>
</file>